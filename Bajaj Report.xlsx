
<file path=[Content_Types].xml><?xml version="1.0" encoding="utf-8"?>
<Types xmlns="http://schemas.openxmlformats.org/package/2006/content-types">
  <Override PartName="/xl/worksheets/sheet15.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charts/chart4.xml" ContentType="application/vnd.openxmlformats-officedocument.drawingml.chart+xml"/>
  <Override PartName="/xl/worksheets/sheet7.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15.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Override PartName="/xl/charts/chart7.xml" ContentType="application/vnd.openxmlformats-officedocument.drawingml.chart+xml"/>
  <Override PartName="/xl/charts/chart10.xml" ContentType="application/vnd.openxmlformats-officedocument.drawingml.chart+xml"/>
  <Override PartName="/xl/worksheets/sheet14.xml" ContentType="application/vnd.openxmlformats-officedocument.spreadsheetml.worksheet+xml"/>
  <Override PartName="/xl/drawings/drawing7.xml" ContentType="application/vnd.openxmlformats-officedocument.drawing+xml"/>
  <Override PartName="/xl/charts/chart5.xml" ContentType="application/vnd.openxmlformats-officedocument.drawingml.char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Default Extension="jpeg" ContentType="image/jpeg"/>
  <Override PartName="/xl/drawings/drawing5.xml" ContentType="application/vnd.openxmlformats-officedocument.drawing+xml"/>
  <Override PartName="/xl/charts/chart3.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tabRatio="967" firstSheet="3" activeTab="15"/>
  </bookViews>
  <sheets>
    <sheet name="Intro" sheetId="19" r:id="rId1"/>
    <sheet name="Table of Contents" sheetId="18" r:id="rId2"/>
    <sheet name="one page profile" sheetId="12" r:id="rId3"/>
    <sheet name="Historical FS" sheetId="4" r:id="rId4"/>
    <sheet name="Forcasting" sheetId="5" r:id="rId5"/>
    <sheet name="Ratio Analysis" sheetId="6" r:id="rId6"/>
    <sheet name="Common Size Statement" sheetId="7" r:id="rId7"/>
    <sheet name="Beta Calculation" sheetId="13" r:id="rId8"/>
    <sheet name="WACC" sheetId="14" r:id="rId9"/>
    <sheet name="Relative Valuation" sheetId="16" r:id="rId10"/>
    <sheet name="DCF" sheetId="17" r:id="rId11"/>
    <sheet name="Var" sheetId="10" r:id="rId12"/>
    <sheet name="Dupont Analysis" sheetId="8" r:id="rId13"/>
    <sheet name="Altman's Z score" sheetId="9" r:id="rId14"/>
    <sheet name="LBO" sheetId="20" r:id="rId15"/>
    <sheet name="M&amp;A" sheetId="21" r:id="rId16"/>
  </sheets>
  <externalReferences>
    <externalReference r:id="rId17"/>
    <externalReference r:id="rId18"/>
    <externalReference r:id="rId19"/>
    <externalReference r:id="rId20"/>
  </externalReferences>
  <definedNames>
    <definedName name="_xlnm._FilterDatabase" localSheetId="11" hidden="1">Var!$C$10:$F$257</definedName>
    <definedName name="_xlnm.Print_Area" localSheetId="13">'Altman''s Z score'!$A$1:$M$93</definedName>
    <definedName name="_xlnm.Print_Area" localSheetId="7">'Beta Calculation'!$A$1:$R$46</definedName>
    <definedName name="_xlnm.Print_Area" localSheetId="6">'Common Size Statement'!$A$1:$K$51</definedName>
    <definedName name="_xlnm.Print_Area" localSheetId="10">DCF!$A$1:$M$54</definedName>
    <definedName name="_xlnm.Print_Area" localSheetId="12">'Dupont Analysis'!$A$1:$L$108</definedName>
    <definedName name="_xlnm.Print_Area" localSheetId="4">Forcasting!$A$1:$L$64</definedName>
    <definedName name="_xlnm.Print_Area" localSheetId="3">'Historical FS'!$A$1:$L$111</definedName>
    <definedName name="_xlnm.Print_Area" localSheetId="0">Intro!$A$1:$P$27</definedName>
    <definedName name="_xlnm.Print_Area" localSheetId="14">LBO!$A$1:$O$120</definedName>
    <definedName name="_xlnm.Print_Area" localSheetId="15">'M&amp;A'!$A$1:$N$67</definedName>
    <definedName name="_xlnm.Print_Area" localSheetId="2">'one page profile'!$A$1:$Q$55</definedName>
    <definedName name="_xlnm.Print_Area" localSheetId="5">'Ratio Analysis'!$A$1:$N$50</definedName>
    <definedName name="_xlnm.Print_Area" localSheetId="9">'Relative Valuation'!$A$1:$P$38</definedName>
    <definedName name="_xlnm.Print_Area" localSheetId="11">Var!$A$1:$O$49</definedName>
    <definedName name="_xlnm.Print_Area" localSheetId="8">WACC!$A$1:$L$50</definedName>
    <definedName name="UPDATE" localSheetId="2">'[1]Data Sheet'!$E$1</definedName>
    <definedName name="UPDATE">'[2]Data Sheet'!$E$1</definedName>
  </definedNames>
  <calcPr calcId="124519"/>
</workbook>
</file>

<file path=xl/calcChain.xml><?xml version="1.0" encoding="utf-8"?>
<calcChain xmlns="http://schemas.openxmlformats.org/spreadsheetml/2006/main">
  <c r="N56" i="21"/>
  <c r="N62"/>
  <c r="N55"/>
  <c r="N53"/>
  <c r="N52"/>
  <c r="L46"/>
  <c r="L47" s="1"/>
  <c r="N28"/>
  <c r="N29" s="1"/>
  <c r="N31" s="1"/>
  <c r="G29"/>
  <c r="N54" s="1"/>
  <c r="G24"/>
  <c r="N18"/>
  <c r="F39" s="1"/>
  <c r="N50" s="1"/>
  <c r="N15"/>
  <c r="N19"/>
  <c r="M46" s="1"/>
  <c r="M47" s="1"/>
  <c r="M37"/>
  <c r="N37"/>
  <c r="B6" i="20"/>
  <c r="B7" s="1"/>
  <c r="L58"/>
  <c r="M58"/>
  <c r="N58"/>
  <c r="O58"/>
  <c r="K58"/>
  <c r="J18"/>
  <c r="J67" s="1"/>
  <c r="C9" i="4"/>
  <c r="J19" i="20"/>
  <c r="J46" s="1"/>
  <c r="L44"/>
  <c r="M44"/>
  <c r="N44"/>
  <c r="O44"/>
  <c r="K44"/>
  <c r="J17"/>
  <c r="J71" s="1"/>
  <c r="J16"/>
  <c r="J64" s="1"/>
  <c r="J15"/>
  <c r="J43" s="1"/>
  <c r="O63"/>
  <c r="O74" s="1"/>
  <c r="O83" s="1"/>
  <c r="M63"/>
  <c r="M74" s="1"/>
  <c r="M83" s="1"/>
  <c r="N63"/>
  <c r="N74" s="1"/>
  <c r="N83" s="1"/>
  <c r="K63"/>
  <c r="K74" s="1"/>
  <c r="K83" s="1"/>
  <c r="L63"/>
  <c r="L74" s="1"/>
  <c r="L83" s="1"/>
  <c r="J63"/>
  <c r="J74" s="1"/>
  <c r="J83" s="1"/>
  <c r="M34"/>
  <c r="M31"/>
  <c r="F32"/>
  <c r="F31"/>
  <c r="E24"/>
  <c r="O109" s="1"/>
  <c r="E24" i="17"/>
  <c r="G18" s="1"/>
  <c r="E30"/>
  <c r="B4"/>
  <c r="B5"/>
  <c r="B8"/>
  <c r="F9"/>
  <c r="G9" s="1"/>
  <c r="H9" s="1"/>
  <c r="I9" s="1"/>
  <c r="J9" s="1"/>
  <c r="K9" s="1"/>
  <c r="L9" s="1"/>
  <c r="M9" s="1"/>
  <c r="F12"/>
  <c r="F14" s="1"/>
  <c r="F16" s="1"/>
  <c r="G12"/>
  <c r="H12"/>
  <c r="H14" s="1"/>
  <c r="H16" s="1"/>
  <c r="I12"/>
  <c r="J12"/>
  <c r="K12"/>
  <c r="L12"/>
  <c r="M12"/>
  <c r="G13"/>
  <c r="H13" s="1"/>
  <c r="I13" s="1"/>
  <c r="G14"/>
  <c r="G16" s="1"/>
  <c r="G15"/>
  <c r="H15"/>
  <c r="I15" s="1"/>
  <c r="J15" s="1"/>
  <c r="K15" s="1"/>
  <c r="L15" s="1"/>
  <c r="M15" s="1"/>
  <c r="H17"/>
  <c r="I17" s="1"/>
  <c r="J17" s="1"/>
  <c r="K17" s="1"/>
  <c r="L17" s="1"/>
  <c r="M17" s="1"/>
  <c r="E42"/>
  <c r="E43"/>
  <c r="E45"/>
  <c r="B4" i="16"/>
  <c r="B5"/>
  <c r="D10"/>
  <c r="E10"/>
  <c r="F10" s="1"/>
  <c r="P10" s="1"/>
  <c r="G10"/>
  <c r="H10"/>
  <c r="J10"/>
  <c r="N10" s="1"/>
  <c r="K10"/>
  <c r="L10"/>
  <c r="O10"/>
  <c r="D11"/>
  <c r="F11" s="1"/>
  <c r="P11" s="1"/>
  <c r="E11"/>
  <c r="G11"/>
  <c r="H11"/>
  <c r="O11" s="1"/>
  <c r="J11"/>
  <c r="K11"/>
  <c r="L11"/>
  <c r="N11"/>
  <c r="D12"/>
  <c r="E12"/>
  <c r="N32" s="1"/>
  <c r="G12"/>
  <c r="O30" s="1"/>
  <c r="H12"/>
  <c r="J12"/>
  <c r="N12" s="1"/>
  <c r="K12"/>
  <c r="L12"/>
  <c r="O12"/>
  <c r="D13"/>
  <c r="E13"/>
  <c r="F13"/>
  <c r="P13" s="1"/>
  <c r="G13"/>
  <c r="H13"/>
  <c r="O13" s="1"/>
  <c r="J13"/>
  <c r="K13"/>
  <c r="L13"/>
  <c r="N13"/>
  <c r="D14"/>
  <c r="E14"/>
  <c r="F14" s="1"/>
  <c r="P14" s="1"/>
  <c r="G14"/>
  <c r="H14"/>
  <c r="J14"/>
  <c r="N14" s="1"/>
  <c r="K14"/>
  <c r="L14"/>
  <c r="O14"/>
  <c r="D15"/>
  <c r="F15" s="1"/>
  <c r="P15" s="1"/>
  <c r="E15"/>
  <c r="G15"/>
  <c r="H15"/>
  <c r="O15" s="1"/>
  <c r="J15"/>
  <c r="K15"/>
  <c r="L15"/>
  <c r="N15"/>
  <c r="D16"/>
  <c r="E16"/>
  <c r="F16" s="1"/>
  <c r="P16" s="1"/>
  <c r="G16"/>
  <c r="H16"/>
  <c r="J16"/>
  <c r="N16" s="1"/>
  <c r="K16"/>
  <c r="L16"/>
  <c r="O16"/>
  <c r="D17"/>
  <c r="E17"/>
  <c r="F17"/>
  <c r="G17"/>
  <c r="H17"/>
  <c r="O17" s="1"/>
  <c r="J17"/>
  <c r="K17"/>
  <c r="L17"/>
  <c r="N17"/>
  <c r="P17"/>
  <c r="D18"/>
  <c r="E18"/>
  <c r="F18" s="1"/>
  <c r="P18" s="1"/>
  <c r="G18"/>
  <c r="H18"/>
  <c r="J18"/>
  <c r="N18" s="1"/>
  <c r="K18"/>
  <c r="L18"/>
  <c r="O18"/>
  <c r="D19"/>
  <c r="F19" s="1"/>
  <c r="P19" s="1"/>
  <c r="E19"/>
  <c r="G19"/>
  <c r="H19"/>
  <c r="O19" s="1"/>
  <c r="J19"/>
  <c r="K19"/>
  <c r="L19"/>
  <c r="N30"/>
  <c r="P30"/>
  <c r="P32"/>
  <c r="B4" i="14"/>
  <c r="B5"/>
  <c r="H16"/>
  <c r="I16"/>
  <c r="I21" s="1"/>
  <c r="E35" s="1"/>
  <c r="K16"/>
  <c r="H17"/>
  <c r="H22" s="1"/>
  <c r="I17"/>
  <c r="H18"/>
  <c r="K18" s="1"/>
  <c r="I18"/>
  <c r="H19"/>
  <c r="I19"/>
  <c r="K19"/>
  <c r="G21"/>
  <c r="J21"/>
  <c r="G22"/>
  <c r="I22"/>
  <c r="J22"/>
  <c r="E27"/>
  <c r="E28"/>
  <c r="J43" s="1"/>
  <c r="C35"/>
  <c r="C36"/>
  <c r="B4" i="13"/>
  <c r="B5" s="1"/>
  <c r="K13"/>
  <c r="D15"/>
  <c r="K12" s="1"/>
  <c r="G15"/>
  <c r="D16"/>
  <c r="G16"/>
  <c r="D17"/>
  <c r="G17"/>
  <c r="D18"/>
  <c r="G18"/>
  <c r="D19"/>
  <c r="G19"/>
  <c r="D20"/>
  <c r="G20"/>
  <c r="D21"/>
  <c r="G21"/>
  <c r="D22"/>
  <c r="G22"/>
  <c r="D23"/>
  <c r="G23"/>
  <c r="D24"/>
  <c r="G24"/>
  <c r="D25"/>
  <c r="G25"/>
  <c r="D26"/>
  <c r="G26"/>
  <c r="D27"/>
  <c r="G27"/>
  <c r="D28"/>
  <c r="G28"/>
  <c r="D29"/>
  <c r="G29"/>
  <c r="D30"/>
  <c r="G30"/>
  <c r="D31"/>
  <c r="G31"/>
  <c r="D32"/>
  <c r="G32"/>
  <c r="D33"/>
  <c r="G33"/>
  <c r="D34"/>
  <c r="G34"/>
  <c r="D35"/>
  <c r="G35"/>
  <c r="D36"/>
  <c r="G36"/>
  <c r="D37"/>
  <c r="G37"/>
  <c r="D38"/>
  <c r="G38"/>
  <c r="D39"/>
  <c r="G39"/>
  <c r="D40"/>
  <c r="G40"/>
  <c r="D41"/>
  <c r="G41"/>
  <c r="D42"/>
  <c r="G42"/>
  <c r="D43"/>
  <c r="G43"/>
  <c r="D44"/>
  <c r="G44"/>
  <c r="D45"/>
  <c r="G45"/>
  <c r="D46"/>
  <c r="G46"/>
  <c r="D47"/>
  <c r="G47"/>
  <c r="D48"/>
  <c r="G48"/>
  <c r="D49"/>
  <c r="G49"/>
  <c r="D50"/>
  <c r="G50"/>
  <c r="D51"/>
  <c r="G51"/>
  <c r="D52"/>
  <c r="G52"/>
  <c r="D53"/>
  <c r="G53"/>
  <c r="D54"/>
  <c r="G54"/>
  <c r="D55"/>
  <c r="G55"/>
  <c r="D56"/>
  <c r="G56"/>
  <c r="D57"/>
  <c r="G57"/>
  <c r="D58"/>
  <c r="G58"/>
  <c r="D59"/>
  <c r="G59"/>
  <c r="D60"/>
  <c r="G60"/>
  <c r="D61"/>
  <c r="G61"/>
  <c r="D62"/>
  <c r="G62"/>
  <c r="D63"/>
  <c r="G63"/>
  <c r="D64"/>
  <c r="G64"/>
  <c r="D65"/>
  <c r="G65"/>
  <c r="D66"/>
  <c r="G66"/>
  <c r="D67"/>
  <c r="G67"/>
  <c r="D68"/>
  <c r="G68"/>
  <c r="D69"/>
  <c r="G69"/>
  <c r="D70"/>
  <c r="G70"/>
  <c r="D71"/>
  <c r="G71"/>
  <c r="D72"/>
  <c r="G72"/>
  <c r="D73"/>
  <c r="G73"/>
  <c r="D74"/>
  <c r="G74"/>
  <c r="D75"/>
  <c r="G75"/>
  <c r="D76"/>
  <c r="G76"/>
  <c r="D77"/>
  <c r="G77"/>
  <c r="D78"/>
  <c r="G78"/>
  <c r="D79"/>
  <c r="G79"/>
  <c r="D80"/>
  <c r="G80"/>
  <c r="D81"/>
  <c r="G81"/>
  <c r="D82"/>
  <c r="G82"/>
  <c r="D83"/>
  <c r="G83"/>
  <c r="D84"/>
  <c r="G84"/>
  <c r="D85"/>
  <c r="G85"/>
  <c r="D86"/>
  <c r="G86"/>
  <c r="D87"/>
  <c r="G87"/>
  <c r="D88"/>
  <c r="G88"/>
  <c r="D89"/>
  <c r="G89"/>
  <c r="D90"/>
  <c r="G90"/>
  <c r="D91"/>
  <c r="G91"/>
  <c r="D92"/>
  <c r="G92"/>
  <c r="D93"/>
  <c r="G93"/>
  <c r="D94"/>
  <c r="G94"/>
  <c r="D95"/>
  <c r="G95"/>
  <c r="D96"/>
  <c r="G96"/>
  <c r="D97"/>
  <c r="G97"/>
  <c r="D98"/>
  <c r="G98"/>
  <c r="D99"/>
  <c r="G99"/>
  <c r="D100"/>
  <c r="G100"/>
  <c r="D101"/>
  <c r="G101"/>
  <c r="D102"/>
  <c r="G102"/>
  <c r="D103"/>
  <c r="G103"/>
  <c r="D104"/>
  <c r="G104"/>
  <c r="D105"/>
  <c r="G105"/>
  <c r="D106"/>
  <c r="G106"/>
  <c r="D107"/>
  <c r="G107"/>
  <c r="D108"/>
  <c r="G108"/>
  <c r="D109"/>
  <c r="G109"/>
  <c r="D110"/>
  <c r="G110"/>
  <c r="D111"/>
  <c r="G111"/>
  <c r="D112"/>
  <c r="G112"/>
  <c r="D113"/>
  <c r="G113"/>
  <c r="D114"/>
  <c r="G114"/>
  <c r="D115"/>
  <c r="G115"/>
  <c r="D116"/>
  <c r="G116"/>
  <c r="D117"/>
  <c r="G117"/>
  <c r="N46" i="21" l="1"/>
  <c r="N47"/>
  <c r="G16"/>
  <c r="M38"/>
  <c r="M41" s="1"/>
  <c r="N41" s="1"/>
  <c r="K43" i="20"/>
  <c r="K64" s="1"/>
  <c r="K76" s="1"/>
  <c r="J65"/>
  <c r="J72"/>
  <c r="J47"/>
  <c r="K47" s="1"/>
  <c r="J49"/>
  <c r="J50" s="1"/>
  <c r="E14"/>
  <c r="E16" s="1"/>
  <c r="E18" s="1"/>
  <c r="M32" s="1"/>
  <c r="N32" s="1"/>
  <c r="J68"/>
  <c r="N34"/>
  <c r="N31"/>
  <c r="J13" i="17"/>
  <c r="K13" s="1"/>
  <c r="I14"/>
  <c r="I16" s="1"/>
  <c r="J14"/>
  <c r="J16" s="1"/>
  <c r="G20"/>
  <c r="K18"/>
  <c r="E29"/>
  <c r="L18"/>
  <c r="H18"/>
  <c r="H20" s="1"/>
  <c r="M18"/>
  <c r="I18"/>
  <c r="J18"/>
  <c r="P25" i="16"/>
  <c r="P23"/>
  <c r="N22"/>
  <c r="N26"/>
  <c r="N21"/>
  <c r="N25"/>
  <c r="O23"/>
  <c r="O21"/>
  <c r="O25"/>
  <c r="O24"/>
  <c r="O29" s="1"/>
  <c r="O31" s="1"/>
  <c r="O33" s="1"/>
  <c r="O35" s="1"/>
  <c r="O32"/>
  <c r="O26"/>
  <c r="O22"/>
  <c r="N19"/>
  <c r="N24" s="1"/>
  <c r="N29" s="1"/>
  <c r="N31" s="1"/>
  <c r="N33" s="1"/>
  <c r="N35" s="1"/>
  <c r="F12"/>
  <c r="P12" s="1"/>
  <c r="P21" s="1"/>
  <c r="K43" i="14"/>
  <c r="D35"/>
  <c r="D36"/>
  <c r="H21"/>
  <c r="K35" s="1"/>
  <c r="K17"/>
  <c r="K22" s="1"/>
  <c r="K34" s="1"/>
  <c r="C37"/>
  <c r="K71" i="20" l="1"/>
  <c r="K77" s="1"/>
  <c r="K67"/>
  <c r="K69" s="1"/>
  <c r="K78" s="1"/>
  <c r="L43"/>
  <c r="M43" s="1"/>
  <c r="M64" s="1"/>
  <c r="M76" s="1"/>
  <c r="K46"/>
  <c r="K49" s="1"/>
  <c r="K50" s="1"/>
  <c r="N39" i="21"/>
  <c r="N40"/>
  <c r="F38"/>
  <c r="N59"/>
  <c r="N38"/>
  <c r="F41"/>
  <c r="M37" i="20"/>
  <c r="O32" s="1"/>
  <c r="E32"/>
  <c r="J97" s="1"/>
  <c r="K93" s="1"/>
  <c r="K94" s="1"/>
  <c r="E31"/>
  <c r="J90" s="1"/>
  <c r="K86" s="1"/>
  <c r="K87" s="1"/>
  <c r="L47"/>
  <c r="M47" s="1"/>
  <c r="O34"/>
  <c r="O37"/>
  <c r="E37"/>
  <c r="O31"/>
  <c r="N37"/>
  <c r="L13" i="17"/>
  <c r="K14"/>
  <c r="K16" s="1"/>
  <c r="K20" s="1"/>
  <c r="I20"/>
  <c r="J20"/>
  <c r="N23" i="16"/>
  <c r="P24"/>
  <c r="P31" s="1"/>
  <c r="P26"/>
  <c r="P22"/>
  <c r="K37" i="14"/>
  <c r="K28" s="1"/>
  <c r="K29" s="1"/>
  <c r="J44" s="1"/>
  <c r="K21"/>
  <c r="D37"/>
  <c r="E37" s="1"/>
  <c r="E36" s="1"/>
  <c r="D40"/>
  <c r="L71" i="20" l="1"/>
  <c r="L77" s="1"/>
  <c r="L64"/>
  <c r="L76" s="1"/>
  <c r="M67"/>
  <c r="M69" s="1"/>
  <c r="M78" s="1"/>
  <c r="M71"/>
  <c r="M77" s="1"/>
  <c r="N43"/>
  <c r="O43" s="1"/>
  <c r="O64" s="1"/>
  <c r="O76" s="1"/>
  <c r="L67"/>
  <c r="L69" s="1"/>
  <c r="L78" s="1"/>
  <c r="G38" i="21"/>
  <c r="G41"/>
  <c r="F40"/>
  <c r="N51" s="1"/>
  <c r="N58" s="1"/>
  <c r="N61" s="1"/>
  <c r="N63" s="1"/>
  <c r="G39"/>
  <c r="K101" i="20"/>
  <c r="K52" s="1"/>
  <c r="K54" s="1"/>
  <c r="E33"/>
  <c r="F33" s="1"/>
  <c r="L46"/>
  <c r="L49" s="1"/>
  <c r="L50" s="1"/>
  <c r="J104"/>
  <c r="K100"/>
  <c r="N47"/>
  <c r="M46"/>
  <c r="M49" s="1"/>
  <c r="M50" s="1"/>
  <c r="F37"/>
  <c r="G32"/>
  <c r="G37"/>
  <c r="G31"/>
  <c r="M13" i="17"/>
  <c r="M14" s="1"/>
  <c r="M16" s="1"/>
  <c r="L14"/>
  <c r="L16" s="1"/>
  <c r="L20" s="1"/>
  <c r="P33" i="16"/>
  <c r="P35" s="1"/>
  <c r="P29"/>
  <c r="K44" i="14"/>
  <c r="K45" s="1"/>
  <c r="E40"/>
  <c r="N71" i="20" l="1"/>
  <c r="N77" s="1"/>
  <c r="N67"/>
  <c r="N69" s="1"/>
  <c r="N78" s="1"/>
  <c r="N64"/>
  <c r="N76" s="1"/>
  <c r="N64" i="21"/>
  <c r="G19" s="1"/>
  <c r="G40"/>
  <c r="G33" i="20"/>
  <c r="O67"/>
  <c r="E35"/>
  <c r="O114" s="1"/>
  <c r="O71"/>
  <c r="O77" s="1"/>
  <c r="N46"/>
  <c r="N49" s="1"/>
  <c r="N50" s="1"/>
  <c r="O47"/>
  <c r="O46" s="1"/>
  <c r="G35"/>
  <c r="E28" i="17"/>
  <c r="E32" s="1"/>
  <c r="M20"/>
  <c r="E37" s="1"/>
  <c r="O69" i="20" l="1"/>
  <c r="O78" s="1"/>
  <c r="F35"/>
  <c r="O49"/>
  <c r="O108"/>
  <c r="O110" s="1"/>
  <c r="E44" i="17"/>
  <c r="E47" s="1"/>
  <c r="E39"/>
  <c r="E38"/>
  <c r="E40" s="1"/>
  <c r="G28"/>
  <c r="O50" i="20" l="1"/>
  <c r="E51" i="17"/>
  <c r="E50"/>
  <c r="B2" i="12" l="1"/>
  <c r="C9"/>
  <c r="C22" s="1"/>
  <c r="D9"/>
  <c r="E9"/>
  <c r="E22" s="1"/>
  <c r="F9"/>
  <c r="G9"/>
  <c r="G22" s="1"/>
  <c r="H9"/>
  <c r="I9"/>
  <c r="I22" s="1"/>
  <c r="J9"/>
  <c r="K9"/>
  <c r="K22" s="1"/>
  <c r="C11"/>
  <c r="D11"/>
  <c r="E11"/>
  <c r="F11"/>
  <c r="G11"/>
  <c r="H11"/>
  <c r="I11"/>
  <c r="J11"/>
  <c r="K11"/>
  <c r="Q11"/>
  <c r="Q14" s="1"/>
  <c r="Q19" s="1"/>
  <c r="C12"/>
  <c r="D12"/>
  <c r="E12"/>
  <c r="F12"/>
  <c r="G12"/>
  <c r="H12"/>
  <c r="I12"/>
  <c r="J12"/>
  <c r="K12"/>
  <c r="Q12"/>
  <c r="C13"/>
  <c r="D13"/>
  <c r="E13"/>
  <c r="F13"/>
  <c r="G13"/>
  <c r="H13"/>
  <c r="I13"/>
  <c r="J13"/>
  <c r="K13"/>
  <c r="C14"/>
  <c r="D14"/>
  <c r="E14"/>
  <c r="F14"/>
  <c r="G14"/>
  <c r="H14"/>
  <c r="I14"/>
  <c r="J14"/>
  <c r="K14"/>
  <c r="C15"/>
  <c r="D15"/>
  <c r="E15"/>
  <c r="F15"/>
  <c r="G15"/>
  <c r="H15"/>
  <c r="I15"/>
  <c r="J15"/>
  <c r="K15"/>
  <c r="Q15"/>
  <c r="C16"/>
  <c r="D16"/>
  <c r="E16"/>
  <c r="F16"/>
  <c r="G16"/>
  <c r="H16"/>
  <c r="I16"/>
  <c r="J16"/>
  <c r="K16"/>
  <c r="Q16"/>
  <c r="C17"/>
  <c r="D17"/>
  <c r="E17"/>
  <c r="F17"/>
  <c r="G17"/>
  <c r="H17"/>
  <c r="I17"/>
  <c r="J17"/>
  <c r="K17"/>
  <c r="C18"/>
  <c r="D18"/>
  <c r="E18"/>
  <c r="F18"/>
  <c r="G18"/>
  <c r="H18"/>
  <c r="I18"/>
  <c r="J18"/>
  <c r="K18"/>
  <c r="C19"/>
  <c r="D19"/>
  <c r="E19"/>
  <c r="F19"/>
  <c r="G19"/>
  <c r="H19"/>
  <c r="I19"/>
  <c r="J19"/>
  <c r="K19"/>
  <c r="C20"/>
  <c r="D20"/>
  <c r="E20"/>
  <c r="F20"/>
  <c r="G20"/>
  <c r="H20"/>
  <c r="I20"/>
  <c r="J20"/>
  <c r="K20"/>
  <c r="D22"/>
  <c r="F22"/>
  <c r="H22"/>
  <c r="J22"/>
  <c r="C24"/>
  <c r="D24"/>
  <c r="E24"/>
  <c r="F24"/>
  <c r="G24"/>
  <c r="H24"/>
  <c r="I24"/>
  <c r="J24"/>
  <c r="K24"/>
  <c r="C25"/>
  <c r="D25"/>
  <c r="E25"/>
  <c r="F25"/>
  <c r="G25"/>
  <c r="H25"/>
  <c r="I25"/>
  <c r="J25"/>
  <c r="K25"/>
  <c r="C26"/>
  <c r="D26"/>
  <c r="E26"/>
  <c r="F26"/>
  <c r="G26"/>
  <c r="H26"/>
  <c r="I26"/>
  <c r="J26"/>
  <c r="K26"/>
  <c r="C27"/>
  <c r="D27"/>
  <c r="E27"/>
  <c r="F27"/>
  <c r="G27"/>
  <c r="H27"/>
  <c r="I27"/>
  <c r="J27"/>
  <c r="K27"/>
  <c r="C28"/>
  <c r="D28"/>
  <c r="E28"/>
  <c r="F28"/>
  <c r="G28"/>
  <c r="H28"/>
  <c r="I28"/>
  <c r="J28"/>
  <c r="K28"/>
  <c r="C29"/>
  <c r="D29"/>
  <c r="E29"/>
  <c r="F29"/>
  <c r="G29"/>
  <c r="H29"/>
  <c r="I29"/>
  <c r="J29"/>
  <c r="K29"/>
  <c r="F31"/>
  <c r="B33"/>
  <c r="G33"/>
  <c r="I33"/>
  <c r="K33"/>
  <c r="B34"/>
  <c r="G34"/>
  <c r="I34"/>
  <c r="K34"/>
  <c r="B35"/>
  <c r="G35"/>
  <c r="I35"/>
  <c r="K35"/>
  <c r="B36"/>
  <c r="G36"/>
  <c r="I36"/>
  <c r="K36"/>
  <c r="B37"/>
  <c r="G37"/>
  <c r="I37"/>
  <c r="K37"/>
  <c r="B38"/>
  <c r="G38"/>
  <c r="I38"/>
  <c r="K38"/>
  <c r="B39"/>
  <c r="G39"/>
  <c r="I39"/>
  <c r="K39"/>
  <c r="B40"/>
  <c r="G40"/>
  <c r="I40"/>
  <c r="K40"/>
  <c r="B41"/>
  <c r="G41"/>
  <c r="I41"/>
  <c r="K41"/>
  <c r="B42"/>
  <c r="G42"/>
  <c r="I42"/>
  <c r="K42"/>
  <c r="H46"/>
  <c r="H47"/>
  <c r="H48"/>
  <c r="B55"/>
  <c r="C55"/>
  <c r="D55"/>
  <c r="E55"/>
  <c r="F55"/>
  <c r="G55"/>
  <c r="H55"/>
  <c r="I55"/>
  <c r="J55"/>
  <c r="K55"/>
  <c r="L55"/>
  <c r="M55"/>
  <c r="N55"/>
  <c r="O55"/>
  <c r="P55"/>
  <c r="Q55"/>
  <c r="E13" i="10" l="1"/>
  <c r="E14"/>
  <c r="E15"/>
  <c r="N15"/>
  <c r="H14" s="1"/>
  <c r="E16"/>
  <c r="N16"/>
  <c r="H20" s="1"/>
  <c r="E17"/>
  <c r="N17"/>
  <c r="E18"/>
  <c r="N18"/>
  <c r="E19"/>
  <c r="H19"/>
  <c r="E20"/>
  <c r="E21"/>
  <c r="H21"/>
  <c r="E22"/>
  <c r="E23"/>
  <c r="H23"/>
  <c r="E24"/>
  <c r="E25"/>
  <c r="H25"/>
  <c r="E26"/>
  <c r="H26"/>
  <c r="E27"/>
  <c r="H27"/>
  <c r="E28"/>
  <c r="H28"/>
  <c r="E29"/>
  <c r="H29"/>
  <c r="E30"/>
  <c r="H30"/>
  <c r="E31"/>
  <c r="H31"/>
  <c r="J31"/>
  <c r="L31"/>
  <c r="M31" s="1"/>
  <c r="N31" s="1"/>
  <c r="E32"/>
  <c r="H32"/>
  <c r="J32"/>
  <c r="L32"/>
  <c r="M32" s="1"/>
  <c r="N32" s="1"/>
  <c r="E33"/>
  <c r="H33"/>
  <c r="J33"/>
  <c r="L33"/>
  <c r="M33" s="1"/>
  <c r="N33" s="1"/>
  <c r="E34"/>
  <c r="H34"/>
  <c r="J34"/>
  <c r="L34"/>
  <c r="M34" s="1"/>
  <c r="N34" s="1"/>
  <c r="E35"/>
  <c r="H35"/>
  <c r="E36"/>
  <c r="H36"/>
  <c r="E37"/>
  <c r="H37"/>
  <c r="E38"/>
  <c r="H38"/>
  <c r="E39"/>
  <c r="H39"/>
  <c r="E40"/>
  <c r="H40"/>
  <c r="E41"/>
  <c r="H41"/>
  <c r="E42"/>
  <c r="H42"/>
  <c r="E43"/>
  <c r="H43"/>
  <c r="E44"/>
  <c r="H44"/>
  <c r="E45"/>
  <c r="H45"/>
  <c r="E46"/>
  <c r="H46"/>
  <c r="E47"/>
  <c r="H47"/>
  <c r="E48"/>
  <c r="H48"/>
  <c r="E49"/>
  <c r="H49"/>
  <c r="E50"/>
  <c r="H50"/>
  <c r="E51"/>
  <c r="H51"/>
  <c r="E52"/>
  <c r="H52"/>
  <c r="E53"/>
  <c r="H53"/>
  <c r="E54"/>
  <c r="H54"/>
  <c r="E55"/>
  <c r="H55"/>
  <c r="E56"/>
  <c r="H56"/>
  <c r="E57"/>
  <c r="H57"/>
  <c r="E58"/>
  <c r="H58"/>
  <c r="E59"/>
  <c r="H59"/>
  <c r="E60"/>
  <c r="H60"/>
  <c r="E61"/>
  <c r="H61"/>
  <c r="E62"/>
  <c r="H62"/>
  <c r="E63"/>
  <c r="H63"/>
  <c r="E64"/>
  <c r="H64"/>
  <c r="E65"/>
  <c r="H65"/>
  <c r="E66"/>
  <c r="H66"/>
  <c r="E67"/>
  <c r="H67"/>
  <c r="E68"/>
  <c r="H68"/>
  <c r="E69"/>
  <c r="H69"/>
  <c r="E70"/>
  <c r="H70"/>
  <c r="E71"/>
  <c r="H71"/>
  <c r="E72"/>
  <c r="H72"/>
  <c r="E73"/>
  <c r="H73"/>
  <c r="E74"/>
  <c r="H74"/>
  <c r="E75"/>
  <c r="H75"/>
  <c r="E76"/>
  <c r="H76"/>
  <c r="E77"/>
  <c r="H77"/>
  <c r="E78"/>
  <c r="H78"/>
  <c r="E79"/>
  <c r="H79"/>
  <c r="E80"/>
  <c r="H80"/>
  <c r="E81"/>
  <c r="H81"/>
  <c r="E82"/>
  <c r="H82"/>
  <c r="E83"/>
  <c r="H83"/>
  <c r="E84"/>
  <c r="H84"/>
  <c r="E85"/>
  <c r="H85"/>
  <c r="E86"/>
  <c r="H86"/>
  <c r="E87"/>
  <c r="H87"/>
  <c r="E88"/>
  <c r="H88"/>
  <c r="E89"/>
  <c r="H89"/>
  <c r="E90"/>
  <c r="H90"/>
  <c r="E91"/>
  <c r="H91"/>
  <c r="E92"/>
  <c r="H92"/>
  <c r="E93"/>
  <c r="H93"/>
  <c r="E94"/>
  <c r="H94"/>
  <c r="E95"/>
  <c r="H95"/>
  <c r="E96"/>
  <c r="H96"/>
  <c r="E97"/>
  <c r="H97"/>
  <c r="E98"/>
  <c r="H98"/>
  <c r="E99"/>
  <c r="H99"/>
  <c r="E100"/>
  <c r="H100"/>
  <c r="E101"/>
  <c r="H101"/>
  <c r="E102"/>
  <c r="H102"/>
  <c r="E103"/>
  <c r="H103"/>
  <c r="E104"/>
  <c r="H104"/>
  <c r="E105"/>
  <c r="H105"/>
  <c r="E106"/>
  <c r="H106"/>
  <c r="E107"/>
  <c r="H107"/>
  <c r="E108"/>
  <c r="H108"/>
  <c r="E109"/>
  <c r="H109"/>
  <c r="E110"/>
  <c r="H110"/>
  <c r="E111"/>
  <c r="H111"/>
  <c r="E112"/>
  <c r="H112"/>
  <c r="E113"/>
  <c r="H113"/>
  <c r="E114"/>
  <c r="H114"/>
  <c r="E115"/>
  <c r="H115"/>
  <c r="E116"/>
  <c r="H116"/>
  <c r="E117"/>
  <c r="H117"/>
  <c r="E118"/>
  <c r="H118"/>
  <c r="E119"/>
  <c r="H119"/>
  <c r="E120"/>
  <c r="H120"/>
  <c r="E121"/>
  <c r="H121"/>
  <c r="E122"/>
  <c r="H122"/>
  <c r="E123"/>
  <c r="H123"/>
  <c r="E124"/>
  <c r="H124"/>
  <c r="E125"/>
  <c r="H125"/>
  <c r="E126"/>
  <c r="H126"/>
  <c r="E127"/>
  <c r="H127"/>
  <c r="E128"/>
  <c r="H128"/>
  <c r="E129"/>
  <c r="H129"/>
  <c r="E130"/>
  <c r="H130"/>
  <c r="E131"/>
  <c r="H131"/>
  <c r="E132"/>
  <c r="H132"/>
  <c r="E133"/>
  <c r="H133"/>
  <c r="E134"/>
  <c r="H134"/>
  <c r="E135"/>
  <c r="H135"/>
  <c r="E136"/>
  <c r="H136"/>
  <c r="E137"/>
  <c r="H137"/>
  <c r="E138"/>
  <c r="H138"/>
  <c r="E139"/>
  <c r="H139"/>
  <c r="E140"/>
  <c r="H140"/>
  <c r="E141"/>
  <c r="H141"/>
  <c r="E142"/>
  <c r="H142"/>
  <c r="E143"/>
  <c r="H143"/>
  <c r="E144"/>
  <c r="H144"/>
  <c r="E145"/>
  <c r="H145"/>
  <c r="E146"/>
  <c r="H146"/>
  <c r="E147"/>
  <c r="H147"/>
  <c r="E148"/>
  <c r="H148"/>
  <c r="E149"/>
  <c r="H149"/>
  <c r="E150"/>
  <c r="H150"/>
  <c r="E151"/>
  <c r="H151"/>
  <c r="E152"/>
  <c r="H152"/>
  <c r="E153"/>
  <c r="H153"/>
  <c r="E154"/>
  <c r="H154"/>
  <c r="E155"/>
  <c r="H155"/>
  <c r="E156"/>
  <c r="H156"/>
  <c r="E157"/>
  <c r="H157"/>
  <c r="E158"/>
  <c r="H158"/>
  <c r="E159"/>
  <c r="H159"/>
  <c r="E160"/>
  <c r="H160"/>
  <c r="E161"/>
  <c r="H161"/>
  <c r="E162"/>
  <c r="H162"/>
  <c r="E163"/>
  <c r="H163"/>
  <c r="E164"/>
  <c r="H164"/>
  <c r="E165"/>
  <c r="H165"/>
  <c r="E166"/>
  <c r="H166"/>
  <c r="E167"/>
  <c r="H167"/>
  <c r="E168"/>
  <c r="H168"/>
  <c r="E169"/>
  <c r="H169"/>
  <c r="E170"/>
  <c r="H170"/>
  <c r="E171"/>
  <c r="H171"/>
  <c r="E172"/>
  <c r="H172"/>
  <c r="E173"/>
  <c r="H173"/>
  <c r="E174"/>
  <c r="H174"/>
  <c r="E175"/>
  <c r="H175"/>
  <c r="E176"/>
  <c r="H176"/>
  <c r="E177"/>
  <c r="H177"/>
  <c r="E178"/>
  <c r="H178"/>
  <c r="E179"/>
  <c r="H179"/>
  <c r="E180"/>
  <c r="H180"/>
  <c r="E181"/>
  <c r="H181"/>
  <c r="E182"/>
  <c r="H182"/>
  <c r="E183"/>
  <c r="H183"/>
  <c r="E184"/>
  <c r="H184"/>
  <c r="E185"/>
  <c r="H185"/>
  <c r="E186"/>
  <c r="H186"/>
  <c r="E187"/>
  <c r="H187"/>
  <c r="E188"/>
  <c r="H188"/>
  <c r="E189"/>
  <c r="H189"/>
  <c r="E190"/>
  <c r="H190"/>
  <c r="E191"/>
  <c r="H191"/>
  <c r="E192"/>
  <c r="H192"/>
  <c r="E193"/>
  <c r="H193"/>
  <c r="E194"/>
  <c r="H194"/>
  <c r="E195"/>
  <c r="H195"/>
  <c r="E196"/>
  <c r="H196"/>
  <c r="E197"/>
  <c r="H197"/>
  <c r="E198"/>
  <c r="H198"/>
  <c r="E199"/>
  <c r="H199"/>
  <c r="E200"/>
  <c r="H200"/>
  <c r="E201"/>
  <c r="H201"/>
  <c r="E202"/>
  <c r="H202"/>
  <c r="E203"/>
  <c r="H203"/>
  <c r="E204"/>
  <c r="H204"/>
  <c r="E205"/>
  <c r="H205"/>
  <c r="E206"/>
  <c r="H206"/>
  <c r="E207"/>
  <c r="H207"/>
  <c r="E208"/>
  <c r="H208"/>
  <c r="E209"/>
  <c r="H209"/>
  <c r="E210"/>
  <c r="H210"/>
  <c r="E211"/>
  <c r="H211"/>
  <c r="E212"/>
  <c r="H212"/>
  <c r="E213"/>
  <c r="H213"/>
  <c r="E214"/>
  <c r="H214"/>
  <c r="E215"/>
  <c r="H215"/>
  <c r="E216"/>
  <c r="H216"/>
  <c r="E217"/>
  <c r="H217"/>
  <c r="E218"/>
  <c r="H218"/>
  <c r="E219"/>
  <c r="H219"/>
  <c r="E220"/>
  <c r="H220"/>
  <c r="E221"/>
  <c r="H221"/>
  <c r="E222"/>
  <c r="H222"/>
  <c r="E223"/>
  <c r="H223"/>
  <c r="E224"/>
  <c r="H224"/>
  <c r="E225"/>
  <c r="H225"/>
  <c r="E226"/>
  <c r="H226"/>
  <c r="E227"/>
  <c r="H227"/>
  <c r="E228"/>
  <c r="H228"/>
  <c r="E229"/>
  <c r="H229"/>
  <c r="E230"/>
  <c r="H230"/>
  <c r="E231"/>
  <c r="H231"/>
  <c r="E232"/>
  <c r="H232"/>
  <c r="E233"/>
  <c r="H233"/>
  <c r="E234"/>
  <c r="H234"/>
  <c r="E235"/>
  <c r="H235"/>
  <c r="E236"/>
  <c r="H236"/>
  <c r="E237"/>
  <c r="H237"/>
  <c r="E238"/>
  <c r="H238"/>
  <c r="E239"/>
  <c r="H239"/>
  <c r="E240"/>
  <c r="H240"/>
  <c r="E241"/>
  <c r="H241"/>
  <c r="E242"/>
  <c r="H242"/>
  <c r="E243"/>
  <c r="H243"/>
  <c r="E244"/>
  <c r="H244"/>
  <c r="E245"/>
  <c r="H245"/>
  <c r="E246"/>
  <c r="H246"/>
  <c r="E247"/>
  <c r="H247"/>
  <c r="E248"/>
  <c r="H248"/>
  <c r="E249"/>
  <c r="H249"/>
  <c r="E250"/>
  <c r="H250"/>
  <c r="E251"/>
  <c r="H251"/>
  <c r="E252"/>
  <c r="H252"/>
  <c r="E253"/>
  <c r="H253"/>
  <c r="E254"/>
  <c r="H254"/>
  <c r="E255"/>
  <c r="H255"/>
  <c r="E256"/>
  <c r="H256"/>
  <c r="H24" l="1"/>
  <c r="H16"/>
  <c r="H15"/>
  <c r="H13"/>
  <c r="H18"/>
  <c r="H22"/>
  <c r="H17"/>
  <c r="B4" i="9"/>
  <c r="B5"/>
  <c r="B6"/>
  <c r="F52"/>
  <c r="F76" s="1"/>
  <c r="F82" s="1"/>
  <c r="G52"/>
  <c r="G76" s="1"/>
  <c r="G82" s="1"/>
  <c r="J52"/>
  <c r="J76" s="1"/>
  <c r="J82" s="1"/>
  <c r="K52"/>
  <c r="K76" s="1"/>
  <c r="K82" s="1"/>
  <c r="D53"/>
  <c r="E53"/>
  <c r="E55" s="1"/>
  <c r="F53"/>
  <c r="G53"/>
  <c r="G55" s="1"/>
  <c r="H53"/>
  <c r="I53"/>
  <c r="I55" s="1"/>
  <c r="J53"/>
  <c r="K53"/>
  <c r="L53"/>
  <c r="D54"/>
  <c r="D55" s="1"/>
  <c r="E54"/>
  <c r="F54"/>
  <c r="F60" s="1"/>
  <c r="F78" s="1"/>
  <c r="F79" s="1"/>
  <c r="G54"/>
  <c r="H54"/>
  <c r="H55" s="1"/>
  <c r="I54"/>
  <c r="J54"/>
  <c r="K54"/>
  <c r="L54"/>
  <c r="L55" s="1"/>
  <c r="K55"/>
  <c r="G58"/>
  <c r="E60"/>
  <c r="E78" s="1"/>
  <c r="G60"/>
  <c r="G78" s="1"/>
  <c r="I60"/>
  <c r="J60"/>
  <c r="J78" s="1"/>
  <c r="J79" s="1"/>
  <c r="K60"/>
  <c r="L60"/>
  <c r="L78" s="1"/>
  <c r="L79" s="1"/>
  <c r="G64"/>
  <c r="E66"/>
  <c r="E71" s="1"/>
  <c r="E73" s="1"/>
  <c r="G66"/>
  <c r="G71" s="1"/>
  <c r="G73" s="1"/>
  <c r="I66"/>
  <c r="I71" s="1"/>
  <c r="I73" s="1"/>
  <c r="J66"/>
  <c r="J71" s="1"/>
  <c r="J73" s="1"/>
  <c r="K66"/>
  <c r="L66"/>
  <c r="G70"/>
  <c r="D71"/>
  <c r="K71"/>
  <c r="K73" s="1"/>
  <c r="D72"/>
  <c r="E72"/>
  <c r="F72"/>
  <c r="G72"/>
  <c r="H72"/>
  <c r="I72"/>
  <c r="J72"/>
  <c r="K72"/>
  <c r="L72"/>
  <c r="D77"/>
  <c r="E77"/>
  <c r="F77"/>
  <c r="G77"/>
  <c r="G79" s="1"/>
  <c r="H77"/>
  <c r="I77"/>
  <c r="J77"/>
  <c r="K77"/>
  <c r="K79" s="1"/>
  <c r="L77"/>
  <c r="I78"/>
  <c r="K78"/>
  <c r="B4" i="8"/>
  <c r="B5" s="1"/>
  <c r="B6"/>
  <c r="E49"/>
  <c r="E72" s="1"/>
  <c r="E78" s="1"/>
  <c r="F49"/>
  <c r="F55" s="1"/>
  <c r="G49"/>
  <c r="G72" s="1"/>
  <c r="G78" s="1"/>
  <c r="I49"/>
  <c r="I55" s="1"/>
  <c r="J49"/>
  <c r="J55" s="1"/>
  <c r="K49"/>
  <c r="K72" s="1"/>
  <c r="K78" s="1"/>
  <c r="D50"/>
  <c r="D52" s="1"/>
  <c r="E50"/>
  <c r="E56" s="1"/>
  <c r="E73" s="1"/>
  <c r="F50"/>
  <c r="F52" s="1"/>
  <c r="G50"/>
  <c r="H50"/>
  <c r="H52" s="1"/>
  <c r="I50"/>
  <c r="I56" s="1"/>
  <c r="I73" s="1"/>
  <c r="J50"/>
  <c r="J52" s="1"/>
  <c r="K50"/>
  <c r="L50"/>
  <c r="L56" s="1"/>
  <c r="D51"/>
  <c r="E51"/>
  <c r="F51"/>
  <c r="G51"/>
  <c r="G52" s="1"/>
  <c r="H51"/>
  <c r="I51"/>
  <c r="J51"/>
  <c r="K51"/>
  <c r="K52" s="1"/>
  <c r="L51"/>
  <c r="L52"/>
  <c r="G55"/>
  <c r="F56"/>
  <c r="F73" s="1"/>
  <c r="G56"/>
  <c r="G73" s="1"/>
  <c r="J56"/>
  <c r="J73" s="1"/>
  <c r="K56"/>
  <c r="K73" s="1"/>
  <c r="D57"/>
  <c r="E57"/>
  <c r="F57"/>
  <c r="G57"/>
  <c r="H57"/>
  <c r="I57"/>
  <c r="J57"/>
  <c r="J60" s="1"/>
  <c r="J80" s="1"/>
  <c r="J83" s="1"/>
  <c r="K57"/>
  <c r="L57"/>
  <c r="D60"/>
  <c r="F60"/>
  <c r="G60"/>
  <c r="G80" s="1"/>
  <c r="H60"/>
  <c r="K60"/>
  <c r="K80" s="1"/>
  <c r="L60"/>
  <c r="L80" s="1"/>
  <c r="D61"/>
  <c r="D64" s="1"/>
  <c r="E61"/>
  <c r="F61"/>
  <c r="F62" s="1"/>
  <c r="G61"/>
  <c r="G74" s="1"/>
  <c r="H61"/>
  <c r="H64" s="1"/>
  <c r="I61"/>
  <c r="J61"/>
  <c r="K61"/>
  <c r="K64" s="1"/>
  <c r="K66" s="1"/>
  <c r="L61"/>
  <c r="L64" s="1"/>
  <c r="B64"/>
  <c r="E64"/>
  <c r="E66" s="1"/>
  <c r="G64"/>
  <c r="I64"/>
  <c r="B65"/>
  <c r="D65"/>
  <c r="E65"/>
  <c r="F65"/>
  <c r="G65"/>
  <c r="H65"/>
  <c r="I65"/>
  <c r="J65"/>
  <c r="K65"/>
  <c r="L65"/>
  <c r="F72"/>
  <c r="F78" s="1"/>
  <c r="D74"/>
  <c r="E74"/>
  <c r="I74"/>
  <c r="K74"/>
  <c r="L74"/>
  <c r="D80"/>
  <c r="F80"/>
  <c r="H80"/>
  <c r="F83"/>
  <c r="D84"/>
  <c r="E84"/>
  <c r="G84"/>
  <c r="H84"/>
  <c r="I84"/>
  <c r="L84"/>
  <c r="B4" i="7"/>
  <c r="B5" s="1"/>
  <c r="B8"/>
  <c r="C11"/>
  <c r="D11"/>
  <c r="E11"/>
  <c r="F11"/>
  <c r="G11"/>
  <c r="H11"/>
  <c r="I11"/>
  <c r="J11"/>
  <c r="J33" s="1"/>
  <c r="K11"/>
  <c r="B13"/>
  <c r="C13"/>
  <c r="D13"/>
  <c r="E13"/>
  <c r="F13"/>
  <c r="G13"/>
  <c r="H13"/>
  <c r="I13"/>
  <c r="J13"/>
  <c r="K13"/>
  <c r="B14"/>
  <c r="C14"/>
  <c r="D14"/>
  <c r="E14"/>
  <c r="F14"/>
  <c r="G14"/>
  <c r="H14"/>
  <c r="I14"/>
  <c r="J14"/>
  <c r="K14"/>
  <c r="B15"/>
  <c r="C15"/>
  <c r="D15"/>
  <c r="E15"/>
  <c r="F15"/>
  <c r="G15"/>
  <c r="H15"/>
  <c r="I15"/>
  <c r="J15"/>
  <c r="K15"/>
  <c r="B16"/>
  <c r="C16"/>
  <c r="D16"/>
  <c r="E16"/>
  <c r="F16"/>
  <c r="G16"/>
  <c r="H16"/>
  <c r="I16"/>
  <c r="J16"/>
  <c r="K16"/>
  <c r="B17"/>
  <c r="C17"/>
  <c r="D17"/>
  <c r="E17"/>
  <c r="F17"/>
  <c r="G17"/>
  <c r="H17"/>
  <c r="I17"/>
  <c r="J17"/>
  <c r="K17"/>
  <c r="B18"/>
  <c r="C18"/>
  <c r="D18"/>
  <c r="E18"/>
  <c r="F18"/>
  <c r="G18"/>
  <c r="H18"/>
  <c r="I18"/>
  <c r="J18"/>
  <c r="K18"/>
  <c r="B19"/>
  <c r="C19"/>
  <c r="D19"/>
  <c r="E19"/>
  <c r="F19"/>
  <c r="G19"/>
  <c r="H19"/>
  <c r="I19"/>
  <c r="J19"/>
  <c r="K19"/>
  <c r="B20"/>
  <c r="C20"/>
  <c r="D20"/>
  <c r="E20"/>
  <c r="F20"/>
  <c r="G20"/>
  <c r="H20"/>
  <c r="I20"/>
  <c r="J20"/>
  <c r="K20"/>
  <c r="B21"/>
  <c r="C21"/>
  <c r="D21"/>
  <c r="E21"/>
  <c r="F21"/>
  <c r="G21"/>
  <c r="H21"/>
  <c r="I21"/>
  <c r="J21"/>
  <c r="K21"/>
  <c r="B22"/>
  <c r="C22"/>
  <c r="D22"/>
  <c r="E22"/>
  <c r="F22"/>
  <c r="G22"/>
  <c r="H22"/>
  <c r="I22"/>
  <c r="J22"/>
  <c r="K22"/>
  <c r="B23"/>
  <c r="C23"/>
  <c r="D23"/>
  <c r="E23"/>
  <c r="F23"/>
  <c r="G23"/>
  <c r="H23"/>
  <c r="I23"/>
  <c r="J23"/>
  <c r="K23"/>
  <c r="B24"/>
  <c r="C24"/>
  <c r="D24"/>
  <c r="E24"/>
  <c r="F24"/>
  <c r="G24"/>
  <c r="H24"/>
  <c r="I24"/>
  <c r="J24"/>
  <c r="K24"/>
  <c r="B25"/>
  <c r="C25"/>
  <c r="D25"/>
  <c r="E25"/>
  <c r="F25"/>
  <c r="G25"/>
  <c r="H25"/>
  <c r="I25"/>
  <c r="J25"/>
  <c r="K25"/>
  <c r="B26"/>
  <c r="C26"/>
  <c r="D26"/>
  <c r="E26"/>
  <c r="F26"/>
  <c r="G26"/>
  <c r="H26"/>
  <c r="I26"/>
  <c r="J26"/>
  <c r="K26"/>
  <c r="B27"/>
  <c r="C27"/>
  <c r="D27"/>
  <c r="E27"/>
  <c r="F27"/>
  <c r="G27"/>
  <c r="H27"/>
  <c r="I27"/>
  <c r="J27"/>
  <c r="K27"/>
  <c r="B30"/>
  <c r="K33"/>
  <c r="C35"/>
  <c r="D35"/>
  <c r="E35"/>
  <c r="F35"/>
  <c r="G35"/>
  <c r="H35"/>
  <c r="I35"/>
  <c r="J35"/>
  <c r="K35"/>
  <c r="B36"/>
  <c r="C36"/>
  <c r="D36"/>
  <c r="E36"/>
  <c r="F36"/>
  <c r="G36"/>
  <c r="H36"/>
  <c r="I36"/>
  <c r="J36"/>
  <c r="K36"/>
  <c r="B37"/>
  <c r="C37"/>
  <c r="D37"/>
  <c r="E37"/>
  <c r="F37"/>
  <c r="G37"/>
  <c r="H37"/>
  <c r="I37"/>
  <c r="J37"/>
  <c r="K37"/>
  <c r="B38"/>
  <c r="C38"/>
  <c r="D38"/>
  <c r="E38"/>
  <c r="F38"/>
  <c r="G38"/>
  <c r="H38"/>
  <c r="I38"/>
  <c r="J38"/>
  <c r="K38"/>
  <c r="B39"/>
  <c r="C39"/>
  <c r="D39"/>
  <c r="E39"/>
  <c r="F39"/>
  <c r="G39"/>
  <c r="H39"/>
  <c r="I39"/>
  <c r="J39"/>
  <c r="K39"/>
  <c r="B42"/>
  <c r="B43"/>
  <c r="B44"/>
  <c r="B45"/>
  <c r="B46"/>
  <c r="B47"/>
  <c r="B48"/>
  <c r="B4" i="6"/>
  <c r="B5" s="1"/>
  <c r="B8"/>
  <c r="C9"/>
  <c r="D9"/>
  <c r="E9"/>
  <c r="F9"/>
  <c r="G9"/>
  <c r="H9"/>
  <c r="I9"/>
  <c r="J9"/>
  <c r="K9"/>
  <c r="E11"/>
  <c r="I11"/>
  <c r="E20"/>
  <c r="I20"/>
  <c r="E23"/>
  <c r="I23"/>
  <c r="C24"/>
  <c r="K24"/>
  <c r="D35"/>
  <c r="D41" s="1"/>
  <c r="E35"/>
  <c r="H35"/>
  <c r="H41" s="1"/>
  <c r="I35"/>
  <c r="I41" s="1"/>
  <c r="E41"/>
  <c r="C46"/>
  <c r="D46"/>
  <c r="G46"/>
  <c r="K46"/>
  <c r="B4" i="5"/>
  <c r="B5" s="1"/>
  <c r="B10"/>
  <c r="D12" a="1"/>
  <c r="D13" s="1"/>
  <c r="D19"/>
  <c r="D20"/>
  <c r="H28"/>
  <c r="B46"/>
  <c r="B47"/>
  <c r="C47"/>
  <c r="C48"/>
  <c r="C49"/>
  <c r="C50"/>
  <c r="C51"/>
  <c r="C52"/>
  <c r="C53"/>
  <c r="C54"/>
  <c r="C55"/>
  <c r="C56"/>
  <c r="C57"/>
  <c r="C58"/>
  <c r="C59"/>
  <c r="C60"/>
  <c r="C61"/>
  <c r="B4" i="4"/>
  <c r="B5" s="1"/>
  <c r="B8"/>
  <c r="D49" i="8"/>
  <c r="D9" i="4"/>
  <c r="E52" i="9" s="1"/>
  <c r="E9" i="4"/>
  <c r="F9"/>
  <c r="G9"/>
  <c r="H49" i="8" s="1"/>
  <c r="H9" i="4"/>
  <c r="I52" i="9" s="1"/>
  <c r="I9" i="4"/>
  <c r="J9"/>
  <c r="K9"/>
  <c r="L49" i="8" s="1"/>
  <c r="C13" i="4"/>
  <c r="C35" i="6" s="1"/>
  <c r="D13" i="4"/>
  <c r="E14" s="1"/>
  <c r="E13"/>
  <c r="E33" i="6" s="1"/>
  <c r="E39" s="1"/>
  <c r="F13" i="4"/>
  <c r="F14" s="1"/>
  <c r="F11" i="6" s="1"/>
  <c r="G13" i="4"/>
  <c r="G35" i="6" s="1"/>
  <c r="G41" s="1"/>
  <c r="H13" i="4"/>
  <c r="I14" s="1"/>
  <c r="I13"/>
  <c r="I33" i="6" s="1"/>
  <c r="I39" s="1"/>
  <c r="J13" i="4"/>
  <c r="J14" s="1"/>
  <c r="J11" i="6" s="1"/>
  <c r="K13" i="4"/>
  <c r="K35" i="6" s="1"/>
  <c r="K41" s="1"/>
  <c r="L13" i="4"/>
  <c r="L14" s="1"/>
  <c r="K14"/>
  <c r="K11" i="6" s="1"/>
  <c r="C16" i="4"/>
  <c r="C17" s="1"/>
  <c r="D16"/>
  <c r="E16"/>
  <c r="E17" s="1"/>
  <c r="F16"/>
  <c r="G16"/>
  <c r="H16"/>
  <c r="I16"/>
  <c r="I17" s="1"/>
  <c r="J16"/>
  <c r="K16"/>
  <c r="L16"/>
  <c r="G17"/>
  <c r="C19"/>
  <c r="C20" s="1"/>
  <c r="C17" i="6" s="1"/>
  <c r="C22" i="4"/>
  <c r="C23" s="1"/>
  <c r="C20" i="6" s="1"/>
  <c r="D22" i="4"/>
  <c r="E22"/>
  <c r="E23" s="1"/>
  <c r="F22"/>
  <c r="G22"/>
  <c r="G23" s="1"/>
  <c r="G20" i="6" s="1"/>
  <c r="H22" i="4"/>
  <c r="I22"/>
  <c r="I23" s="1"/>
  <c r="J22"/>
  <c r="K22"/>
  <c r="K23" s="1"/>
  <c r="K20" i="6" s="1"/>
  <c r="L25" i="4"/>
  <c r="C28"/>
  <c r="C29" s="1"/>
  <c r="D28"/>
  <c r="E28"/>
  <c r="E29" s="1"/>
  <c r="F28"/>
  <c r="G28"/>
  <c r="H28"/>
  <c r="I28"/>
  <c r="I29" s="1"/>
  <c r="J28"/>
  <c r="K28"/>
  <c r="K29" s="1"/>
  <c r="L28"/>
  <c r="G29"/>
  <c r="C31"/>
  <c r="D31"/>
  <c r="E31"/>
  <c r="E32" s="1"/>
  <c r="E24" i="6" s="1"/>
  <c r="F31" i="4"/>
  <c r="G31"/>
  <c r="H31"/>
  <c r="I31"/>
  <c r="I32" s="1"/>
  <c r="I24" i="6" s="1"/>
  <c r="J31" i="4"/>
  <c r="K31"/>
  <c r="L31"/>
  <c r="C32"/>
  <c r="J32"/>
  <c r="J24" i="6" s="1"/>
  <c r="K32" i="4"/>
  <c r="C37"/>
  <c r="D37"/>
  <c r="E37"/>
  <c r="F37"/>
  <c r="G37"/>
  <c r="H37"/>
  <c r="I37"/>
  <c r="J37"/>
  <c r="K37"/>
  <c r="L37"/>
  <c r="C43"/>
  <c r="C48" s="1"/>
  <c r="D43"/>
  <c r="D48" s="1"/>
  <c r="E43"/>
  <c r="E48" s="1"/>
  <c r="E14" i="6" s="1"/>
  <c r="F43" i="4"/>
  <c r="G43"/>
  <c r="G48" s="1"/>
  <c r="H43"/>
  <c r="I43"/>
  <c r="I48" s="1"/>
  <c r="I14" i="6" s="1"/>
  <c r="J43" i="4"/>
  <c r="K43"/>
  <c r="K48" s="1"/>
  <c r="L43"/>
  <c r="L48" s="1"/>
  <c r="F48"/>
  <c r="F14" i="6" s="1"/>
  <c r="H48" i="4"/>
  <c r="H14" i="6" s="1"/>
  <c r="J48" i="4"/>
  <c r="C55"/>
  <c r="D55"/>
  <c r="D37" i="6" s="1"/>
  <c r="E55" i="4"/>
  <c r="E37" i="6" s="1"/>
  <c r="F55" i="4"/>
  <c r="F59" s="1"/>
  <c r="G55"/>
  <c r="H55"/>
  <c r="H37" i="6" s="1"/>
  <c r="I55" i="4"/>
  <c r="I37" i="6" s="1"/>
  <c r="J55" i="4"/>
  <c r="K55"/>
  <c r="C56"/>
  <c r="C59" s="1"/>
  <c r="D56"/>
  <c r="E56"/>
  <c r="F56"/>
  <c r="G56"/>
  <c r="G59" s="1"/>
  <c r="H56"/>
  <c r="I56"/>
  <c r="J56"/>
  <c r="K56"/>
  <c r="K59" s="1"/>
  <c r="C57"/>
  <c r="D57"/>
  <c r="E57"/>
  <c r="F57"/>
  <c r="G57"/>
  <c r="H57"/>
  <c r="I57"/>
  <c r="J57"/>
  <c r="K57"/>
  <c r="C58"/>
  <c r="D58"/>
  <c r="E58"/>
  <c r="E34" i="6" s="1"/>
  <c r="E40" s="1"/>
  <c r="F58" i="4"/>
  <c r="G58"/>
  <c r="H58"/>
  <c r="I58"/>
  <c r="I34" i="6" s="1"/>
  <c r="I40" s="1"/>
  <c r="J58" i="4"/>
  <c r="K58"/>
  <c r="J59"/>
  <c r="C61"/>
  <c r="D61"/>
  <c r="E61"/>
  <c r="F61"/>
  <c r="G61"/>
  <c r="H61"/>
  <c r="I61"/>
  <c r="J61"/>
  <c r="K61"/>
  <c r="C62"/>
  <c r="D62"/>
  <c r="E62"/>
  <c r="F62"/>
  <c r="G62"/>
  <c r="H62"/>
  <c r="I62"/>
  <c r="J62"/>
  <c r="K62"/>
  <c r="C63"/>
  <c r="D63"/>
  <c r="E63"/>
  <c r="F63"/>
  <c r="G63"/>
  <c r="H63"/>
  <c r="I63"/>
  <c r="J63"/>
  <c r="K63"/>
  <c r="C67"/>
  <c r="C64" s="1"/>
  <c r="D67"/>
  <c r="D64" s="1"/>
  <c r="E67"/>
  <c r="F67"/>
  <c r="G67"/>
  <c r="G64" s="1"/>
  <c r="H67"/>
  <c r="H64" s="1"/>
  <c r="I67"/>
  <c r="J67"/>
  <c r="K67"/>
  <c r="K64" s="1"/>
  <c r="C68"/>
  <c r="D68"/>
  <c r="E68"/>
  <c r="F68"/>
  <c r="G68"/>
  <c r="H68"/>
  <c r="I68"/>
  <c r="J68"/>
  <c r="K68"/>
  <c r="C69"/>
  <c r="D69"/>
  <c r="E69"/>
  <c r="F69"/>
  <c r="G69"/>
  <c r="H69"/>
  <c r="I69"/>
  <c r="J69"/>
  <c r="K69"/>
  <c r="D79"/>
  <c r="D86" s="1"/>
  <c r="E79"/>
  <c r="F79"/>
  <c r="G79"/>
  <c r="H79"/>
  <c r="I79"/>
  <c r="J79"/>
  <c r="K79"/>
  <c r="D80"/>
  <c r="E80"/>
  <c r="F80"/>
  <c r="G80"/>
  <c r="H80"/>
  <c r="I80"/>
  <c r="J80"/>
  <c r="K80"/>
  <c r="D81"/>
  <c r="E81"/>
  <c r="F81"/>
  <c r="G81"/>
  <c r="H81"/>
  <c r="I81"/>
  <c r="J81"/>
  <c r="K81"/>
  <c r="D82"/>
  <c r="E82"/>
  <c r="F82"/>
  <c r="G82"/>
  <c r="H82"/>
  <c r="I82"/>
  <c r="J82"/>
  <c r="K82"/>
  <c r="D83"/>
  <c r="E83"/>
  <c r="F83"/>
  <c r="G83"/>
  <c r="H83"/>
  <c r="I83"/>
  <c r="J83"/>
  <c r="K83"/>
  <c r="D84"/>
  <c r="E84"/>
  <c r="F84"/>
  <c r="G84"/>
  <c r="H84"/>
  <c r="I84"/>
  <c r="J84"/>
  <c r="K84"/>
  <c r="D85"/>
  <c r="E85"/>
  <c r="F85"/>
  <c r="G85"/>
  <c r="H85"/>
  <c r="I85"/>
  <c r="J85"/>
  <c r="K85"/>
  <c r="C86"/>
  <c r="F86"/>
  <c r="H86"/>
  <c r="I46" i="6" s="1"/>
  <c r="J86" i="4"/>
  <c r="D89"/>
  <c r="E89"/>
  <c r="F89"/>
  <c r="G89"/>
  <c r="H89"/>
  <c r="I89"/>
  <c r="J89"/>
  <c r="K89"/>
  <c r="K97" s="1"/>
  <c r="D90"/>
  <c r="E90"/>
  <c r="F90"/>
  <c r="G90"/>
  <c r="H90"/>
  <c r="I90"/>
  <c r="J90"/>
  <c r="K90"/>
  <c r="D91"/>
  <c r="E91"/>
  <c r="F91"/>
  <c r="G91"/>
  <c r="H91"/>
  <c r="I91"/>
  <c r="J91"/>
  <c r="K91"/>
  <c r="D92"/>
  <c r="E92"/>
  <c r="F92"/>
  <c r="G92"/>
  <c r="H92"/>
  <c r="I92"/>
  <c r="J92"/>
  <c r="K92"/>
  <c r="D93"/>
  <c r="E93"/>
  <c r="F93"/>
  <c r="G93"/>
  <c r="H93"/>
  <c r="I93"/>
  <c r="J93"/>
  <c r="K93"/>
  <c r="D94"/>
  <c r="E94"/>
  <c r="F94"/>
  <c r="G94"/>
  <c r="H94"/>
  <c r="I94"/>
  <c r="J94"/>
  <c r="K94"/>
  <c r="D95"/>
  <c r="E95"/>
  <c r="F95"/>
  <c r="G95"/>
  <c r="H95"/>
  <c r="I95"/>
  <c r="J95"/>
  <c r="K95"/>
  <c r="D96"/>
  <c r="E96"/>
  <c r="F96"/>
  <c r="G96"/>
  <c r="H96"/>
  <c r="I96"/>
  <c r="J96"/>
  <c r="K96"/>
  <c r="C97"/>
  <c r="E97"/>
  <c r="G97"/>
  <c r="I97"/>
  <c r="D100"/>
  <c r="E100"/>
  <c r="F100"/>
  <c r="G100"/>
  <c r="H100"/>
  <c r="I100"/>
  <c r="J100"/>
  <c r="J106" s="1"/>
  <c r="K100"/>
  <c r="D101"/>
  <c r="E101"/>
  <c r="F101"/>
  <c r="G101"/>
  <c r="H101"/>
  <c r="I101"/>
  <c r="J101"/>
  <c r="K101"/>
  <c r="D102"/>
  <c r="E102"/>
  <c r="F102"/>
  <c r="G102"/>
  <c r="H102"/>
  <c r="I102"/>
  <c r="J102"/>
  <c r="K102"/>
  <c r="D103"/>
  <c r="E103"/>
  <c r="F103"/>
  <c r="G103"/>
  <c r="H103"/>
  <c r="I103"/>
  <c r="J103"/>
  <c r="K103"/>
  <c r="D104"/>
  <c r="E104"/>
  <c r="F104"/>
  <c r="G104"/>
  <c r="H104"/>
  <c r="I104"/>
  <c r="J104"/>
  <c r="K104"/>
  <c r="D105"/>
  <c r="E105"/>
  <c r="F105"/>
  <c r="G105"/>
  <c r="H105"/>
  <c r="I105"/>
  <c r="J105"/>
  <c r="K105"/>
  <c r="C106"/>
  <c r="D106"/>
  <c r="F106"/>
  <c r="H106"/>
  <c r="C108"/>
  <c r="J14" i="6" l="1"/>
  <c r="K55" i="8"/>
  <c r="K14" i="6"/>
  <c r="G14"/>
  <c r="K64" i="9"/>
  <c r="K58"/>
  <c r="K70" s="1"/>
  <c r="D14" i="6"/>
  <c r="K79" i="8"/>
  <c r="K75"/>
  <c r="L73"/>
  <c r="L79" s="1"/>
  <c r="L81" s="1"/>
  <c r="L58"/>
  <c r="E46" i="6"/>
  <c r="E44"/>
  <c r="L55" i="8"/>
  <c r="L72"/>
  <c r="L78" s="1"/>
  <c r="H55"/>
  <c r="H72"/>
  <c r="H78" s="1"/>
  <c r="D55"/>
  <c r="D72"/>
  <c r="D78" s="1"/>
  <c r="I75"/>
  <c r="I79"/>
  <c r="E75"/>
  <c r="E79"/>
  <c r="I42" i="6"/>
  <c r="E42"/>
  <c r="C41"/>
  <c r="I76" i="9"/>
  <c r="I82" s="1"/>
  <c r="I58"/>
  <c r="I70" s="1"/>
  <c r="I64"/>
  <c r="E76"/>
  <c r="E82" s="1"/>
  <c r="E58"/>
  <c r="E70" s="1"/>
  <c r="E64"/>
  <c r="G75" i="8"/>
  <c r="G79"/>
  <c r="M14" i="6"/>
  <c r="E106" i="4"/>
  <c r="F97"/>
  <c r="G86"/>
  <c r="J36" i="6"/>
  <c r="F36"/>
  <c r="J33"/>
  <c r="J39" s="1"/>
  <c r="F33"/>
  <c r="J62" i="8"/>
  <c r="I58"/>
  <c r="J64" i="4"/>
  <c r="G70"/>
  <c r="J29"/>
  <c r="F23"/>
  <c r="C36" i="6"/>
  <c r="F34"/>
  <c r="F40" s="1"/>
  <c r="C33"/>
  <c r="D73" i="9"/>
  <c r="D66"/>
  <c r="J64"/>
  <c r="F64"/>
  <c r="D60"/>
  <c r="J58"/>
  <c r="J70" s="1"/>
  <c r="F58"/>
  <c r="F70" s="1"/>
  <c r="J55"/>
  <c r="F55"/>
  <c r="I106" i="4"/>
  <c r="J97"/>
  <c r="K86"/>
  <c r="I70"/>
  <c r="I44" i="6"/>
  <c r="L14"/>
  <c r="E58" i="8"/>
  <c r="F64" i="4"/>
  <c r="K70"/>
  <c r="C70"/>
  <c r="E20" i="5"/>
  <c r="D14"/>
  <c r="E14" s="1"/>
  <c r="K36" i="6"/>
  <c r="G36"/>
  <c r="J34"/>
  <c r="J40" s="1"/>
  <c r="K33"/>
  <c r="K39" s="1"/>
  <c r="G33"/>
  <c r="G39" s="1"/>
  <c r="G44"/>
  <c r="J37"/>
  <c r="F37"/>
  <c r="H36"/>
  <c r="J35"/>
  <c r="J41" s="1"/>
  <c r="G34"/>
  <c r="G40" s="1"/>
  <c r="H33"/>
  <c r="H39" s="1"/>
  <c r="L75" i="8"/>
  <c r="L66"/>
  <c r="D66"/>
  <c r="K58"/>
  <c r="I52"/>
  <c r="I79" i="9"/>
  <c r="E79"/>
  <c r="L52"/>
  <c r="H52"/>
  <c r="D52"/>
  <c r="G66" i="8"/>
  <c r="K106" i="4"/>
  <c r="K108" s="1"/>
  <c r="G106"/>
  <c r="H97"/>
  <c r="D97"/>
  <c r="I86"/>
  <c r="E86"/>
  <c r="I64"/>
  <c r="E64"/>
  <c r="H59"/>
  <c r="D59"/>
  <c r="I59"/>
  <c r="E59"/>
  <c r="F32"/>
  <c r="F24" i="6" s="1"/>
  <c r="J23" i="4"/>
  <c r="G19"/>
  <c r="G20" s="1"/>
  <c r="G17" i="6" s="1"/>
  <c r="D16" i="5"/>
  <c r="K44" i="6"/>
  <c r="C44"/>
  <c r="D36"/>
  <c r="F35"/>
  <c r="F41" s="1"/>
  <c r="K34"/>
  <c r="K40" s="1"/>
  <c r="C34"/>
  <c r="C40" s="1"/>
  <c r="D33"/>
  <c r="D39" s="1"/>
  <c r="I72" i="8"/>
  <c r="I78" s="1"/>
  <c r="I66"/>
  <c r="H66"/>
  <c r="G58"/>
  <c r="H56"/>
  <c r="D56"/>
  <c r="E55"/>
  <c r="E52"/>
  <c r="E70" i="4"/>
  <c r="J70"/>
  <c r="F70"/>
  <c r="G32"/>
  <c r="G24" i="6" s="1"/>
  <c r="F29" i="4"/>
  <c r="L26"/>
  <c r="K19"/>
  <c r="K20" s="1"/>
  <c r="K17" i="6" s="1"/>
  <c r="G14" i="4"/>
  <c r="G11" i="6" s="1"/>
  <c r="D18" i="5"/>
  <c r="E19" s="1"/>
  <c r="D44" i="6"/>
  <c r="K37"/>
  <c r="G37"/>
  <c r="C37"/>
  <c r="L37" s="1"/>
  <c r="I36"/>
  <c r="E36"/>
  <c r="H34"/>
  <c r="H40" s="1"/>
  <c r="D34"/>
  <c r="D40" s="1"/>
  <c r="K23"/>
  <c r="G23"/>
  <c r="C23"/>
  <c r="K84" i="8"/>
  <c r="H74"/>
  <c r="J72"/>
  <c r="J78" s="1"/>
  <c r="F66" i="9"/>
  <c r="F71" s="1"/>
  <c r="F73" s="1"/>
  <c r="N23" i="10"/>
  <c r="N24"/>
  <c r="N25"/>
  <c r="N26"/>
  <c r="L71" i="9"/>
  <c r="L73" s="1"/>
  <c r="H66"/>
  <c r="H60"/>
  <c r="G83" i="8"/>
  <c r="G85" s="1"/>
  <c r="G81"/>
  <c r="K83"/>
  <c r="K85" s="1"/>
  <c r="K81"/>
  <c r="J79"/>
  <c r="J81" s="1"/>
  <c r="F79"/>
  <c r="F81" s="1"/>
  <c r="L83"/>
  <c r="L85" s="1"/>
  <c r="H83"/>
  <c r="H85" s="1"/>
  <c r="D83"/>
  <c r="D85" s="1"/>
  <c r="J74"/>
  <c r="J75" s="1"/>
  <c r="F74"/>
  <c r="F75" s="1"/>
  <c r="K62"/>
  <c r="K68" s="1"/>
  <c r="G62"/>
  <c r="G68" s="1"/>
  <c r="I60"/>
  <c r="E60"/>
  <c r="J58"/>
  <c r="F58"/>
  <c r="J64"/>
  <c r="J66" s="1"/>
  <c r="F64"/>
  <c r="F66" s="1"/>
  <c r="F68" s="1"/>
  <c r="L62"/>
  <c r="L68" s="1"/>
  <c r="H62"/>
  <c r="D62"/>
  <c r="J84"/>
  <c r="J85" s="1"/>
  <c r="F84"/>
  <c r="F85" s="1"/>
  <c r="L40" i="6"/>
  <c r="L41"/>
  <c r="M41"/>
  <c r="J42"/>
  <c r="M35"/>
  <c r="L34"/>
  <c r="M34"/>
  <c r="F39"/>
  <c r="F42" s="1"/>
  <c r="E18" i="5"/>
  <c r="D12"/>
  <c r="D17"/>
  <c r="E17" s="1"/>
  <c r="D15"/>
  <c r="E15" s="1"/>
  <c r="H108" i="4"/>
  <c r="J108"/>
  <c r="K72"/>
  <c r="K43" i="7" s="1"/>
  <c r="J65" i="4"/>
  <c r="F65"/>
  <c r="F72" s="1"/>
  <c r="D108"/>
  <c r="E108"/>
  <c r="F108"/>
  <c r="J72"/>
  <c r="J46" i="7" s="1"/>
  <c r="K65" i="4"/>
  <c r="G65"/>
  <c r="G72" s="1"/>
  <c r="C65"/>
  <c r="C72" s="1"/>
  <c r="C46" i="7" s="1"/>
  <c r="H65" i="4"/>
  <c r="D65"/>
  <c r="H70"/>
  <c r="D70"/>
  <c r="D72" s="1"/>
  <c r="D47" i="7" s="1"/>
  <c r="J19" i="4"/>
  <c r="F19"/>
  <c r="L17"/>
  <c r="F17"/>
  <c r="L32"/>
  <c r="H32"/>
  <c r="H24" i="6" s="1"/>
  <c r="D32" i="4"/>
  <c r="D24" i="6" s="1"/>
  <c r="M24" s="1"/>
  <c r="L29" i="4"/>
  <c r="L34" s="1"/>
  <c r="H29"/>
  <c r="D29"/>
  <c r="L19"/>
  <c r="L20" s="1"/>
  <c r="H19"/>
  <c r="D19"/>
  <c r="H17"/>
  <c r="D17"/>
  <c r="H14"/>
  <c r="H11" i="6" s="1"/>
  <c r="D14" i="4"/>
  <c r="D11" i="6" s="1"/>
  <c r="K25" i="4"/>
  <c r="G25"/>
  <c r="C25"/>
  <c r="H23"/>
  <c r="D23"/>
  <c r="I19"/>
  <c r="E19"/>
  <c r="D42" i="6" l="1"/>
  <c r="M40"/>
  <c r="H42"/>
  <c r="F74" i="4"/>
  <c r="F41" i="7"/>
  <c r="F47"/>
  <c r="F48"/>
  <c r="F43"/>
  <c r="F46"/>
  <c r="F44"/>
  <c r="F42"/>
  <c r="G74" i="4"/>
  <c r="G41" i="7"/>
  <c r="G48"/>
  <c r="G42"/>
  <c r="G44"/>
  <c r="G45" i="6"/>
  <c r="G46" i="7"/>
  <c r="G43"/>
  <c r="G45"/>
  <c r="G47"/>
  <c r="G31" i="6"/>
  <c r="J34" i="5"/>
  <c r="G19" i="6"/>
  <c r="G25" s="1"/>
  <c r="G27"/>
  <c r="M11"/>
  <c r="L11"/>
  <c r="D23"/>
  <c r="D20"/>
  <c r="K31"/>
  <c r="J38" i="5"/>
  <c r="K19" i="6"/>
  <c r="K25" s="1"/>
  <c r="K15"/>
  <c r="K27"/>
  <c r="E65" i="4"/>
  <c r="E72" s="1"/>
  <c r="H58" i="9"/>
  <c r="H70" s="1"/>
  <c r="H64"/>
  <c r="H76"/>
  <c r="H82" s="1"/>
  <c r="L33" i="6"/>
  <c r="C39"/>
  <c r="C42" s="1"/>
  <c r="F20"/>
  <c r="F23"/>
  <c r="H75" i="8"/>
  <c r="L36" i="6"/>
  <c r="C47" i="7"/>
  <c r="K46"/>
  <c r="D44"/>
  <c r="K45"/>
  <c r="D43"/>
  <c r="D45"/>
  <c r="I108" i="4"/>
  <c r="J46" i="6"/>
  <c r="J45"/>
  <c r="J44"/>
  <c r="D58" i="9"/>
  <c r="D70" s="1"/>
  <c r="D64"/>
  <c r="D76"/>
  <c r="D82" s="1"/>
  <c r="G108" i="4"/>
  <c r="H44" i="6"/>
  <c r="H45"/>
  <c r="H46"/>
  <c r="J45" i="7"/>
  <c r="C31" i="6"/>
  <c r="J30" i="5"/>
  <c r="C19" i="6"/>
  <c r="C27"/>
  <c r="D74" i="4"/>
  <c r="D41" i="7"/>
  <c r="D48"/>
  <c r="D42"/>
  <c r="D45" i="6"/>
  <c r="C74" i="4"/>
  <c r="C45" i="6"/>
  <c r="C41" i="7"/>
  <c r="C42"/>
  <c r="C44"/>
  <c r="C48"/>
  <c r="J74" i="4"/>
  <c r="J41" i="7"/>
  <c r="K74" i="4"/>
  <c r="K41" i="7"/>
  <c r="K42"/>
  <c r="K44"/>
  <c r="K48"/>
  <c r="H58" i="8"/>
  <c r="H68" s="1"/>
  <c r="H73"/>
  <c r="H79" s="1"/>
  <c r="H81" s="1"/>
  <c r="J20" i="6"/>
  <c r="J23"/>
  <c r="F46"/>
  <c r="M46" s="1"/>
  <c r="F45"/>
  <c r="F44"/>
  <c r="L44" s="1"/>
  <c r="D78" i="9"/>
  <c r="D79" s="1"/>
  <c r="L24" i="6"/>
  <c r="L87" i="8"/>
  <c r="K87"/>
  <c r="J48" i="7"/>
  <c r="D46"/>
  <c r="M37" i="6"/>
  <c r="K42"/>
  <c r="F45" i="7"/>
  <c r="M36" i="6"/>
  <c r="M33"/>
  <c r="C45" i="7"/>
  <c r="J47"/>
  <c r="L35" i="6"/>
  <c r="H20"/>
  <c r="H23"/>
  <c r="L23" s="1"/>
  <c r="D73" i="8"/>
  <c r="D58"/>
  <c r="D68" s="1"/>
  <c r="I65" i="4"/>
  <c r="I72" s="1"/>
  <c r="L58" i="9"/>
  <c r="L70" s="1"/>
  <c r="L64"/>
  <c r="L76"/>
  <c r="L82" s="1"/>
  <c r="H87" i="8"/>
  <c r="K47" i="7"/>
  <c r="G42" i="6"/>
  <c r="J42" i="7"/>
  <c r="C43"/>
  <c r="J44"/>
  <c r="K45" i="6"/>
  <c r="J43" i="7"/>
  <c r="H78" i="9"/>
  <c r="H79" s="1"/>
  <c r="H71"/>
  <c r="H73" s="1"/>
  <c r="J87" i="8"/>
  <c r="G87"/>
  <c r="F87"/>
  <c r="E80"/>
  <c r="E62"/>
  <c r="E68" s="1"/>
  <c r="I80"/>
  <c r="I62"/>
  <c r="I68" s="1"/>
  <c r="J68"/>
  <c r="M42" i="6"/>
  <c r="D22" i="5"/>
  <c r="E22" s="1"/>
  <c r="D24"/>
  <c r="E24" s="1"/>
  <c r="D21"/>
  <c r="E21" s="1"/>
  <c r="D23"/>
  <c r="D25"/>
  <c r="E13"/>
  <c r="E16"/>
  <c r="C34" i="4"/>
  <c r="D65" i="9" s="1"/>
  <c r="D67" s="1"/>
  <c r="C26" i="4"/>
  <c r="C18" i="6" s="1"/>
  <c r="L35" i="4"/>
  <c r="L38"/>
  <c r="L40"/>
  <c r="D20"/>
  <c r="D17" i="6" s="1"/>
  <c r="D25" i="4"/>
  <c r="J20"/>
  <c r="J17" i="6" s="1"/>
  <c r="J25" i="4"/>
  <c r="K34"/>
  <c r="K26"/>
  <c r="K18" i="6" s="1"/>
  <c r="F20" i="4"/>
  <c r="F17" i="6" s="1"/>
  <c r="F25" i="4"/>
  <c r="E20"/>
  <c r="E17" i="6" s="1"/>
  <c r="E25" i="4"/>
  <c r="H20"/>
  <c r="H17" i="6" s="1"/>
  <c r="H25" i="4"/>
  <c r="I20"/>
  <c r="I17" i="6" s="1"/>
  <c r="I25" i="4"/>
  <c r="G34"/>
  <c r="G26"/>
  <c r="G18" i="6" s="1"/>
  <c r="H72" i="4"/>
  <c r="M44" i="6" l="1"/>
  <c r="L42"/>
  <c r="I74" i="4"/>
  <c r="I42" i="7"/>
  <c r="I47"/>
  <c r="I41"/>
  <c r="I44"/>
  <c r="I43"/>
  <c r="I45" i="6"/>
  <c r="I46" i="7"/>
  <c r="I48"/>
  <c r="I45"/>
  <c r="E15" i="6"/>
  <c r="E27"/>
  <c r="E19"/>
  <c r="E25" s="1"/>
  <c r="E31"/>
  <c r="J32" i="5"/>
  <c r="D19" i="6"/>
  <c r="D25" s="1"/>
  <c r="D27"/>
  <c r="D15"/>
  <c r="D31"/>
  <c r="J31" i="5"/>
  <c r="K31" s="1"/>
  <c r="C25" i="6"/>
  <c r="H65" i="9"/>
  <c r="H67" s="1"/>
  <c r="G12" i="6"/>
  <c r="H19"/>
  <c r="H25" s="1"/>
  <c r="H15"/>
  <c r="H27"/>
  <c r="J35" i="5"/>
  <c r="K35" s="1"/>
  <c r="H31" i="6"/>
  <c r="F31"/>
  <c r="J33" i="5"/>
  <c r="K33" s="1"/>
  <c r="F19" i="6"/>
  <c r="F25" s="1"/>
  <c r="F15"/>
  <c r="F27"/>
  <c r="J37" i="5"/>
  <c r="J31" i="6"/>
  <c r="J19"/>
  <c r="J25" s="1"/>
  <c r="J15"/>
  <c r="J27"/>
  <c r="D79" i="8"/>
  <c r="D81" s="1"/>
  <c r="D87" s="1"/>
  <c r="D75"/>
  <c r="E74" i="4"/>
  <c r="E42" i="7"/>
  <c r="E41"/>
  <c r="E47"/>
  <c r="E45" i="6"/>
  <c r="E46" i="7"/>
  <c r="E43"/>
  <c r="E44"/>
  <c r="E48"/>
  <c r="K34" i="5"/>
  <c r="L39" i="6"/>
  <c r="L45"/>
  <c r="M23"/>
  <c r="K38" i="5"/>
  <c r="I15" i="6"/>
  <c r="I27"/>
  <c r="I31"/>
  <c r="J36" i="5"/>
  <c r="I19" i="6"/>
  <c r="I25" s="1"/>
  <c r="L20"/>
  <c r="M20"/>
  <c r="H74" i="4"/>
  <c r="H41" i="7"/>
  <c r="H42"/>
  <c r="H48"/>
  <c r="H43"/>
  <c r="H44"/>
  <c r="H45"/>
  <c r="H46"/>
  <c r="H47"/>
  <c r="L65" i="9"/>
  <c r="L67" s="1"/>
  <c r="J40" i="5"/>
  <c r="M45" i="6"/>
  <c r="L46"/>
  <c r="L17"/>
  <c r="M17"/>
  <c r="E23" i="5"/>
  <c r="M39" i="6"/>
  <c r="E45" i="7"/>
  <c r="G15" i="6"/>
  <c r="E83" i="8"/>
  <c r="E85" s="1"/>
  <c r="E81"/>
  <c r="E87" s="1"/>
  <c r="I83"/>
  <c r="I85" s="1"/>
  <c r="I81"/>
  <c r="E25" i="5"/>
  <c r="I26" i="4"/>
  <c r="I18" i="6" s="1"/>
  <c r="I34" i="4"/>
  <c r="G40"/>
  <c r="G35"/>
  <c r="G38"/>
  <c r="H26"/>
  <c r="H18" i="6" s="1"/>
  <c r="H34" i="4"/>
  <c r="F34"/>
  <c r="F26"/>
  <c r="F18" i="6" s="1"/>
  <c r="J34" i="4"/>
  <c r="J26"/>
  <c r="J18" i="6" s="1"/>
  <c r="L41" i="4"/>
  <c r="L45"/>
  <c r="C40"/>
  <c r="C35"/>
  <c r="C38"/>
  <c r="E26"/>
  <c r="E18" i="6" s="1"/>
  <c r="E34" i="4"/>
  <c r="D26"/>
  <c r="D18" i="6" s="1"/>
  <c r="D34" i="4"/>
  <c r="K40"/>
  <c r="K38"/>
  <c r="K35"/>
  <c r="L18" i="6" l="1"/>
  <c r="M31"/>
  <c r="M27"/>
  <c r="D48" i="5"/>
  <c r="C29" i="6"/>
  <c r="J65" i="9"/>
  <c r="J67" s="1"/>
  <c r="I12" i="6"/>
  <c r="L25"/>
  <c r="M25"/>
  <c r="H12"/>
  <c r="I65" i="9"/>
  <c r="I67" s="1"/>
  <c r="D52" i="5"/>
  <c r="G29" i="6"/>
  <c r="M15"/>
  <c r="L15"/>
  <c r="J42" i="5"/>
  <c r="K36"/>
  <c r="L19" i="6"/>
  <c r="L31"/>
  <c r="E12"/>
  <c r="F65" i="9"/>
  <c r="F67" s="1"/>
  <c r="K65"/>
  <c r="K67" s="1"/>
  <c r="J12" i="6"/>
  <c r="E65" i="9"/>
  <c r="E67" s="1"/>
  <c r="D12" i="6"/>
  <c r="G65" i="9"/>
  <c r="G67" s="1"/>
  <c r="F12" i="6"/>
  <c r="J39" i="5"/>
  <c r="K39" s="1"/>
  <c r="K32"/>
  <c r="J43"/>
  <c r="K43" s="1"/>
  <c r="M19" i="6"/>
  <c r="D56" i="5"/>
  <c r="K29" i="6"/>
  <c r="K40" i="5"/>
  <c r="M18" i="6"/>
  <c r="J41" i="5"/>
  <c r="K41" s="1"/>
  <c r="K12" i="6"/>
  <c r="K37" i="5"/>
  <c r="L27" i="6"/>
  <c r="I87" i="8"/>
  <c r="D35" i="4"/>
  <c r="D38"/>
  <c r="D40"/>
  <c r="F40"/>
  <c r="G13" i="6" s="1"/>
  <c r="F35" i="4"/>
  <c r="F38"/>
  <c r="K45"/>
  <c r="K41"/>
  <c r="K21" i="6" s="1"/>
  <c r="L49" i="4"/>
  <c r="L51" s="1"/>
  <c r="E35"/>
  <c r="E40"/>
  <c r="E38"/>
  <c r="C45"/>
  <c r="C41"/>
  <c r="C21" i="6" s="1"/>
  <c r="J40" i="4"/>
  <c r="J35"/>
  <c r="J38"/>
  <c r="I35"/>
  <c r="I40"/>
  <c r="I38"/>
  <c r="H35"/>
  <c r="H38"/>
  <c r="H40"/>
  <c r="G41"/>
  <c r="G21" i="6" s="1"/>
  <c r="G45" i="4"/>
  <c r="L12" i="6" l="1"/>
  <c r="D53" i="5"/>
  <c r="E53" s="1"/>
  <c r="H13" i="6"/>
  <c r="H29"/>
  <c r="D50" i="5"/>
  <c r="E13" i="6"/>
  <c r="E29"/>
  <c r="K42" i="5"/>
  <c r="I13" i="6"/>
  <c r="I29"/>
  <c r="D54" i="5"/>
  <c r="J13" i="6"/>
  <c r="J29"/>
  <c r="D55" i="5"/>
  <c r="E55" s="1"/>
  <c r="D29" i="6"/>
  <c r="D49" i="5"/>
  <c r="E49" s="1"/>
  <c r="D13" i="6"/>
  <c r="F13"/>
  <c r="F29"/>
  <c r="D51" i="5"/>
  <c r="E51" s="1"/>
  <c r="K13" i="6"/>
  <c r="M12"/>
  <c r="C49" i="4"/>
  <c r="C51" s="1"/>
  <c r="C28" i="6" s="1"/>
  <c r="J41" i="4"/>
  <c r="J21" i="6" s="1"/>
  <c r="J45" i="4"/>
  <c r="E41"/>
  <c r="E21" i="6" s="1"/>
  <c r="E45" i="4"/>
  <c r="F41"/>
  <c r="F21" i="6" s="1"/>
  <c r="F45" i="4"/>
  <c r="G46" s="1"/>
  <c r="H41"/>
  <c r="H21" i="6" s="1"/>
  <c r="H45" i="4"/>
  <c r="I41"/>
  <c r="I21" i="6" s="1"/>
  <c r="I45" i="4"/>
  <c r="G49"/>
  <c r="G51" s="1"/>
  <c r="G28" i="6" s="1"/>
  <c r="G30" s="1"/>
  <c r="K49" i="4"/>
  <c r="K51" s="1"/>
  <c r="K28" i="6" s="1"/>
  <c r="K30" s="1"/>
  <c r="D41" i="4"/>
  <c r="D21" i="6" s="1"/>
  <c r="M21" s="1"/>
  <c r="D45" i="4"/>
  <c r="M29" i="6" l="1"/>
  <c r="L29"/>
  <c r="M13"/>
  <c r="L13"/>
  <c r="D60" i="5"/>
  <c r="L21" i="6"/>
  <c r="H59" i="9"/>
  <c r="H61" s="1"/>
  <c r="H83" s="1"/>
  <c r="H85" s="1"/>
  <c r="D59" i="5"/>
  <c r="E52"/>
  <c r="L59" i="9"/>
  <c r="L61" s="1"/>
  <c r="L83" s="1"/>
  <c r="L85" s="1"/>
  <c r="D61" i="5"/>
  <c r="E61" s="1"/>
  <c r="E56"/>
  <c r="C30" i="6"/>
  <c r="D57" i="5"/>
  <c r="E57" s="1"/>
  <c r="K46" i="4"/>
  <c r="D59" i="9"/>
  <c r="D61" s="1"/>
  <c r="D83" s="1"/>
  <c r="D85" s="1"/>
  <c r="E54" i="5"/>
  <c r="D58"/>
  <c r="E50"/>
  <c r="D46" i="4"/>
  <c r="D49"/>
  <c r="D51" s="1"/>
  <c r="D28" i="6" s="1"/>
  <c r="D30" s="1"/>
  <c r="H46" i="4"/>
  <c r="H49"/>
  <c r="H51" s="1"/>
  <c r="H28" i="6" s="1"/>
  <c r="H30" s="1"/>
  <c r="E46" i="4"/>
  <c r="E49"/>
  <c r="E51" s="1"/>
  <c r="E28" i="6" s="1"/>
  <c r="E30" s="1"/>
  <c r="J46" i="4"/>
  <c r="J49"/>
  <c r="J51" s="1"/>
  <c r="J28" i="6" s="1"/>
  <c r="J30" s="1"/>
  <c r="I46" i="4"/>
  <c r="I49"/>
  <c r="I51" s="1"/>
  <c r="I28" i="6" s="1"/>
  <c r="I30" s="1"/>
  <c r="L46" i="4"/>
  <c r="F49"/>
  <c r="F51" s="1"/>
  <c r="F28" i="6" s="1"/>
  <c r="F46" i="4"/>
  <c r="I59" i="9" l="1"/>
  <c r="I61" s="1"/>
  <c r="I83" s="1"/>
  <c r="I85" s="1"/>
  <c r="J59"/>
  <c r="J61" s="1"/>
  <c r="J83" s="1"/>
  <c r="J85" s="1"/>
  <c r="G59"/>
  <c r="G61" s="1"/>
  <c r="G83" s="1"/>
  <c r="G85" s="1"/>
  <c r="L28" i="6"/>
  <c r="E59" i="9"/>
  <c r="E61" s="1"/>
  <c r="E83" s="1"/>
  <c r="E85" s="1"/>
  <c r="E59" i="5"/>
  <c r="K59" i="9"/>
  <c r="K61" s="1"/>
  <c r="K83" s="1"/>
  <c r="K85" s="1"/>
  <c r="M28" i="6"/>
  <c r="F30"/>
  <c r="L30" s="1"/>
  <c r="E58" i="5"/>
  <c r="M30" i="6"/>
  <c r="F59" i="9"/>
  <c r="F61" s="1"/>
  <c r="F83" s="1"/>
  <c r="F85" s="1"/>
  <c r="E60" i="5"/>
  <c r="K57" i="20"/>
  <c r="K60" s="1"/>
  <c r="K75" s="1"/>
  <c r="K79" s="1"/>
  <c r="K55"/>
  <c r="K88" l="1"/>
  <c r="K61"/>
  <c r="K90" l="1"/>
  <c r="K102"/>
  <c r="K95"/>
  <c r="K97" s="1"/>
  <c r="L93" s="1"/>
  <c r="K104" l="1"/>
  <c r="L86"/>
  <c r="L94"/>
  <c r="L100" l="1"/>
  <c r="L87"/>
  <c r="L101" s="1"/>
  <c r="L52" s="1"/>
  <c r="L54" s="1"/>
  <c r="L57" l="1"/>
  <c r="L60" s="1"/>
  <c r="L55"/>
  <c r="L61" l="1"/>
  <c r="L75"/>
  <c r="L79" s="1"/>
  <c r="L88" l="1"/>
  <c r="L95" s="1"/>
  <c r="L97" s="1"/>
  <c r="M93" s="1"/>
  <c r="M94" l="1"/>
  <c r="L102"/>
  <c r="L90"/>
  <c r="M86" l="1"/>
  <c r="L104"/>
  <c r="M87" l="1"/>
  <c r="M101" s="1"/>
  <c r="M52" s="1"/>
  <c r="M54" s="1"/>
  <c r="M100"/>
  <c r="M57" l="1"/>
  <c r="M60" s="1"/>
  <c r="M55"/>
  <c r="M61" l="1"/>
  <c r="M75"/>
  <c r="M79" s="1"/>
  <c r="M88" l="1"/>
  <c r="M95" s="1"/>
  <c r="M97" s="1"/>
  <c r="N93" s="1"/>
  <c r="N94" l="1"/>
  <c r="M102"/>
  <c r="M90"/>
  <c r="M104" l="1"/>
  <c r="N86"/>
  <c r="N87" l="1"/>
  <c r="N101" s="1"/>
  <c r="N52" s="1"/>
  <c r="N54" s="1"/>
  <c r="N100"/>
  <c r="N57" l="1"/>
  <c r="N60" s="1"/>
  <c r="N55"/>
  <c r="N75" l="1"/>
  <c r="N79" s="1"/>
  <c r="N61"/>
  <c r="N88" l="1"/>
  <c r="N102" l="1"/>
  <c r="N90"/>
  <c r="N95"/>
  <c r="N97" s="1"/>
  <c r="O93" s="1"/>
  <c r="O86" l="1"/>
  <c r="N104"/>
  <c r="O94"/>
  <c r="O87" l="1"/>
  <c r="O101" s="1"/>
  <c r="O52" s="1"/>
  <c r="O54" s="1"/>
  <c r="O100"/>
  <c r="O57" l="1"/>
  <c r="O60" s="1"/>
  <c r="O55"/>
  <c r="O61" l="1"/>
  <c r="O75"/>
  <c r="O79" s="1"/>
  <c r="O88" l="1"/>
  <c r="O90" l="1"/>
  <c r="O102"/>
  <c r="O95"/>
  <c r="O97" s="1"/>
  <c r="O104" l="1"/>
  <c r="O111" s="1"/>
  <c r="O112" s="1"/>
  <c r="O116" l="1"/>
  <c r="O117" s="1"/>
  <c r="O20" s="1"/>
</calcChain>
</file>

<file path=xl/sharedStrings.xml><?xml version="1.0" encoding="utf-8"?>
<sst xmlns="http://schemas.openxmlformats.org/spreadsheetml/2006/main" count="935" uniqueCount="531">
  <si>
    <t>Return on Equity(ROE)</t>
  </si>
  <si>
    <t>Net Cash Flow</t>
  </si>
  <si>
    <t>Cash from Financing activities</t>
  </si>
  <si>
    <t>Dividends paid</t>
  </si>
  <si>
    <t>Other financing items</t>
  </si>
  <si>
    <t>Dividends paid Interest paid fin</t>
  </si>
  <si>
    <t>Repayment of borrowings</t>
  </si>
  <si>
    <t>Proceeds from borrowings</t>
  </si>
  <si>
    <t>Proceeds from shares</t>
  </si>
  <si>
    <t>Financing Activities</t>
  </si>
  <si>
    <t>Cash From Investing Activities</t>
  </si>
  <si>
    <t>Other investing items</t>
  </si>
  <si>
    <t>Dividends received</t>
  </si>
  <si>
    <t>Interest received</t>
  </si>
  <si>
    <t>Investment income</t>
  </si>
  <si>
    <t>Investments sold</t>
  </si>
  <si>
    <t>Investments purchased</t>
  </si>
  <si>
    <t>Fixed assets sold</t>
  </si>
  <si>
    <t>Fixed assets purchased</t>
  </si>
  <si>
    <t>Investing Activities</t>
  </si>
  <si>
    <t>Cash from Operating Activity -</t>
  </si>
  <si>
    <t>Direct taxes</t>
  </si>
  <si>
    <t>Working capital changes</t>
  </si>
  <si>
    <t>Other WC items</t>
  </si>
  <si>
    <t>Loans Advances</t>
  </si>
  <si>
    <t>Inventory</t>
  </si>
  <si>
    <t>Receivables</t>
  </si>
  <si>
    <t>Profit from operations</t>
  </si>
  <si>
    <t>#</t>
  </si>
  <si>
    <t>Operating Activities</t>
  </si>
  <si>
    <t>Cash Flow Statement</t>
  </si>
  <si>
    <t>Check</t>
  </si>
  <si>
    <t>Total Assests</t>
  </si>
  <si>
    <t>Total Current Assets</t>
  </si>
  <si>
    <t>Cash &amp; Bank</t>
  </si>
  <si>
    <t>Total Non current assets</t>
  </si>
  <si>
    <t>Other Assets</t>
  </si>
  <si>
    <t>Investments</t>
  </si>
  <si>
    <t>Capital Work in Progress</t>
  </si>
  <si>
    <t>Fixed Assets Net Block</t>
  </si>
  <si>
    <t>Total Liabilities</t>
  </si>
  <si>
    <t>Other Liabilities</t>
  </si>
  <si>
    <t>Borrowings</t>
  </si>
  <si>
    <t>Reserves</t>
  </si>
  <si>
    <t xml:space="preserve"> #</t>
  </si>
  <si>
    <t>Equity Share Capital</t>
  </si>
  <si>
    <t>Balance Sheet</t>
  </si>
  <si>
    <t>Retained Earnings</t>
  </si>
  <si>
    <t>Dividend Payout ratio</t>
  </si>
  <si>
    <t>Dividend per share</t>
  </si>
  <si>
    <t>EPS Growth %</t>
  </si>
  <si>
    <t>EPS</t>
  </si>
  <si>
    <t>No. of Equity shares</t>
  </si>
  <si>
    <t>Net margins</t>
  </si>
  <si>
    <t>Net profit</t>
  </si>
  <si>
    <t>Effective Tax Rate</t>
  </si>
  <si>
    <t>Tax</t>
  </si>
  <si>
    <t>EBT % Sales</t>
  </si>
  <si>
    <t>Earnings before Tax</t>
  </si>
  <si>
    <t>Depriciation % sales</t>
  </si>
  <si>
    <t>Depreciation</t>
  </si>
  <si>
    <t>Interest % sales</t>
  </si>
  <si>
    <t>Interest</t>
  </si>
  <si>
    <t>EBITDA Margins</t>
  </si>
  <si>
    <t xml:space="preserve">EBITDA </t>
  </si>
  <si>
    <t>S&amp;G Exp % Sales</t>
  </si>
  <si>
    <t>Selling &amp; General expenses</t>
  </si>
  <si>
    <t>Gross Margins</t>
  </si>
  <si>
    <t>Gross Profit</t>
  </si>
  <si>
    <t>COGS % Sales</t>
  </si>
  <si>
    <t>COGS</t>
  </si>
  <si>
    <t>-</t>
  </si>
  <si>
    <t>Sales Growth</t>
  </si>
  <si>
    <t>Sales</t>
  </si>
  <si>
    <t xml:space="preserve"> </t>
  </si>
  <si>
    <t>Income Statement</t>
  </si>
  <si>
    <t xml:space="preserve"> LTM</t>
  </si>
  <si>
    <t>Years</t>
  </si>
  <si>
    <t>INR (Crs.)</t>
  </si>
  <si>
    <t>Net profit Growth</t>
  </si>
  <si>
    <t>Net Profit</t>
  </si>
  <si>
    <t>2030E</t>
  </si>
  <si>
    <t>2029E</t>
  </si>
  <si>
    <t>2028E</t>
  </si>
  <si>
    <t>2027E</t>
  </si>
  <si>
    <t>2026E</t>
  </si>
  <si>
    <t>2025A</t>
  </si>
  <si>
    <t>2024A</t>
  </si>
  <si>
    <t>2023A</t>
  </si>
  <si>
    <t>2022A</t>
  </si>
  <si>
    <t>2021A</t>
  </si>
  <si>
    <t>2020A</t>
  </si>
  <si>
    <t>2019A</t>
  </si>
  <si>
    <t>2018A</t>
  </si>
  <si>
    <t>2017A</t>
  </si>
  <si>
    <t>EBITDA Growth</t>
  </si>
  <si>
    <t>EBITDA</t>
  </si>
  <si>
    <t>Year</t>
  </si>
  <si>
    <t>Year Weight</t>
  </si>
  <si>
    <t>CFO/Total Debt</t>
  </si>
  <si>
    <t>CFO/Total Asests</t>
  </si>
  <si>
    <t>CFO/Sales</t>
  </si>
  <si>
    <t>Cash Conversion Cycle</t>
  </si>
  <si>
    <t>Inventory Trunover</t>
  </si>
  <si>
    <t>Payble Days</t>
  </si>
  <si>
    <t>Debtor Days</t>
  </si>
  <si>
    <t>Capital Turnover Ratio</t>
  </si>
  <si>
    <t>Fixed Asset Turnover Ratio</t>
  </si>
  <si>
    <t>Inventory Turnover Ratio</t>
  </si>
  <si>
    <t>Creditor Turnover Ratio</t>
  </si>
  <si>
    <t>Debtor Turnover Ratio</t>
  </si>
  <si>
    <t>Interest Coverage Ratio</t>
  </si>
  <si>
    <t>Self Sustained Growth Rate</t>
  </si>
  <si>
    <t>Return of Equity%</t>
  </si>
  <si>
    <t>Retained Earnings%</t>
  </si>
  <si>
    <t>Return on Capital Employed</t>
  </si>
  <si>
    <t>Operating Income % Sales</t>
  </si>
  <si>
    <t>Depreciation % sales</t>
  </si>
  <si>
    <t>Sales expenses % sales</t>
  </si>
  <si>
    <t>Net profit Margin</t>
  </si>
  <si>
    <t>EBT Margin</t>
  </si>
  <si>
    <t>EBIT margin</t>
  </si>
  <si>
    <t>EBITDA margin</t>
  </si>
  <si>
    <t>Gross Margin</t>
  </si>
  <si>
    <t>Dividend Growth</t>
  </si>
  <si>
    <t>Net Profit Growth</t>
  </si>
  <si>
    <t>EBIT Growth</t>
  </si>
  <si>
    <t>Median</t>
  </si>
  <si>
    <t>Mean</t>
  </si>
  <si>
    <t>Total Assets</t>
  </si>
  <si>
    <t>Particulars</t>
  </si>
  <si>
    <t>Return on Asset(ROA)</t>
  </si>
  <si>
    <t>This report is prepared solely for educational and academic purposes. It should not be considered as investment advice or a recommendation to buy, sell, or act on any financial instrument. Readers are advised to consult a SEBI-registered Research Analyst or a qualified financial professional before making any investment decisions.</t>
  </si>
  <si>
    <t>Disclaimer:</t>
  </si>
  <si>
    <t>1. ROE has gradually declined over the years, moving from 25.60% (Mar-17) to 20.47% (Mar-23), indicating a slow erosion in overall shareholder returns despite occasional recoveries.
2. Net Profit Margin has shown a consistent downward trend, falling from 18.75% to 16.62%, suggesting rising costs, pricing pressure, or margin compression over time.
3. Asset Turnover has remained relatively stable, fluctuating between 1.12× and 1.04×, showing that the company’s efficiency in using assets to generate revenue has not significantly changed but has slightly weakened.
4. Equity Multiplier has remained almost constant (around 1.22× to 1.19×), indicating very low leverage usage; changes in ROE are mainly driven by profitability and efficiency, not by debt levels.The decline in ROE is primarily driven by lower profit margins, with only minor impact from asset turnover and almost no contribution from leverage, highlighting that the company’s weakening profitability is the key factor behind reduced shareholder returns.</t>
  </si>
  <si>
    <t>Dupont Summary</t>
  </si>
  <si>
    <t>Return on Asset (A*B)</t>
  </si>
  <si>
    <t>Assest Turnover Ratio(B)</t>
  </si>
  <si>
    <t>Average Total Asset</t>
  </si>
  <si>
    <t>Revenue</t>
  </si>
  <si>
    <t>Net Profit Margin(A)</t>
  </si>
  <si>
    <t>ROA- Dupont Equation</t>
  </si>
  <si>
    <t>Return or Asset</t>
  </si>
  <si>
    <t>Average Total Assest</t>
  </si>
  <si>
    <t>Return on Equity (A*B*C)</t>
  </si>
  <si>
    <t>Equity Multiplier (C )</t>
  </si>
  <si>
    <t>ROE- Dupont Equation</t>
  </si>
  <si>
    <t>Return or Equity</t>
  </si>
  <si>
    <t>Average Shareholder Equity</t>
  </si>
  <si>
    <t>Dupont Analysis - Return on Equity &amp; Return on Assets</t>
  </si>
  <si>
    <t>Financial Leverage</t>
  </si>
  <si>
    <t>Return on Assets (%)</t>
  </si>
  <si>
    <t>Return on Equity (%)</t>
  </si>
  <si>
    <t>Average Total Assets (INR Crs.)</t>
  </si>
  <si>
    <t>Net Profit (INR Crs.)</t>
  </si>
  <si>
    <t>Revenue (INR Crs.)</t>
  </si>
  <si>
    <t>Financial Summary</t>
  </si>
  <si>
    <t>Bajaj Auto Limited is an Indian multinational automotive manufacturing company based in Pune. It manufactures motorcycles, scooters and auto rickshaws. Auto Bajaj is a part of Bajaj Group. It was founded by Jamnalal Bajaj (1889–1942) in Rajasthan in the 1940s. Bajaj Auto is the world's third-largest manufacturer of motorcycles and the second-largest in India. It is the world's largest three-wheeler manufacturer. In December 2020, Bajaj Auto crossed a market capitalisation of ₹1 trillion (US$12 billion), making it the world's most valuable two-wheeler company.</t>
  </si>
  <si>
    <t>About the company</t>
  </si>
  <si>
    <t xml:space="preserve"> 52 Week (High - 9,636 INR &amp; Low - 7,089)</t>
  </si>
  <si>
    <t>Financial Health</t>
  </si>
  <si>
    <t>Final Score</t>
  </si>
  <si>
    <t>Altman's Z Score</t>
  </si>
  <si>
    <t>Sales/Total Assets (E )</t>
  </si>
  <si>
    <t>Sales / Total Assets</t>
  </si>
  <si>
    <t>Market Cap/Long term Liabilities(D)</t>
  </si>
  <si>
    <t>Long Term Liabilities</t>
  </si>
  <si>
    <t>Market Cap</t>
  </si>
  <si>
    <t>Market Cap / Long Term Liabilities</t>
  </si>
  <si>
    <t>EBIT / Total Assests(C )</t>
  </si>
  <si>
    <t>EBIT</t>
  </si>
  <si>
    <t>EBIT / Total Assets</t>
  </si>
  <si>
    <t>Retained Earnings / Total Assets(B)</t>
  </si>
  <si>
    <t>Retained Earnings / Total Assets</t>
  </si>
  <si>
    <t>Working Capital/Total Assets(A)</t>
  </si>
  <si>
    <t>Working Capital</t>
  </si>
  <si>
    <t>Working Capital / Total Assets</t>
  </si>
  <si>
    <t>Altman's Z Score Analysis Calculation</t>
  </si>
  <si>
    <t>Altman's Z Score(%)</t>
  </si>
  <si>
    <t>Sales/Total Assets (%)</t>
  </si>
  <si>
    <t>Market Cap/Long term Total Liabilities (%)</t>
  </si>
  <si>
    <t>EBIT/ Total Assets(%)</t>
  </si>
  <si>
    <t>Retained Earnings/Total Assets%</t>
  </si>
  <si>
    <t>Working Capital/Total Assets (%)</t>
  </si>
  <si>
    <t>The company consistently shows a strong Altman Z-Score, indicating very low bankruptcy risk across all years.
Profitability ratios like EBIT/Total Assets remain healthy, though they show mild fluctuations.
Working capital and retained earnings ratios dip in some years, signalling occasional liquidity pressure.
However, the huge Market Cap to Long-Term Liabilities ratio highlights strong market confidence and a solid balance sheet.
Overall, the business appears financially robust with stable long-term solvency.</t>
  </si>
  <si>
    <t>Altman's Z Score Analysis</t>
  </si>
  <si>
    <t>VAR INR</t>
  </si>
  <si>
    <t>Stock Price</t>
  </si>
  <si>
    <t>Var</t>
  </si>
  <si>
    <t>Percentile</t>
  </si>
  <si>
    <t>Confidence</t>
  </si>
  <si>
    <t>current market price</t>
  </si>
  <si>
    <t>Max</t>
  </si>
  <si>
    <t>Min</t>
  </si>
  <si>
    <t>Std Deviation</t>
  </si>
  <si>
    <t>Monte Carlo Simulation</t>
  </si>
  <si>
    <t>Historical Approach</t>
  </si>
  <si>
    <t>Calculation of value at Risk - Bajaj Auto (Historical Data)</t>
  </si>
  <si>
    <t>Simulated Returns</t>
  </si>
  <si>
    <t>Replication</t>
  </si>
  <si>
    <t>Sorted returns</t>
  </si>
  <si>
    <t>Returns</t>
  </si>
  <si>
    <t xml:space="preserve">Adjust Close </t>
  </si>
  <si>
    <t xml:space="preserve">Date </t>
  </si>
  <si>
    <t>BAJAJ AUTO | BSE CODE: 532977</t>
  </si>
  <si>
    <t>Bajaj Auto LTD</t>
  </si>
  <si>
    <t>Screener.in, Yahoo Finance, Bajaj Auto LTD Annual Report 2025, NSE India, Wikipedia.</t>
  </si>
  <si>
    <t xml:space="preserve">Sources: </t>
  </si>
  <si>
    <t>Pradeep Shrivastava and Rakesh Sharma, the executive directors of the Company are entitled to employee stock options as per Bajaj Auto Employee Stock Option Scheme 2019, as amended. The above remuneration is exclusive of fair value of options granted as per Black Scholes model in the year of vesting.</t>
  </si>
  <si>
    <t>Notes:</t>
  </si>
  <si>
    <t>ED</t>
  </si>
  <si>
    <t>Mr. Rakesh Sharma</t>
  </si>
  <si>
    <t>Mr. Pradeep Shrivastva</t>
  </si>
  <si>
    <t>• In the same session, the broader auto index saw profit-booking after reaching record highs — and Bajaj Auto was among the leading losers of the day (alongside peers), showing current volatility in the stock.</t>
  </si>
  <si>
    <t>MD &amp; CEO</t>
  </si>
  <si>
    <t>Mr. Rajiv Bajaj</t>
  </si>
  <si>
    <t>X of Median sallary</t>
  </si>
  <si>
    <t>Remunration</t>
  </si>
  <si>
    <t>Designation</t>
  </si>
  <si>
    <t>Managerial Remuneration</t>
  </si>
  <si>
    <t>• On 27 Nov 2025, some brokerage analysts (e.g. from Anand Rathi) flagged Bajaj Auto shares as a “top buy” — citing bullish technical signals (like RSI divergences, engulfing patterns) for short-term gains.</t>
  </si>
  <si>
    <t>• The company plans to expand “Riki” e-rickshaw rollout to 200 cities by Q1 2026, up from the current pilot in a handful of cities — signalling a push into last-mile urban mobility nationwide.</t>
  </si>
  <si>
    <t>• Bajaj Auto has entered the electric-rickshaw (e-rickshaw) segment with launch of its new model Bajaj Riki featuring ~149 km range on single charge.</t>
  </si>
  <si>
    <t>Market Value (in Crs.)</t>
  </si>
  <si>
    <t>Shareholding (%)</t>
  </si>
  <si>
    <t>Top 10 Shareholders</t>
  </si>
  <si>
    <t>Return on Capital Employed (%)</t>
  </si>
  <si>
    <t>• The company has completed acquisition of a majority stake in Austrian motorcycle maker KTM — through restructuring of its European holding — giving Bajaj full controlling interest in global KTM business.</t>
  </si>
  <si>
    <t>Return on Equity(%)</t>
  </si>
  <si>
    <t>Price to Book Value</t>
  </si>
  <si>
    <t>EV/Sales</t>
  </si>
  <si>
    <t>EV/EBITDA</t>
  </si>
  <si>
    <t>• Bajaj Auto reported a 23.7% rise in Q2 (quarter ended Sept 30, 2025) profit, driven largely by strong exports of motorcycles even though domestic demand remained sluggish.</t>
  </si>
  <si>
    <t>Price to Earnings</t>
  </si>
  <si>
    <t>Recent Updates</t>
  </si>
  <si>
    <t>Key Financial Ratios</t>
  </si>
  <si>
    <t>DPS Growth (y-o-y)</t>
  </si>
  <si>
    <t>Enterprise Value</t>
  </si>
  <si>
    <t>Dividend Per Share (in Rs)</t>
  </si>
  <si>
    <t>EPS Growth (y-o-y)</t>
  </si>
  <si>
    <t>Earnings Per Share (in Rs)</t>
  </si>
  <si>
    <t>Add: Total Debt</t>
  </si>
  <si>
    <t>Net Profit Margins (%)</t>
  </si>
  <si>
    <t>Less: Cash &amp; Equivalents</t>
  </si>
  <si>
    <t>EBIT Margins (%)</t>
  </si>
  <si>
    <t>Market Capitalization</t>
  </si>
  <si>
    <t>EBITDA Margins (%)</t>
  </si>
  <si>
    <t>Gross Profit Margins (%)</t>
  </si>
  <si>
    <t>Numer of Shares O/S</t>
  </si>
  <si>
    <t>Sales Growth (y-o-y)</t>
  </si>
  <si>
    <t>Share Price as on XXX</t>
  </si>
  <si>
    <t>Total Sales</t>
  </si>
  <si>
    <t>Capital Structure</t>
  </si>
  <si>
    <t>Key Financial Metrics</t>
  </si>
  <si>
    <t>(INR)crs.</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</si>
  <si>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t>
  </si>
  <si>
    <t>X Variable 1</t>
  </si>
  <si>
    <t>Intercept</t>
  </si>
  <si>
    <t>Upper 95.0%</t>
  </si>
  <si>
    <t>Lower 95.0%</t>
  </si>
  <si>
    <t>Upper 95%</t>
  </si>
  <si>
    <t>Lower 95%</t>
  </si>
  <si>
    <t>P-value</t>
  </si>
  <si>
    <t>t Stat</t>
  </si>
  <si>
    <t>Standard Error</t>
  </si>
  <si>
    <t>Coefficients</t>
  </si>
  <si>
    <t>Total</t>
  </si>
  <si>
    <t>Residual</t>
  </si>
  <si>
    <t>Regression</t>
  </si>
  <si>
    <t>Significance F</t>
  </si>
  <si>
    <t>F</t>
  </si>
  <si>
    <t>MS</t>
  </si>
  <si>
    <t>SS</t>
  </si>
  <si>
    <t>df</t>
  </si>
  <si>
    <t>ANOVA</t>
  </si>
  <si>
    <t>Observations</t>
  </si>
  <si>
    <t>Adjusted R Square</t>
  </si>
  <si>
    <t>R Square</t>
  </si>
  <si>
    <t>Multiple R</t>
  </si>
  <si>
    <t>Regression Statistics</t>
  </si>
  <si>
    <t>SUMMARY OUTPUT</t>
  </si>
  <si>
    <t>Beta 2</t>
  </si>
  <si>
    <t>Weekly Returns</t>
  </si>
  <si>
    <t>Closing Price</t>
  </si>
  <si>
    <t>Date</t>
  </si>
  <si>
    <t>Beta 1</t>
  </si>
  <si>
    <t>NIFTY Weekly Returns</t>
  </si>
  <si>
    <t>Bajaj Auto Weekly Returns</t>
  </si>
  <si>
    <t>Regression Beta</t>
  </si>
  <si>
    <t>4. Levered Beta = Unlevered Beta*(1+(1-tax rate)*Debt/Equity)</t>
  </si>
  <si>
    <t>3. Unlevered Beta = Levered Beta/(1+(1-tax rate)*Debt/Equity)</t>
  </si>
  <si>
    <t>Weighted Average cost of capital</t>
  </si>
  <si>
    <t>2. Levered Beta is based on 5 year monthly data.</t>
  </si>
  <si>
    <t>Equity</t>
  </si>
  <si>
    <t>1. Tax Rate considered as Marginal Tax Rate for the country</t>
  </si>
  <si>
    <t>Debt</t>
  </si>
  <si>
    <t>Total weight</t>
  </si>
  <si>
    <t xml:space="preserve">Total Cost </t>
  </si>
  <si>
    <t>Weighted average Cost of Capital</t>
  </si>
  <si>
    <t>Debt/Equity</t>
  </si>
  <si>
    <t>Levered Beta</t>
  </si>
  <si>
    <t>Total capital</t>
  </si>
  <si>
    <t>Tax Rate</t>
  </si>
  <si>
    <t>Market capitalization</t>
  </si>
  <si>
    <t>Target Debt / Equity</t>
  </si>
  <si>
    <t>Total Debt</t>
  </si>
  <si>
    <t>Comps Median Unlevered Beta</t>
  </si>
  <si>
    <t>Target</t>
  </si>
  <si>
    <t xml:space="preserve">Current </t>
  </si>
  <si>
    <t>Cost of Equity</t>
  </si>
  <si>
    <r>
      <t>Levered Beta</t>
    </r>
    <r>
      <rPr>
        <vertAlign val="superscript"/>
        <sz val="11"/>
        <color theme="1"/>
        <rFont val="Calibri"/>
        <family val="2"/>
      </rPr>
      <t xml:space="preserve"> 4</t>
    </r>
  </si>
  <si>
    <t>Post Tax Cost of Debt</t>
  </si>
  <si>
    <t>Equity risk Premium</t>
  </si>
  <si>
    <t>Risk free Rate</t>
  </si>
  <si>
    <t>Pre-Tax Cost of Debt</t>
  </si>
  <si>
    <t>Cost of Debt</t>
  </si>
  <si>
    <t>Average</t>
  </si>
  <si>
    <t>India</t>
  </si>
  <si>
    <t>Hero Motocorp</t>
  </si>
  <si>
    <t>TVS Motor Co.</t>
  </si>
  <si>
    <t>Eicher Motors</t>
  </si>
  <si>
    <t>Bajaj Auto</t>
  </si>
  <si>
    <r>
      <t xml:space="preserve">Beta </t>
    </r>
    <r>
      <rPr>
        <b/>
        <vertAlign val="superscript"/>
        <sz val="11"/>
        <color theme="1"/>
        <rFont val="Calibri"/>
        <family val="2"/>
      </rPr>
      <t>3</t>
    </r>
  </si>
  <si>
    <r>
      <t>Beta</t>
    </r>
    <r>
      <rPr>
        <b/>
        <vertAlign val="superscript"/>
        <sz val="11"/>
        <color theme="1"/>
        <rFont val="Calibri"/>
        <family val="2"/>
      </rPr>
      <t xml:space="preserve"> 2</t>
    </r>
  </si>
  <si>
    <t>Capital</t>
  </si>
  <si>
    <r>
      <t xml:space="preserve"> Tax Rate </t>
    </r>
    <r>
      <rPr>
        <b/>
        <vertAlign val="superscript"/>
        <sz val="11"/>
        <color theme="1"/>
        <rFont val="Calibri"/>
        <family val="2"/>
      </rPr>
      <t>1</t>
    </r>
  </si>
  <si>
    <t xml:space="preserve">Total Equity </t>
  </si>
  <si>
    <t>Country</t>
  </si>
  <si>
    <t>Name of the comp</t>
  </si>
  <si>
    <t>Unlevered</t>
  </si>
  <si>
    <t>Levered</t>
  </si>
  <si>
    <t>Debt /</t>
  </si>
  <si>
    <t>Peer Comps</t>
  </si>
  <si>
    <t>All figures in INR unless stated otherwise</t>
  </si>
  <si>
    <t>Soruce: The Valuation School, Screener.in</t>
  </si>
  <si>
    <t>Implied Value per Share</t>
  </si>
  <si>
    <t>Share Outstanding</t>
  </si>
  <si>
    <t>Implied Market Value</t>
  </si>
  <si>
    <t>Net Debt</t>
  </si>
  <si>
    <t>Implied Enterprise Value</t>
  </si>
  <si>
    <t>P/E</t>
  </si>
  <si>
    <t>EV/Revenue</t>
  </si>
  <si>
    <t>Bajaj Auto Comparable valuation</t>
  </si>
  <si>
    <t>Low</t>
  </si>
  <si>
    <t>25th percentile</t>
  </si>
  <si>
    <t>75th percentile</t>
  </si>
  <si>
    <t>High</t>
  </si>
  <si>
    <t>FORCEMOT</t>
  </si>
  <si>
    <t>Force Motors</t>
  </si>
  <si>
    <t>ATHR(NSE)</t>
  </si>
  <si>
    <t>Ather Energy</t>
  </si>
  <si>
    <t>HEROMOTOCO</t>
  </si>
  <si>
    <t>TATAMOTOR</t>
  </si>
  <si>
    <t>Tata Motors PVeh</t>
  </si>
  <si>
    <t>TVSMOTOR</t>
  </si>
  <si>
    <t>HYUNDAI</t>
  </si>
  <si>
    <t>Hyundai Motor I</t>
  </si>
  <si>
    <t>EICHERMOT</t>
  </si>
  <si>
    <t>BAJAJ-AUTO</t>
  </si>
  <si>
    <t>M&amp;M</t>
  </si>
  <si>
    <t>M &amp; M</t>
  </si>
  <si>
    <t>MARUTI</t>
  </si>
  <si>
    <t>Maruti Suzuki</t>
  </si>
  <si>
    <t>Net Income</t>
  </si>
  <si>
    <t>Equity Value</t>
  </si>
  <si>
    <t>Share Price</t>
  </si>
  <si>
    <t>Ticker</t>
  </si>
  <si>
    <t>Company</t>
  </si>
  <si>
    <t>Valuation</t>
  </si>
  <si>
    <t>Financials</t>
  </si>
  <si>
    <t>Market Data</t>
  </si>
  <si>
    <t>INR(Crs.)</t>
  </si>
  <si>
    <t>Times</t>
  </si>
  <si>
    <t>Discount/Premium</t>
  </si>
  <si>
    <t>Share price</t>
  </si>
  <si>
    <t>Equity Value per share</t>
  </si>
  <si>
    <t>No. of shares</t>
  </si>
  <si>
    <t xml:space="preserve">Value of Equity </t>
  </si>
  <si>
    <t>Less: Debt</t>
  </si>
  <si>
    <t>Add: Cash</t>
  </si>
  <si>
    <t>Value of Operating Asset</t>
  </si>
  <si>
    <t>Terminal Growth Rate</t>
  </si>
  <si>
    <t>Pv of Terminal value</t>
  </si>
  <si>
    <t>PV of FCFF</t>
  </si>
  <si>
    <t>Calculation of Equity Value</t>
  </si>
  <si>
    <t>Terminal Value</t>
  </si>
  <si>
    <t>WACC</t>
  </si>
  <si>
    <t>FCFF(n+1)</t>
  </si>
  <si>
    <t>Sensitivity Analysis</t>
  </si>
  <si>
    <t>Calculation of Terminal Value</t>
  </si>
  <si>
    <t>Terminal Growth</t>
  </si>
  <si>
    <t>Expected Growth</t>
  </si>
  <si>
    <t>Discounting Factor</t>
  </si>
  <si>
    <t>Mid year Convention</t>
  </si>
  <si>
    <t>Free Cash Flow to Firm(FCFF)</t>
  </si>
  <si>
    <t>Less: Reinvestment Rate</t>
  </si>
  <si>
    <t>EBIT(1-T)</t>
  </si>
  <si>
    <t>Calculation of PV of FCFF</t>
  </si>
  <si>
    <t>Table of Contents</t>
  </si>
  <si>
    <t>1. One Page Profile</t>
  </si>
  <si>
    <t>2. Historical Financial Statement</t>
  </si>
  <si>
    <t>3. Forecasting</t>
  </si>
  <si>
    <t>5. Common Size Statement</t>
  </si>
  <si>
    <t>4. Ratio Analysis</t>
  </si>
  <si>
    <t>6. Reggretion Beta</t>
  </si>
  <si>
    <t>7. WACC</t>
  </si>
  <si>
    <t>8. Relative Valuation</t>
  </si>
  <si>
    <t>9. DCF</t>
  </si>
  <si>
    <t>10. VAR</t>
  </si>
  <si>
    <t>11. Dupont Analysis</t>
  </si>
  <si>
    <t>12. Altman's Z Score</t>
  </si>
  <si>
    <t>Financial Modeling &amp; Valuation Report</t>
  </si>
  <si>
    <t>Prepared By</t>
  </si>
  <si>
    <t>Shivalika Singh</t>
  </si>
  <si>
    <t>Assumptions</t>
  </si>
  <si>
    <t>Entry</t>
  </si>
  <si>
    <t>LTM EBITDA</t>
  </si>
  <si>
    <t>EBITDA Multiple</t>
  </si>
  <si>
    <t>Existing Net Debt</t>
  </si>
  <si>
    <t>Fees &amp; Expenses</t>
  </si>
  <si>
    <t xml:space="preserve">Exit </t>
  </si>
  <si>
    <t>LTM Financials</t>
  </si>
  <si>
    <t>D&amp;A</t>
  </si>
  <si>
    <t>Capex</t>
  </si>
  <si>
    <t>NWC</t>
  </si>
  <si>
    <t>Operating Assumptions</t>
  </si>
  <si>
    <t>Revenue Growth</t>
  </si>
  <si>
    <t>YOY margin Expansion</t>
  </si>
  <si>
    <t>Amount</t>
  </si>
  <si>
    <t>Cost</t>
  </si>
  <si>
    <t>Bank Debt</t>
  </si>
  <si>
    <t>Senior Notes</t>
  </si>
  <si>
    <t>For Reference</t>
  </si>
  <si>
    <t>IRR</t>
  </si>
  <si>
    <t>Sources &amp; Uses</t>
  </si>
  <si>
    <t>Sources</t>
  </si>
  <si>
    <t>xEBITDA</t>
  </si>
  <si>
    <t>%Capital</t>
  </si>
  <si>
    <t>Uses</t>
  </si>
  <si>
    <t>Debt Retirement</t>
  </si>
  <si>
    <t>Equity Payment</t>
  </si>
  <si>
    <t>Fees and Expenses</t>
  </si>
  <si>
    <t>Sponsor Equity</t>
  </si>
  <si>
    <t>Total Sources</t>
  </si>
  <si>
    <t>Total Uses</t>
  </si>
  <si>
    <t>Operating Model</t>
  </si>
  <si>
    <t>Year 2025</t>
  </si>
  <si>
    <t>Year 2026</t>
  </si>
  <si>
    <t>Year 2027</t>
  </si>
  <si>
    <t>Year 2028</t>
  </si>
  <si>
    <t>Year 2029</t>
  </si>
  <si>
    <t>Year 2030</t>
  </si>
  <si>
    <t>% Growth</t>
  </si>
  <si>
    <t>% Sales</t>
  </si>
  <si>
    <t>%Sales</t>
  </si>
  <si>
    <t>EBT</t>
  </si>
  <si>
    <t>% sales</t>
  </si>
  <si>
    <t>Taxes</t>
  </si>
  <si>
    <t>% Tax Rate</t>
  </si>
  <si>
    <t>Cash Row Items</t>
  </si>
  <si>
    <t>Net Working Capital</t>
  </si>
  <si>
    <t>Change in working Capital</t>
  </si>
  <si>
    <t>CapEx</t>
  </si>
  <si>
    <t>% of Sales</t>
  </si>
  <si>
    <t>Levered Cash Flow</t>
  </si>
  <si>
    <t>Change in NWC</t>
  </si>
  <si>
    <t>Debt Schedule</t>
  </si>
  <si>
    <t>Beginning Bal.</t>
  </si>
  <si>
    <t>Paydown</t>
  </si>
  <si>
    <t>Ending Bal.</t>
  </si>
  <si>
    <t>Sr. Notes</t>
  </si>
  <si>
    <t>EBITDA at Exit</t>
  </si>
  <si>
    <t>Exit Multiple</t>
  </si>
  <si>
    <t>Sponsor Equity value</t>
  </si>
  <si>
    <t>Sponsor Equity at Entry</t>
  </si>
  <si>
    <t>MOIC</t>
  </si>
  <si>
    <t>Forcasted Years</t>
  </si>
  <si>
    <t>(One Page Leveraged Buyout - LBO)</t>
  </si>
  <si>
    <t>Accretion / Dilution Model</t>
  </si>
  <si>
    <t>Acquirer</t>
  </si>
  <si>
    <t>Diluted Shares Outstanding</t>
  </si>
  <si>
    <t>2026E EPS</t>
  </si>
  <si>
    <t>Share issued</t>
  </si>
  <si>
    <t>% Offer Premium</t>
  </si>
  <si>
    <t>Offer Price</t>
  </si>
  <si>
    <t>Dilluted Shares Outstanding</t>
  </si>
  <si>
    <t>Purchase price</t>
  </si>
  <si>
    <t>2026 EPS</t>
  </si>
  <si>
    <t>Synergies</t>
  </si>
  <si>
    <t>Interest on Cash</t>
  </si>
  <si>
    <t>Assest Write Up</t>
  </si>
  <si>
    <t>Book value of Target assests</t>
  </si>
  <si>
    <t>Useful Life</t>
  </si>
  <si>
    <t>Incremental D&amp;A Expense</t>
  </si>
  <si>
    <t>Consideration</t>
  </si>
  <si>
    <t>% Debt</t>
  </si>
  <si>
    <t>% Cash</t>
  </si>
  <si>
    <t>% Stock</t>
  </si>
  <si>
    <t>Term</t>
  </si>
  <si>
    <t>Intrest Rate</t>
  </si>
  <si>
    <t>Annual Financing fee Amortization</t>
  </si>
  <si>
    <t>Fair market value of target Assets</t>
  </si>
  <si>
    <t>Sources and Uses</t>
  </si>
  <si>
    <t>Capital %</t>
  </si>
  <si>
    <t>Acqirer Stock issued</t>
  </si>
  <si>
    <t>Cash (Purchase price + fees)</t>
  </si>
  <si>
    <t>Financing Fees</t>
  </si>
  <si>
    <t>Transaction fees</t>
  </si>
  <si>
    <t>5 Years</t>
  </si>
  <si>
    <t>15 Years</t>
  </si>
  <si>
    <t>Pro Forma</t>
  </si>
  <si>
    <t>Accretion / Dilution Analysis</t>
  </si>
  <si>
    <t>Standalone net Income</t>
  </si>
  <si>
    <t>Pre-Tax Income</t>
  </si>
  <si>
    <t>Pro Forma Pre Tax Income - Unadjusted</t>
  </si>
  <si>
    <t>Less: Forgone Interest on cash</t>
  </si>
  <si>
    <t>Less: Incremental D&amp;A expense</t>
  </si>
  <si>
    <t>Less: Financing Fees Amortization</t>
  </si>
  <si>
    <t>Plus: Synergies</t>
  </si>
  <si>
    <t>Pro Forma Pre Tax Income - Adjusted</t>
  </si>
  <si>
    <t>Pro Forma Net Income</t>
  </si>
  <si>
    <t>Pro Forma Shares</t>
  </si>
  <si>
    <t>Pro Forma EPS</t>
  </si>
  <si>
    <t>Acquirer Standalone EPS</t>
  </si>
  <si>
    <t>Accretion / Dilution per Share</t>
  </si>
  <si>
    <t>Accretion / Dilution %</t>
  </si>
  <si>
    <t>Less: Deal Fees</t>
  </si>
  <si>
    <t>Pro Forma Income Statement</t>
  </si>
  <si>
    <t xml:space="preserve">Accretive / Dilutive </t>
  </si>
  <si>
    <t>For Ref. only</t>
  </si>
  <si>
    <t>Less: Interest Expense from Net Debt</t>
  </si>
</sst>
</file>

<file path=xl/styles.xml><?xml version="1.0" encoding="utf-8"?>
<styleSheet xmlns="http://schemas.openxmlformats.org/spreadsheetml/2006/main">
  <numFmts count="19">
    <numFmt numFmtId="43" formatCode="_(* #,##0.00_);_(* \(#,##0.00\);_(* &quot;-&quot;??_);_(@_)"/>
    <numFmt numFmtId="164" formatCode="[$₹-4009]\ #,##0.00"/>
    <numFmt numFmtId="165" formatCode="[$₹-4009]\ #,##0.0"/>
    <numFmt numFmtId="166" formatCode="0.0%"/>
    <numFmt numFmtId="167" formatCode="_ * #,##0.00_ ;_ * \-#,##0.00_ ;_ * &quot;-&quot;??_ ;_ @_ "/>
    <numFmt numFmtId="168" formatCode="0\ &quot;Days&quot;"/>
    <numFmt numFmtId="169" formatCode="0.00&quot;x&quot;"/>
    <numFmt numFmtId="170" formatCode="0.00\x"/>
    <numFmt numFmtId="171" formatCode="#,##0.0"/>
    <numFmt numFmtId="172" formatCode="_(* #,##0.0_);_(* \(#,##0.0\);_(* &quot;-&quot;??_);_(@_)"/>
    <numFmt numFmtId="173" formatCode="_ * #,##0_ ;_ * \-#,##0_ ;_ * &quot;-&quot;??_ ;_ @_ "/>
    <numFmt numFmtId="174" formatCode="0.0"/>
    <numFmt numFmtId="175" formatCode="mm/dd/yy;@"/>
    <numFmt numFmtId="176" formatCode="[$₹-4009]\ #,##0.0;[$₹-4009]\ \-#,##0.0"/>
    <numFmt numFmtId="177" formatCode="mmm\-yy\F"/>
    <numFmt numFmtId="178" formatCode="mmm\-yy\A"/>
    <numFmt numFmtId="179" formatCode="0.0\x"/>
    <numFmt numFmtId="180" formatCode="_(* #,##0_);_(* \(#,##0\);_(* &quot;-&quot;??_);_(@_)"/>
    <numFmt numFmtId="181" formatCode="0\x"/>
  </numFmts>
  <fonts count="59">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color theme="1"/>
      <name val="Arial"/>
      <family val="2"/>
    </font>
    <font>
      <b/>
      <sz val="10"/>
      <color theme="1"/>
      <name val="Arial"/>
      <family val="2"/>
    </font>
    <font>
      <i/>
      <sz val="11"/>
      <color theme="1"/>
      <name val="Calibri"/>
      <family val="2"/>
      <scheme val="minor"/>
    </font>
    <font>
      <i/>
      <sz val="11"/>
      <color theme="1" tint="0.34998626667073579"/>
      <name val="Calibri"/>
      <family val="2"/>
      <scheme val="minor"/>
    </font>
    <font>
      <sz val="11"/>
      <color theme="1" tint="0.34998626667073579"/>
      <name val="Calibri"/>
      <family val="2"/>
      <scheme val="minor"/>
    </font>
    <font>
      <b/>
      <sz val="11"/>
      <color theme="1" tint="4.9989318521683403E-2"/>
      <name val="Calibri"/>
      <family val="2"/>
      <scheme val="minor"/>
    </font>
    <font>
      <b/>
      <sz val="11"/>
      <color theme="0" tint="-4.9989318521683403E-2"/>
      <name val="Calibri"/>
      <family val="2"/>
      <scheme val="minor"/>
    </font>
    <font>
      <b/>
      <sz val="12"/>
      <color theme="0" tint="-4.9989318521683403E-2"/>
      <name val="Calibri"/>
      <family val="2"/>
      <scheme val="minor"/>
    </font>
    <font>
      <sz val="11"/>
      <color rgb="FF003399"/>
      <name val="Calibri"/>
      <family val="2"/>
      <scheme val="minor"/>
    </font>
    <font>
      <b/>
      <i/>
      <sz val="11"/>
      <color theme="1"/>
      <name val="Calibri"/>
      <family val="2"/>
      <scheme val="minor"/>
    </font>
    <font>
      <b/>
      <sz val="11"/>
      <color rgb="FF002060"/>
      <name val="Calibri"/>
      <family val="2"/>
      <scheme val="minor"/>
    </font>
    <font>
      <b/>
      <sz val="22"/>
      <color rgb="FF336699"/>
      <name val="Sitka Heading"/>
    </font>
    <font>
      <b/>
      <sz val="11"/>
      <name val="Calibri"/>
      <family val="2"/>
      <scheme val="minor"/>
    </font>
    <font>
      <b/>
      <sz val="14"/>
      <color rgb="FF336699"/>
      <name val="Calibri"/>
      <family val="2"/>
      <scheme val="minor"/>
    </font>
    <font>
      <sz val="11"/>
      <color theme="0"/>
      <name val="Calibri"/>
      <family val="2"/>
      <scheme val="minor"/>
    </font>
    <font>
      <b/>
      <sz val="12"/>
      <color theme="0"/>
      <name val="Calibri"/>
      <family val="2"/>
      <scheme val="minor"/>
    </font>
    <font>
      <b/>
      <sz val="12"/>
      <color rgb="FF336699"/>
      <name val="Calibri"/>
      <family val="2"/>
      <scheme val="minor"/>
    </font>
    <font>
      <b/>
      <sz val="24"/>
      <color rgb="FF336699"/>
      <name val="Calibri"/>
      <family val="2"/>
      <scheme val="minor"/>
    </font>
    <font>
      <b/>
      <sz val="11"/>
      <color rgb="FF336699"/>
      <name val="Calibri"/>
      <family val="2"/>
      <scheme val="minor"/>
    </font>
    <font>
      <sz val="11"/>
      <color rgb="FF336699"/>
      <name val="Calibri"/>
      <family val="2"/>
      <scheme val="minor"/>
    </font>
    <font>
      <b/>
      <sz val="11"/>
      <color rgb="FF003399"/>
      <name val="Calibri"/>
      <family val="2"/>
      <scheme val="minor"/>
    </font>
    <font>
      <b/>
      <u/>
      <sz val="16"/>
      <color rgb="FF336699"/>
      <name val="Calibri"/>
      <family val="2"/>
      <scheme val="minor"/>
    </font>
    <font>
      <b/>
      <i/>
      <sz val="11"/>
      <color theme="7" tint="-0.249977111117893"/>
      <name val="Calibri"/>
      <family val="2"/>
      <scheme val="minor"/>
    </font>
    <font>
      <b/>
      <sz val="18"/>
      <color rgb="FF336699"/>
      <name val="Calibri"/>
      <family val="2"/>
      <scheme val="minor"/>
    </font>
    <font>
      <b/>
      <sz val="11"/>
      <color theme="7" tint="-0.499984740745262"/>
      <name val="Calibri"/>
      <family val="2"/>
      <scheme val="minor"/>
    </font>
    <font>
      <sz val="11"/>
      <color theme="7" tint="-0.499984740745262"/>
      <name val="Calibri"/>
      <family val="2"/>
      <scheme val="minor"/>
    </font>
    <font>
      <b/>
      <sz val="11"/>
      <color theme="8" tint="-0.499984740745262"/>
      <name val="Calibri"/>
      <family val="2"/>
      <scheme val="minor"/>
    </font>
    <font>
      <b/>
      <sz val="14"/>
      <color theme="0"/>
      <name val="Calibri"/>
      <family val="2"/>
      <scheme val="minor"/>
    </font>
    <font>
      <i/>
      <sz val="11"/>
      <color theme="1"/>
      <name val="Calibri"/>
      <family val="2"/>
    </font>
    <font>
      <b/>
      <u/>
      <sz val="12"/>
      <color theme="1"/>
      <name val="Calibri"/>
      <family val="2"/>
    </font>
    <font>
      <b/>
      <sz val="11"/>
      <name val="Calibri"/>
      <family val="2"/>
    </font>
    <font>
      <sz val="16"/>
      <color theme="1"/>
      <name val="Calibri"/>
      <family val="2"/>
    </font>
    <font>
      <b/>
      <sz val="16"/>
      <color theme="3" tint="-0.499984740745262"/>
      <name val="Calibri"/>
      <family val="2"/>
      <scheme val="minor"/>
    </font>
    <font>
      <sz val="11"/>
      <color rgb="FF0000FF"/>
      <name val="Calibri"/>
      <family val="2"/>
    </font>
    <font>
      <sz val="11"/>
      <color theme="3"/>
      <name val="Calibri"/>
      <family val="2"/>
    </font>
    <font>
      <vertAlign val="superscript"/>
      <sz val="11"/>
      <color theme="1"/>
      <name val="Calibri"/>
      <family val="2"/>
    </font>
    <font>
      <sz val="11"/>
      <color theme="3" tint="-0.249977111117893"/>
      <name val="Calibri"/>
      <family val="2"/>
    </font>
    <font>
      <b/>
      <vertAlign val="superscript"/>
      <sz val="11"/>
      <color theme="1"/>
      <name val="Calibri"/>
      <family val="2"/>
    </font>
    <font>
      <b/>
      <sz val="14"/>
      <color theme="0"/>
      <name val="Calibri"/>
      <family val="2"/>
    </font>
    <font>
      <b/>
      <u/>
      <sz val="16"/>
      <color theme="4" tint="-0.499984740745262"/>
      <name val="Book Antiqua"/>
      <family val="1"/>
    </font>
    <font>
      <b/>
      <sz val="12"/>
      <color theme="4" tint="-0.499984740745262"/>
      <name val="Book Antiqua"/>
      <family val="1"/>
    </font>
    <font>
      <b/>
      <sz val="18"/>
      <color rgb="FF336699"/>
      <name val="Book Antiqua"/>
      <family val="1"/>
    </font>
    <font>
      <b/>
      <sz val="11"/>
      <color theme="3" tint="-0.499984740745262"/>
      <name val="Bodoni MT"/>
      <family val="1"/>
    </font>
    <font>
      <sz val="16"/>
      <color theme="3" tint="-0.499984740745262"/>
      <name val="Bodoni MT"/>
      <family val="1"/>
    </font>
    <font>
      <b/>
      <u/>
      <sz val="11"/>
      <color theme="1"/>
      <name val="Calibri"/>
      <family val="2"/>
    </font>
    <font>
      <b/>
      <u/>
      <sz val="11"/>
      <color theme="0"/>
      <name val="Calibri"/>
      <family val="2"/>
    </font>
    <font>
      <i/>
      <sz val="10"/>
      <color theme="1"/>
      <name val="Calibri"/>
      <family val="2"/>
    </font>
    <font>
      <b/>
      <sz val="18"/>
      <color rgb="FF336699"/>
      <name val="Calibri"/>
      <family val="2"/>
    </font>
    <font>
      <b/>
      <i/>
      <sz val="11"/>
      <color theme="1"/>
      <name val="Calibri"/>
      <family val="2"/>
    </font>
    <font>
      <b/>
      <sz val="16"/>
      <color theme="0"/>
      <name val="Calibri"/>
      <family val="2"/>
    </font>
  </fonts>
  <fills count="18">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rgb="FF336699"/>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s>
  <borders count="51">
    <border>
      <left/>
      <right/>
      <top/>
      <bottom/>
      <diagonal/>
    </border>
    <border>
      <left/>
      <right/>
      <top/>
      <bottom style="medium">
        <color rgb="FF336699"/>
      </bottom>
      <diagonal/>
    </border>
    <border>
      <left/>
      <right/>
      <top style="thin">
        <color indexed="64"/>
      </top>
      <bottom style="thin">
        <color indexed="64"/>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top/>
      <bottom style="thin">
        <color indexed="64"/>
      </bottom>
      <diagonal/>
    </border>
    <border>
      <left/>
      <right/>
      <top style="thin">
        <color indexed="64"/>
      </top>
      <bottom/>
      <diagonal/>
    </border>
    <border>
      <left/>
      <right/>
      <top/>
      <bottom style="thick">
        <color rgb="FF336699"/>
      </bottom>
      <diagonal/>
    </border>
    <border>
      <left/>
      <right/>
      <top style="thick">
        <color rgb="FF336699"/>
      </top>
      <bottom/>
      <diagonal/>
    </border>
    <border>
      <left/>
      <right/>
      <top style="hair">
        <color auto="1"/>
      </top>
      <bottom/>
      <diagonal/>
    </border>
    <border>
      <left/>
      <right/>
      <top/>
      <bottom style="hair">
        <color auto="1"/>
      </bottom>
      <diagonal/>
    </border>
    <border>
      <left/>
      <right/>
      <top style="hair">
        <color theme="8" tint="-0.24994659260841701"/>
      </top>
      <bottom style="hair">
        <color theme="8" tint="-0.24994659260841701"/>
      </bottom>
      <diagonal/>
    </border>
    <border>
      <left/>
      <right/>
      <top style="hair">
        <color rgb="FF336699"/>
      </top>
      <bottom style="hair">
        <color rgb="FF336699"/>
      </bottom>
      <diagonal/>
    </border>
    <border>
      <left/>
      <right/>
      <top style="thick">
        <color rgb="FF336699"/>
      </top>
      <bottom style="thick">
        <color rgb="FF336699"/>
      </bottom>
      <diagonal/>
    </border>
    <border>
      <left/>
      <right/>
      <top style="medium">
        <color rgb="FF336699"/>
      </top>
      <bottom style="hair">
        <color rgb="FF336699"/>
      </bottom>
      <diagonal/>
    </border>
    <border>
      <left/>
      <right/>
      <top style="medium">
        <color rgb="FF336699"/>
      </top>
      <bottom style="medium">
        <color rgb="FF336699"/>
      </bottom>
      <diagonal/>
    </border>
    <border>
      <left/>
      <right/>
      <top/>
      <bottom style="medium">
        <color indexed="64"/>
      </bottom>
      <diagonal/>
    </border>
    <border>
      <left/>
      <right/>
      <top style="medium">
        <color indexed="64"/>
      </top>
      <bottom style="thin">
        <color indexed="64"/>
      </bottom>
      <diagonal/>
    </border>
    <border>
      <left/>
      <right/>
      <top style="medium">
        <color theme="3" tint="-0.24994659260841701"/>
      </top>
      <bottom style="medium">
        <color theme="3" tint="-0.24994659260841701"/>
      </bottom>
      <diagonal/>
    </border>
    <border>
      <left/>
      <right/>
      <top style="thin">
        <color indexed="64"/>
      </top>
      <bottom style="hair">
        <color auto="1"/>
      </bottom>
      <diagonal/>
    </border>
    <border>
      <left/>
      <right/>
      <top/>
      <bottom style="thick">
        <color theme="0"/>
      </bottom>
      <diagonal/>
    </border>
    <border>
      <left/>
      <right/>
      <top style="medium">
        <color theme="4" tint="-0.499984740745262"/>
      </top>
      <bottom/>
      <diagonal/>
    </border>
    <border>
      <left/>
      <right style="thin">
        <color theme="3" tint="-0.24994659260841701"/>
      </right>
      <top/>
      <bottom/>
      <diagonal/>
    </border>
    <border>
      <left/>
      <right/>
      <top/>
      <bottom style="thin">
        <color theme="3" tint="-0.24994659260841701"/>
      </bottom>
      <diagonal/>
    </border>
    <border>
      <left/>
      <right/>
      <top style="thin">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top style="medium">
        <color theme="4" tint="-0.24994659260841701"/>
      </top>
      <bottom/>
      <diagonal/>
    </border>
    <border>
      <left/>
      <right/>
      <top style="hair">
        <color theme="4" tint="-0.24994659260841701"/>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style="hair">
        <color theme="3"/>
      </right>
      <top/>
      <bottom/>
      <diagonal/>
    </border>
    <border>
      <left/>
      <right style="hair">
        <color theme="3"/>
      </right>
      <top style="medium">
        <color theme="3"/>
      </top>
      <bottom style="medium">
        <color theme="3"/>
      </bottom>
      <diagonal/>
    </border>
    <border>
      <left/>
      <right style="hair">
        <color theme="3"/>
      </right>
      <top style="medium">
        <color theme="3"/>
      </top>
      <bottom/>
      <diagonal/>
    </border>
    <border>
      <left/>
      <right/>
      <top style="thick">
        <color theme="3"/>
      </top>
      <bottom/>
      <diagonal/>
    </border>
    <border>
      <left/>
      <right/>
      <top/>
      <bottom style="thick">
        <color theme="3"/>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style="medium">
        <color rgb="FF336699"/>
      </left>
      <right/>
      <top style="medium">
        <color rgb="FF336699"/>
      </top>
      <bottom style="medium">
        <color rgb="FF336699"/>
      </bottom>
      <diagonal/>
    </border>
    <border>
      <left/>
      <right style="medium">
        <color rgb="FF336699"/>
      </right>
      <top style="medium">
        <color rgb="FF336699"/>
      </top>
      <bottom style="medium">
        <color rgb="FF336699"/>
      </bottom>
      <diagonal/>
    </border>
    <border>
      <left style="medium">
        <color rgb="FF336699"/>
      </left>
      <right/>
      <top style="medium">
        <color rgb="FF336699"/>
      </top>
      <bottom/>
      <diagonal/>
    </border>
    <border>
      <left/>
      <right/>
      <top style="medium">
        <color rgb="FF336699"/>
      </top>
      <bottom/>
      <diagonal/>
    </border>
    <border>
      <left/>
      <right style="medium">
        <color rgb="FF336699"/>
      </right>
      <top style="medium">
        <color rgb="FF336699"/>
      </top>
      <bottom/>
      <diagonal/>
    </border>
    <border>
      <left style="medium">
        <color rgb="FF336699"/>
      </left>
      <right/>
      <top/>
      <bottom/>
      <diagonal/>
    </border>
    <border>
      <left/>
      <right style="medium">
        <color rgb="FF336699"/>
      </right>
      <top/>
      <bottom/>
      <diagonal/>
    </border>
    <border>
      <left/>
      <right/>
      <top style="hair">
        <color rgb="FF336699"/>
      </top>
      <bottom/>
      <diagonal/>
    </border>
    <border>
      <left style="medium">
        <color rgb="FF336699"/>
      </left>
      <right/>
      <top style="hair">
        <color rgb="FF336699"/>
      </top>
      <bottom style="medium">
        <color rgb="FF336699"/>
      </bottom>
      <diagonal/>
    </border>
    <border>
      <left/>
      <right/>
      <top style="hair">
        <color rgb="FF336699"/>
      </top>
      <bottom style="medium">
        <color rgb="FF336699"/>
      </bottom>
      <diagonal/>
    </border>
    <border>
      <left/>
      <right style="medium">
        <color rgb="FF336699"/>
      </right>
      <top style="hair">
        <color rgb="FF336699"/>
      </top>
      <bottom style="medium">
        <color rgb="FF336699"/>
      </bottom>
      <diagonal/>
    </border>
    <border>
      <left/>
      <right/>
      <top style="hair">
        <color theme="3" tint="0.39994506668294322"/>
      </top>
      <bottom style="hair">
        <color theme="3" tint="0.39994506668294322"/>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23" fillId="3" borderId="0" applyNumberFormat="0" applyBorder="0" applyAlignment="0" applyProtection="0"/>
    <xf numFmtId="0" fontId="23" fillId="2" borderId="0" applyNumberFormat="0" applyBorder="0" applyAlignment="0" applyProtection="0"/>
    <xf numFmtId="164" fontId="5" fillId="0" borderId="0" applyFont="0" applyFill="0" applyBorder="0" applyAlignment="0" applyProtection="0"/>
  </cellStyleXfs>
  <cellXfs count="532">
    <xf numFmtId="0" fontId="0" fillId="0" borderId="0" xfId="0"/>
    <xf numFmtId="0" fontId="5" fillId="0" borderId="0" xfId="3"/>
    <xf numFmtId="0" fontId="5" fillId="0" borderId="1" xfId="3" applyBorder="1"/>
    <xf numFmtId="0" fontId="6" fillId="4" borderId="0" xfId="3" applyFont="1" applyFill="1" applyAlignment="1">
      <alignment horizontal="left" indent="33"/>
    </xf>
    <xf numFmtId="164" fontId="7" fillId="0" borderId="2" xfId="3" applyNumberFormat="1" applyFont="1" applyBorder="1" applyAlignment="1"/>
    <xf numFmtId="0" fontId="7" fillId="0" borderId="2" xfId="3" applyFont="1" applyBorder="1"/>
    <xf numFmtId="165" fontId="7" fillId="0" borderId="3" xfId="3" applyNumberFormat="1" applyFont="1" applyBorder="1" applyAlignment="1"/>
    <xf numFmtId="165" fontId="7" fillId="0" borderId="4" xfId="3" applyNumberFormat="1" applyFont="1" applyBorder="1" applyAlignment="1"/>
    <xf numFmtId="0" fontId="7" fillId="0" borderId="5" xfId="3" applyFont="1" applyBorder="1"/>
    <xf numFmtId="165" fontId="5" fillId="0" borderId="0" xfId="3" applyNumberFormat="1" applyAlignment="1"/>
    <xf numFmtId="0" fontId="5" fillId="0" borderId="0" xfId="3" applyFill="1"/>
    <xf numFmtId="0" fontId="8" fillId="0" borderId="0" xfId="3" applyFont="1" applyFill="1"/>
    <xf numFmtId="0" fontId="9" fillId="0" borderId="0" xfId="3" applyFont="1" applyFill="1" applyAlignment="1">
      <alignment horizontal="left"/>
    </xf>
    <xf numFmtId="0" fontId="7" fillId="0" borderId="0" xfId="3" applyFont="1" applyFill="1"/>
    <xf numFmtId="0" fontId="7" fillId="0" borderId="5" xfId="3" applyFont="1" applyFill="1" applyBorder="1"/>
    <xf numFmtId="0" fontId="10" fillId="0" borderId="0" xfId="3" applyFont="1" applyFill="1" applyAlignment="1">
      <alignment horizontal="left"/>
    </xf>
    <xf numFmtId="3" fontId="5" fillId="0" borderId="0" xfId="3" applyNumberFormat="1"/>
    <xf numFmtId="0" fontId="5" fillId="5" borderId="0" xfId="3" applyFill="1"/>
    <xf numFmtId="165" fontId="5" fillId="5" borderId="0" xfId="3" applyNumberFormat="1" applyFill="1"/>
    <xf numFmtId="165" fontId="7" fillId="5" borderId="0" xfId="3" applyNumberFormat="1" applyFont="1" applyFill="1"/>
    <xf numFmtId="0" fontId="7" fillId="5" borderId="0" xfId="3" applyFont="1" applyFill="1"/>
    <xf numFmtId="165" fontId="5" fillId="6" borderId="0" xfId="3" applyNumberFormat="1" applyFill="1"/>
    <xf numFmtId="165" fontId="7" fillId="6" borderId="0" xfId="3" applyNumberFormat="1" applyFont="1" applyFill="1"/>
    <xf numFmtId="0" fontId="7" fillId="6" borderId="0" xfId="3" applyFont="1" applyFill="1"/>
    <xf numFmtId="165" fontId="5" fillId="0" borderId="0" xfId="3" applyNumberFormat="1"/>
    <xf numFmtId="0" fontId="7" fillId="0" borderId="0" xfId="3" applyFont="1"/>
    <xf numFmtId="0" fontId="11" fillId="0" borderId="0" xfId="3" applyFont="1"/>
    <xf numFmtId="10" fontId="0" fillId="0" borderId="0" xfId="4" applyNumberFormat="1" applyFont="1"/>
    <xf numFmtId="10" fontId="12" fillId="0" borderId="0" xfId="4" applyNumberFormat="1" applyFont="1" applyAlignment="1"/>
    <xf numFmtId="0" fontId="12" fillId="0" borderId="0" xfId="3" applyFont="1"/>
    <xf numFmtId="165" fontId="12" fillId="0" borderId="0" xfId="4" applyNumberFormat="1" applyFont="1" applyAlignment="1"/>
    <xf numFmtId="10" fontId="12" fillId="0" borderId="6" xfId="4" applyNumberFormat="1" applyFont="1" applyBorder="1" applyAlignment="1"/>
    <xf numFmtId="0" fontId="12" fillId="0" borderId="6" xfId="3" applyFont="1" applyBorder="1"/>
    <xf numFmtId="165" fontId="7" fillId="0" borderId="7" xfId="3" applyNumberFormat="1" applyFont="1" applyBorder="1" applyAlignment="1"/>
    <xf numFmtId="0" fontId="7" fillId="0" borderId="7" xfId="3" applyFont="1" applyBorder="1"/>
    <xf numFmtId="166" fontId="12" fillId="0" borderId="0" xfId="4" applyNumberFormat="1" applyFont="1"/>
    <xf numFmtId="10" fontId="0" fillId="0" borderId="0" xfId="4" applyNumberFormat="1" applyFont="1" applyAlignment="1"/>
    <xf numFmtId="10" fontId="13" fillId="0" borderId="0" xfId="4" applyNumberFormat="1" applyFont="1" applyAlignment="1"/>
    <xf numFmtId="165" fontId="7" fillId="0" borderId="0" xfId="3" applyNumberFormat="1" applyFont="1" applyAlignment="1"/>
    <xf numFmtId="165" fontId="0" fillId="0" borderId="0" xfId="4" applyNumberFormat="1" applyFont="1" applyAlignment="1"/>
    <xf numFmtId="10" fontId="12" fillId="5" borderId="0" xfId="4" applyNumberFormat="1" applyFont="1" applyFill="1" applyAlignment="1"/>
    <xf numFmtId="165" fontId="5" fillId="0" borderId="0" xfId="3" applyNumberFormat="1" applyAlignment="1">
      <alignment horizontal="right"/>
    </xf>
    <xf numFmtId="0" fontId="12" fillId="5" borderId="0" xfId="3" applyFont="1" applyFill="1"/>
    <xf numFmtId="164" fontId="5" fillId="0" borderId="0" xfId="3" applyNumberFormat="1"/>
    <xf numFmtId="166" fontId="12" fillId="0" borderId="0" xfId="4" applyNumberFormat="1" applyFont="1" applyAlignment="1"/>
    <xf numFmtId="165" fontId="12" fillId="0" borderId="0" xfId="3" applyNumberFormat="1" applyFont="1" applyAlignment="1">
      <alignment horizontal="right"/>
    </xf>
    <xf numFmtId="17" fontId="5" fillId="5" borderId="0" xfId="3" applyNumberFormat="1" applyFill="1"/>
    <xf numFmtId="17" fontId="5" fillId="0" borderId="0" xfId="3" applyNumberFormat="1"/>
    <xf numFmtId="0" fontId="5" fillId="6" borderId="0" xfId="3" applyFill="1"/>
    <xf numFmtId="17" fontId="14" fillId="5" borderId="0" xfId="3" applyNumberFormat="1" applyFont="1" applyFill="1" applyAlignment="1">
      <alignment horizontal="right"/>
    </xf>
    <xf numFmtId="0" fontId="14" fillId="5" borderId="0" xfId="3" applyFont="1" applyFill="1"/>
    <xf numFmtId="17" fontId="14" fillId="7" borderId="0" xfId="3" applyNumberFormat="1" applyFont="1" applyFill="1" applyAlignment="1">
      <alignment horizontal="right"/>
    </xf>
    <xf numFmtId="0" fontId="14" fillId="7" borderId="0" xfId="3" applyFont="1" applyFill="1"/>
    <xf numFmtId="0" fontId="7" fillId="4" borderId="0" xfId="3" applyFont="1" applyFill="1" applyAlignment="1">
      <alignment vertical="center"/>
    </xf>
    <xf numFmtId="0" fontId="15" fillId="4" borderId="0" xfId="3" applyFont="1" applyFill="1" applyAlignment="1">
      <alignment vertical="center"/>
    </xf>
    <xf numFmtId="0" fontId="15" fillId="4" borderId="0" xfId="3" applyFont="1" applyFill="1" applyAlignment="1">
      <alignment horizontal="left" vertical="center" indent="29"/>
    </xf>
    <xf numFmtId="0" fontId="16" fillId="4" borderId="0" xfId="3" applyFont="1" applyFill="1" applyAlignment="1">
      <alignment horizontal="left" vertical="center" indent="22"/>
    </xf>
    <xf numFmtId="0" fontId="17" fillId="0" borderId="0" xfId="3" applyFont="1"/>
    <xf numFmtId="0" fontId="5" fillId="0" borderId="0" xfId="3" applyBorder="1"/>
    <xf numFmtId="0" fontId="5" fillId="0" borderId="8" xfId="3" applyBorder="1"/>
    <xf numFmtId="0" fontId="17" fillId="0" borderId="8" xfId="3" applyFont="1" applyBorder="1"/>
    <xf numFmtId="0" fontId="18" fillId="0" borderId="8" xfId="3" applyFont="1" applyBorder="1" applyAlignment="1">
      <alignment horizontal="left" indent="1"/>
    </xf>
    <xf numFmtId="0" fontId="19" fillId="0" borderId="0" xfId="3" applyFont="1"/>
    <xf numFmtId="0" fontId="20" fillId="0" borderId="0" xfId="3" applyFont="1"/>
    <xf numFmtId="0" fontId="5" fillId="4" borderId="0" xfId="3" applyFill="1"/>
    <xf numFmtId="10" fontId="5" fillId="6" borderId="0" xfId="3" applyNumberFormat="1" applyFill="1"/>
    <xf numFmtId="4" fontId="5" fillId="6" borderId="0" xfId="3" applyNumberFormat="1" applyFill="1"/>
    <xf numFmtId="0" fontId="5" fillId="6" borderId="0" xfId="3" applyFill="1" applyAlignment="1">
      <alignment horizontal="left"/>
    </xf>
    <xf numFmtId="10" fontId="5" fillId="0" borderId="0" xfId="3" applyNumberFormat="1"/>
    <xf numFmtId="4" fontId="5" fillId="0" borderId="0" xfId="3" applyNumberFormat="1"/>
    <xf numFmtId="0" fontId="5" fillId="8" borderId="0" xfId="3" applyFill="1"/>
    <xf numFmtId="0" fontId="5" fillId="0" borderId="0" xfId="3" applyAlignment="1">
      <alignment horizontal="left"/>
    </xf>
    <xf numFmtId="0" fontId="7" fillId="7" borderId="0" xfId="3" applyFont="1" applyFill="1" applyAlignment="1">
      <alignment horizontal="left" vertical="top" wrapText="1"/>
    </xf>
    <xf numFmtId="0" fontId="7" fillId="7" borderId="0" xfId="3" applyFont="1" applyFill="1" applyAlignment="1">
      <alignment horizontal="left" vertical="top" wrapText="1" indent="2"/>
    </xf>
    <xf numFmtId="0" fontId="7" fillId="7" borderId="0" xfId="3" applyFont="1" applyFill="1"/>
    <xf numFmtId="0" fontId="7" fillId="7" borderId="0" xfId="3" applyFont="1" applyFill="1" applyAlignment="1">
      <alignment horizontal="center"/>
    </xf>
    <xf numFmtId="0" fontId="6" fillId="4" borderId="0" xfId="3" applyFont="1" applyFill="1"/>
    <xf numFmtId="0" fontId="6" fillId="4" borderId="0" xfId="3" applyFont="1" applyFill="1" applyAlignment="1">
      <alignment horizontal="left" indent="2"/>
    </xf>
    <xf numFmtId="0" fontId="6" fillId="0" borderId="0" xfId="3" applyFont="1" applyFill="1" applyAlignment="1">
      <alignment horizontal="left" indent="33"/>
    </xf>
    <xf numFmtId="10" fontId="0" fillId="0" borderId="0" xfId="4" applyNumberFormat="1" applyFont="1" applyAlignment="1">
      <alignment horizontal="center" vertical="top"/>
    </xf>
    <xf numFmtId="167" fontId="0" fillId="0" borderId="0" xfId="5" applyNumberFormat="1" applyFont="1"/>
    <xf numFmtId="0" fontId="5" fillId="0" borderId="0" xfId="3" applyAlignment="1">
      <alignment horizontal="center"/>
    </xf>
    <xf numFmtId="0" fontId="5" fillId="0" borderId="0" xfId="3" applyAlignment="1"/>
    <xf numFmtId="10" fontId="5" fillId="6" borderId="0" xfId="3" applyNumberFormat="1" applyFill="1" applyAlignment="1"/>
    <xf numFmtId="10" fontId="5" fillId="0" borderId="0" xfId="3" applyNumberFormat="1" applyAlignment="1"/>
    <xf numFmtId="0" fontId="15" fillId="5" borderId="0" xfId="3" applyFont="1" applyFill="1" applyAlignment="1">
      <alignment horizontal="center"/>
    </xf>
    <xf numFmtId="0" fontId="15" fillId="5" borderId="0" xfId="3" applyFont="1" applyFill="1"/>
    <xf numFmtId="0" fontId="5" fillId="0" borderId="0" xfId="3" applyAlignment="1">
      <alignment horizontal="center" vertical="top"/>
    </xf>
    <xf numFmtId="0" fontId="21" fillId="0" borderId="0" xfId="3" applyFont="1" applyFill="1" applyAlignment="1">
      <alignment horizontal="center"/>
    </xf>
    <xf numFmtId="0" fontId="21" fillId="0" borderId="0" xfId="3" applyFont="1" applyFill="1" applyAlignment="1"/>
    <xf numFmtId="0" fontId="21" fillId="7" borderId="0" xfId="3" applyFont="1" applyFill="1" applyAlignment="1"/>
    <xf numFmtId="0" fontId="21" fillId="7" borderId="0" xfId="3" applyFont="1" applyFill="1" applyAlignment="1">
      <alignment horizontal="center"/>
    </xf>
    <xf numFmtId="0" fontId="21" fillId="7" borderId="0" xfId="3" applyFont="1" applyFill="1"/>
    <xf numFmtId="0" fontId="15" fillId="0" borderId="0" xfId="3" applyFont="1" applyFill="1"/>
    <xf numFmtId="0" fontId="15" fillId="0" borderId="0" xfId="3" applyFont="1" applyFill="1" applyAlignment="1">
      <alignment horizontal="left" indent="6"/>
    </xf>
    <xf numFmtId="0" fontId="15" fillId="4" borderId="0" xfId="3" applyFont="1" applyFill="1"/>
    <xf numFmtId="0" fontId="15" fillId="4" borderId="0" xfId="3" applyFont="1" applyFill="1" applyAlignment="1">
      <alignment horizontal="left" indent="6"/>
    </xf>
    <xf numFmtId="0" fontId="15" fillId="4" borderId="0" xfId="3" applyFont="1" applyFill="1" applyAlignment="1">
      <alignment horizontal="left" indent="1"/>
    </xf>
    <xf numFmtId="0" fontId="5" fillId="4" borderId="0" xfId="3" applyFill="1" applyBorder="1"/>
    <xf numFmtId="0" fontId="17" fillId="4" borderId="0" xfId="3" applyFont="1" applyFill="1" applyBorder="1"/>
    <xf numFmtId="0" fontId="22" fillId="0" borderId="8" xfId="3" applyFont="1" applyBorder="1"/>
    <xf numFmtId="0" fontId="5" fillId="0" borderId="9" xfId="3" applyBorder="1"/>
    <xf numFmtId="0" fontId="5" fillId="0" borderId="10" xfId="3" applyBorder="1"/>
    <xf numFmtId="10" fontId="0" fillId="0" borderId="11" xfId="4" applyNumberFormat="1" applyFont="1" applyBorder="1"/>
    <xf numFmtId="0" fontId="5" fillId="0" borderId="11" xfId="3" applyBorder="1"/>
    <xf numFmtId="10" fontId="0" fillId="0" borderId="4" xfId="4" applyNumberFormat="1" applyFont="1" applyBorder="1"/>
    <xf numFmtId="0" fontId="5" fillId="0" borderId="4" xfId="3" applyBorder="1"/>
    <xf numFmtId="168" fontId="5" fillId="0" borderId="0" xfId="3" applyNumberFormat="1"/>
    <xf numFmtId="169" fontId="0" fillId="0" borderId="0" xfId="4" applyNumberFormat="1" applyFont="1"/>
    <xf numFmtId="10" fontId="0" fillId="0" borderId="10" xfId="4" applyNumberFormat="1" applyFont="1" applyBorder="1"/>
    <xf numFmtId="0" fontId="7" fillId="4" borderId="0" xfId="3" applyFont="1" applyFill="1" applyAlignment="1">
      <alignment horizontal="left" vertical="center"/>
    </xf>
    <xf numFmtId="0" fontId="15" fillId="4" borderId="0" xfId="3" applyFont="1" applyFill="1" applyAlignment="1">
      <alignment horizontal="left" vertical="center"/>
    </xf>
    <xf numFmtId="0" fontId="16" fillId="4" borderId="0" xfId="3" applyFont="1" applyFill="1" applyAlignment="1">
      <alignment horizontal="left" vertical="center" indent="34"/>
    </xf>
    <xf numFmtId="0" fontId="7" fillId="0" borderId="8" xfId="3" applyFont="1" applyBorder="1"/>
    <xf numFmtId="10" fontId="7" fillId="0" borderId="0" xfId="4" applyNumberFormat="1" applyFont="1"/>
    <xf numFmtId="10" fontId="7" fillId="0" borderId="0" xfId="4" applyNumberFormat="1" applyFont="1" applyBorder="1"/>
    <xf numFmtId="0" fontId="7" fillId="0" borderId="0" xfId="3" applyFont="1" applyBorder="1"/>
    <xf numFmtId="17" fontId="7" fillId="0" borderId="0" xfId="3" applyNumberFormat="1" applyFont="1" applyBorder="1"/>
    <xf numFmtId="17" fontId="7" fillId="6" borderId="6" xfId="3" applyNumberFormat="1" applyFont="1" applyFill="1" applyBorder="1"/>
    <xf numFmtId="0" fontId="7" fillId="6" borderId="6" xfId="3" applyFont="1" applyFill="1" applyBorder="1"/>
    <xf numFmtId="0" fontId="6" fillId="5" borderId="0" xfId="3" applyFont="1" applyFill="1" applyAlignment="1">
      <alignment horizontal="center" vertical="center"/>
    </xf>
    <xf numFmtId="0" fontId="6" fillId="7" borderId="0" xfId="3" applyFont="1" applyFill="1" applyAlignment="1">
      <alignment horizontal="center" vertical="center"/>
    </xf>
    <xf numFmtId="0" fontId="23" fillId="5" borderId="0" xfId="3" applyFont="1" applyFill="1" applyAlignment="1"/>
    <xf numFmtId="0" fontId="5" fillId="5" borderId="9" xfId="3" applyFill="1" applyBorder="1"/>
    <xf numFmtId="0" fontId="7" fillId="0" borderId="0" xfId="3" applyFont="1" applyAlignment="1">
      <alignment vertical="top"/>
    </xf>
    <xf numFmtId="0" fontId="25" fillId="0" borderId="0" xfId="3" applyFont="1" applyAlignment="1">
      <alignment vertical="top"/>
    </xf>
    <xf numFmtId="0" fontId="7" fillId="0" borderId="0" xfId="3" applyFont="1" applyAlignment="1">
      <alignment wrapText="1"/>
    </xf>
    <xf numFmtId="0" fontId="22" fillId="6" borderId="0" xfId="3" applyFont="1" applyFill="1"/>
    <xf numFmtId="10" fontId="7" fillId="6" borderId="0" xfId="4" applyNumberFormat="1" applyFont="1" applyFill="1"/>
    <xf numFmtId="170" fontId="7" fillId="6" borderId="0" xfId="4" applyNumberFormat="1" applyFont="1" applyFill="1"/>
    <xf numFmtId="171" fontId="5" fillId="0" borderId="0" xfId="3" applyNumberFormat="1"/>
    <xf numFmtId="17" fontId="7" fillId="0" borderId="0" xfId="3" applyNumberFormat="1" applyFont="1"/>
    <xf numFmtId="0" fontId="6" fillId="4" borderId="0" xfId="3" applyFont="1" applyFill="1" applyAlignment="1">
      <alignment horizontal="left" indent="42"/>
    </xf>
    <xf numFmtId="0" fontId="6" fillId="4" borderId="0" xfId="3" applyFont="1" applyFill="1" applyAlignment="1">
      <alignment horizontal="left" indent="41"/>
    </xf>
    <xf numFmtId="0" fontId="26" fillId="0" borderId="0" xfId="3" applyFont="1" applyAlignment="1">
      <alignment horizontal="left" indent="12"/>
    </xf>
    <xf numFmtId="0" fontId="27" fillId="0" borderId="0" xfId="3" applyFont="1" applyAlignment="1">
      <alignment horizontal="left" indent="6"/>
    </xf>
    <xf numFmtId="0" fontId="5" fillId="0" borderId="0" xfId="3" applyAlignment="1">
      <alignment horizontal="left" indent="3"/>
    </xf>
    <xf numFmtId="0" fontId="27" fillId="0" borderId="0" xfId="3" applyFont="1"/>
    <xf numFmtId="0" fontId="27" fillId="0" borderId="0" xfId="3" applyFont="1" applyAlignment="1">
      <alignment horizontal="left"/>
    </xf>
    <xf numFmtId="0" fontId="28" fillId="0" borderId="0" xfId="3" applyFont="1"/>
    <xf numFmtId="0" fontId="27" fillId="0" borderId="0" xfId="3" applyFont="1" applyAlignment="1">
      <alignment horizontal="right"/>
    </xf>
    <xf numFmtId="0" fontId="5" fillId="0" borderId="0" xfId="3" applyAlignment="1">
      <alignment horizontal="left" vertical="top" wrapText="1"/>
    </xf>
    <xf numFmtId="0" fontId="22" fillId="0" borderId="0" xfId="3" applyFont="1" applyFill="1" applyBorder="1"/>
    <xf numFmtId="0" fontId="22" fillId="6" borderId="0" xfId="3" applyFont="1" applyFill="1" applyBorder="1"/>
    <xf numFmtId="0" fontId="5" fillId="5" borderId="0" xfId="3" applyFill="1" applyBorder="1"/>
    <xf numFmtId="0" fontId="17" fillId="5" borderId="0" xfId="3" applyFont="1" applyFill="1" applyBorder="1"/>
    <xf numFmtId="0" fontId="28" fillId="0" borderId="0" xfId="3" applyFont="1" applyBorder="1"/>
    <xf numFmtId="0" fontId="22" fillId="0" borderId="0" xfId="3" applyFont="1"/>
    <xf numFmtId="10" fontId="29" fillId="6" borderId="0" xfId="4" applyNumberFormat="1" applyFont="1" applyFill="1" applyAlignment="1">
      <alignment horizontal="right"/>
    </xf>
    <xf numFmtId="171" fontId="7" fillId="6" borderId="0" xfId="3" applyNumberFormat="1" applyFont="1" applyFill="1"/>
    <xf numFmtId="0" fontId="6" fillId="4" borderId="0" xfId="3" applyFont="1" applyFill="1" applyAlignment="1">
      <alignment horizontal="left" indent="43"/>
    </xf>
    <xf numFmtId="166" fontId="7" fillId="6" borderId="0" xfId="4" applyNumberFormat="1" applyFont="1" applyFill="1"/>
    <xf numFmtId="0" fontId="5" fillId="0" borderId="0" xfId="3" applyFont="1" applyFill="1"/>
    <xf numFmtId="0" fontId="7" fillId="4" borderId="0" xfId="3" applyFont="1" applyFill="1" applyAlignment="1">
      <alignment horizontal="left" indent="33"/>
    </xf>
    <xf numFmtId="0" fontId="6" fillId="4" borderId="0" xfId="3" applyFont="1" applyFill="1" applyAlignment="1">
      <alignment horizontal="left" indent="37"/>
    </xf>
    <xf numFmtId="10" fontId="7" fillId="5" borderId="0" xfId="4" applyNumberFormat="1" applyFont="1" applyFill="1"/>
    <xf numFmtId="0" fontId="6" fillId="4" borderId="0" xfId="3" applyFont="1" applyFill="1" applyAlignment="1">
      <alignment horizontal="left" indent="38"/>
    </xf>
    <xf numFmtId="0" fontId="26" fillId="0" borderId="0" xfId="3" applyFont="1" applyAlignment="1">
      <alignment horizontal="left" indent="24"/>
    </xf>
    <xf numFmtId="0" fontId="27" fillId="0" borderId="0" xfId="3" applyFont="1" applyAlignment="1">
      <alignment horizontal="left" indent="7"/>
    </xf>
    <xf numFmtId="0" fontId="30" fillId="5" borderId="0" xfId="3" applyFont="1" applyFill="1"/>
    <xf numFmtId="0" fontId="30" fillId="6" borderId="0" xfId="3" applyFont="1" applyFill="1"/>
    <xf numFmtId="0" fontId="32" fillId="0" borderId="0" xfId="3" applyFont="1" applyBorder="1" applyAlignment="1">
      <alignment horizontal="left"/>
    </xf>
    <xf numFmtId="0" fontId="5" fillId="0" borderId="0" xfId="3" applyFill="1" applyBorder="1"/>
    <xf numFmtId="4" fontId="0" fillId="0" borderId="0" xfId="0" applyNumberFormat="1"/>
    <xf numFmtId="14" fontId="0" fillId="0" borderId="0" xfId="0" applyNumberFormat="1"/>
    <xf numFmtId="4" fontId="0" fillId="0" borderId="12" xfId="0" applyNumberFormat="1" applyBorder="1"/>
    <xf numFmtId="172" fontId="0" fillId="0" borderId="12" xfId="1" applyNumberFormat="1" applyFont="1" applyBorder="1"/>
    <xf numFmtId="10" fontId="0" fillId="9" borderId="12" xfId="0" applyNumberFormat="1" applyFill="1" applyBorder="1"/>
    <xf numFmtId="9" fontId="0" fillId="0" borderId="12" xfId="0" applyNumberFormat="1" applyBorder="1" applyAlignment="1">
      <alignment horizontal="center"/>
    </xf>
    <xf numFmtId="10" fontId="0" fillId="0" borderId="12" xfId="0" applyNumberFormat="1" applyBorder="1"/>
    <xf numFmtId="10" fontId="0" fillId="0" borderId="12" xfId="0" applyNumberFormat="1" applyBorder="1" applyAlignment="1">
      <alignment horizontal="center"/>
    </xf>
    <xf numFmtId="0" fontId="2" fillId="5" borderId="0" xfId="0" applyFont="1" applyFill="1" applyAlignment="1">
      <alignment horizontal="center"/>
    </xf>
    <xf numFmtId="0" fontId="2" fillId="4" borderId="0" xfId="0" applyFont="1" applyFill="1" applyAlignment="1">
      <alignment horizontal="center"/>
    </xf>
    <xf numFmtId="4" fontId="0" fillId="9" borderId="12" xfId="0" applyNumberFormat="1" applyFill="1" applyBorder="1"/>
    <xf numFmtId="0" fontId="0" fillId="0" borderId="12" xfId="0" applyBorder="1"/>
    <xf numFmtId="0" fontId="2" fillId="9" borderId="0" xfId="0" applyFont="1" applyFill="1" applyAlignment="1"/>
    <xf numFmtId="0" fontId="2" fillId="4" borderId="0" xfId="0" applyFont="1" applyFill="1" applyAlignment="1"/>
    <xf numFmtId="0" fontId="0" fillId="0" borderId="0" xfId="0" applyFill="1"/>
    <xf numFmtId="0" fontId="0" fillId="9" borderId="0" xfId="0" applyFill="1"/>
    <xf numFmtId="0" fontId="2" fillId="4" borderId="0" xfId="0" applyFont="1" applyFill="1"/>
    <xf numFmtId="0" fontId="2" fillId="0" borderId="0" xfId="0" applyFont="1" applyFill="1" applyAlignment="1">
      <alignment horizontal="center" vertical="top"/>
    </xf>
    <xf numFmtId="0" fontId="2" fillId="0" borderId="0" xfId="0" applyFont="1" applyFill="1"/>
    <xf numFmtId="0" fontId="2" fillId="9" borderId="0" xfId="0" applyFont="1" applyFill="1" applyAlignment="1">
      <alignment horizontal="center" vertical="top"/>
    </xf>
    <xf numFmtId="0" fontId="2" fillId="9" borderId="0" xfId="0" applyFont="1" applyFill="1"/>
    <xf numFmtId="0" fontId="6" fillId="10" borderId="0" xfId="0" applyFont="1" applyFill="1" applyAlignment="1">
      <alignment horizontal="left" indent="33"/>
    </xf>
    <xf numFmtId="0" fontId="0" fillId="10" borderId="0" xfId="0" applyFill="1" applyBorder="1"/>
    <xf numFmtId="0" fontId="17" fillId="10" borderId="0" xfId="0" applyFont="1" applyFill="1" applyBorder="1"/>
    <xf numFmtId="0" fontId="6" fillId="4" borderId="0" xfId="0" applyFont="1" applyFill="1" applyAlignment="1">
      <alignment horizontal="left" indent="33"/>
    </xf>
    <xf numFmtId="0" fontId="0" fillId="4" borderId="0" xfId="0" applyFill="1" applyBorder="1"/>
    <xf numFmtId="0" fontId="17" fillId="4" borderId="0" xfId="0" applyFont="1" applyFill="1" applyBorder="1"/>
    <xf numFmtId="0" fontId="17" fillId="0" borderId="0" xfId="0" applyFont="1"/>
    <xf numFmtId="0" fontId="0" fillId="0" borderId="0" xfId="0" applyBorder="1"/>
    <xf numFmtId="0" fontId="7" fillId="0" borderId="0" xfId="0" applyFont="1"/>
    <xf numFmtId="0" fontId="0" fillId="0" borderId="8" xfId="0" applyBorder="1"/>
    <xf numFmtId="0" fontId="17" fillId="0" borderId="8" xfId="0" applyFont="1" applyBorder="1"/>
    <xf numFmtId="0" fontId="7" fillId="0" borderId="8" xfId="0" applyFont="1" applyBorder="1"/>
    <xf numFmtId="0" fontId="0" fillId="0" borderId="9" xfId="0" applyBorder="1"/>
    <xf numFmtId="0" fontId="20" fillId="0" borderId="0" xfId="0" applyFont="1"/>
    <xf numFmtId="0" fontId="24" fillId="4" borderId="0" xfId="3" applyFont="1" applyFill="1" applyAlignment="1">
      <alignment horizontal="left" indent="48"/>
    </xf>
    <xf numFmtId="0" fontId="23" fillId="0" borderId="0" xfId="3" applyFont="1" applyFill="1"/>
    <xf numFmtId="0" fontId="7" fillId="0" borderId="0" xfId="3" applyFont="1" applyAlignment="1"/>
    <xf numFmtId="0" fontId="5" fillId="0" borderId="13" xfId="3" applyBorder="1"/>
    <xf numFmtId="0" fontId="34" fillId="0" borderId="0" xfId="3" applyFont="1" applyAlignment="1"/>
    <xf numFmtId="0" fontId="7" fillId="7" borderId="0" xfId="3" applyFont="1" applyFill="1" applyAlignment="1">
      <alignment horizontal="left" indent="2"/>
    </xf>
    <xf numFmtId="0" fontId="5" fillId="0" borderId="0" xfId="3" applyAlignment="1">
      <alignment horizontal="left" indent="1"/>
    </xf>
    <xf numFmtId="173" fontId="0" fillId="0" borderId="13" xfId="9" applyNumberFormat="1" applyFont="1" applyBorder="1"/>
    <xf numFmtId="2" fontId="5" fillId="0" borderId="13" xfId="3" applyNumberFormat="1" applyBorder="1" applyAlignment="1">
      <alignment horizontal="right"/>
    </xf>
    <xf numFmtId="166" fontId="0" fillId="0" borderId="13" xfId="4" applyNumberFormat="1" applyFont="1" applyBorder="1" applyAlignment="1">
      <alignment horizontal="center"/>
    </xf>
    <xf numFmtId="10" fontId="5" fillId="0" borderId="13" xfId="3" applyNumberFormat="1" applyBorder="1" applyAlignment="1"/>
    <xf numFmtId="167" fontId="0" fillId="0" borderId="13" xfId="9" applyNumberFormat="1" applyFont="1" applyBorder="1"/>
    <xf numFmtId="10" fontId="5" fillId="0" borderId="13" xfId="3" applyNumberFormat="1" applyBorder="1" applyAlignment="1">
      <alignment horizontal="left" indent="1"/>
    </xf>
    <xf numFmtId="0" fontId="5" fillId="0" borderId="13" xfId="3" applyBorder="1" applyAlignment="1">
      <alignment horizontal="right"/>
    </xf>
    <xf numFmtId="0" fontId="7" fillId="5" borderId="0" xfId="3" applyFont="1" applyFill="1" applyAlignment="1">
      <alignment horizontal="left"/>
    </xf>
    <xf numFmtId="0" fontId="7" fillId="5" borderId="0" xfId="3" applyFont="1" applyFill="1" applyAlignment="1"/>
    <xf numFmtId="0" fontId="7" fillId="5" borderId="0" xfId="3" applyFont="1" applyFill="1" applyAlignment="1">
      <alignment horizontal="right"/>
    </xf>
    <xf numFmtId="10" fontId="5" fillId="0" borderId="13" xfId="3" applyNumberFormat="1" applyBorder="1"/>
    <xf numFmtId="166" fontId="0" fillId="0" borderId="13" xfId="4" applyNumberFormat="1" applyFont="1" applyBorder="1"/>
    <xf numFmtId="169" fontId="5" fillId="0" borderId="13" xfId="3" applyNumberFormat="1" applyBorder="1"/>
    <xf numFmtId="17" fontId="35" fillId="7" borderId="0" xfId="3" applyNumberFormat="1" applyFont="1" applyFill="1"/>
    <xf numFmtId="0" fontId="35" fillId="7" borderId="0" xfId="3" applyFont="1" applyFill="1"/>
    <xf numFmtId="166" fontId="11" fillId="0" borderId="13" xfId="4" applyNumberFormat="1" applyFont="1" applyBorder="1"/>
    <xf numFmtId="0" fontId="11" fillId="0" borderId="13" xfId="3" applyFont="1" applyBorder="1"/>
    <xf numFmtId="0" fontId="5" fillId="0" borderId="14" xfId="3" applyBorder="1"/>
    <xf numFmtId="0" fontId="7" fillId="0" borderId="14" xfId="3" applyFont="1" applyBorder="1"/>
    <xf numFmtId="174" fontId="5" fillId="0" borderId="13" xfId="3" applyNumberFormat="1" applyBorder="1"/>
    <xf numFmtId="2" fontId="5" fillId="0" borderId="13" xfId="3" applyNumberFormat="1" applyBorder="1"/>
    <xf numFmtId="0" fontId="5" fillId="0" borderId="13" xfId="3" applyBorder="1" applyAlignment="1">
      <alignment horizontal="left" indent="1"/>
    </xf>
    <xf numFmtId="166" fontId="0" fillId="0" borderId="0" xfId="4" applyNumberFormat="1" applyFont="1"/>
    <xf numFmtId="0" fontId="5" fillId="0" borderId="15" xfId="3" applyBorder="1"/>
    <xf numFmtId="0" fontId="5" fillId="0" borderId="15" xfId="3" applyBorder="1" applyAlignment="1">
      <alignment horizontal="left" indent="1"/>
    </xf>
    <xf numFmtId="0" fontId="5" fillId="0" borderId="16" xfId="3" applyBorder="1"/>
    <xf numFmtId="0" fontId="7" fillId="0" borderId="16" xfId="3" applyFont="1" applyBorder="1"/>
    <xf numFmtId="2" fontId="5" fillId="0" borderId="0" xfId="3" applyNumberFormat="1"/>
    <xf numFmtId="0" fontId="24" fillId="4" borderId="0" xfId="3" applyFont="1" applyFill="1"/>
    <xf numFmtId="0" fontId="23" fillId="5" borderId="0" xfId="3" applyFont="1" applyFill="1"/>
    <xf numFmtId="0" fontId="24" fillId="5" borderId="0" xfId="3" applyFont="1" applyFill="1" applyAlignment="1">
      <alignment horizontal="left" indent="32"/>
    </xf>
    <xf numFmtId="0" fontId="36" fillId="4" borderId="0" xfId="3" applyFont="1" applyFill="1" applyAlignment="1">
      <alignment horizontal="left" indent="25"/>
    </xf>
    <xf numFmtId="10" fontId="0" fillId="0" borderId="0" xfId="2" applyNumberFormat="1" applyFont="1" applyAlignment="1">
      <alignment horizontal="center"/>
    </xf>
    <xf numFmtId="175" fontId="0" fillId="0" borderId="0" xfId="0" applyNumberFormat="1"/>
    <xf numFmtId="0" fontId="0" fillId="0" borderId="17" xfId="0" applyFill="1" applyBorder="1" applyAlignment="1"/>
    <xf numFmtId="0" fontId="0" fillId="10" borderId="17" xfId="0" applyFill="1" applyBorder="1" applyAlignment="1"/>
    <xf numFmtId="0" fontId="0" fillId="0" borderId="0" xfId="0" applyFill="1" applyBorder="1" applyAlignment="1"/>
    <xf numFmtId="0" fontId="37" fillId="0" borderId="18" xfId="0" applyFont="1" applyFill="1" applyBorder="1" applyAlignment="1">
      <alignment horizontal="center"/>
    </xf>
    <xf numFmtId="0" fontId="37" fillId="0" borderId="18" xfId="0" applyFont="1" applyFill="1" applyBorder="1" applyAlignment="1">
      <alignment horizontal="centerContinuous"/>
    </xf>
    <xf numFmtId="2" fontId="38" fillId="9" borderId="0" xfId="0" applyNumberFormat="1" applyFont="1" applyFill="1"/>
    <xf numFmtId="0" fontId="38" fillId="9" borderId="0" xfId="0" applyFont="1" applyFill="1"/>
    <xf numFmtId="0" fontId="3" fillId="0" borderId="0" xfId="0" applyFont="1"/>
    <xf numFmtId="0" fontId="39" fillId="10" borderId="0" xfId="0" applyFont="1" applyFill="1" applyBorder="1" applyAlignment="1">
      <alignment horizontal="center"/>
    </xf>
    <xf numFmtId="0" fontId="3" fillId="5" borderId="0" xfId="0" applyFont="1" applyFill="1" applyBorder="1" applyAlignment="1">
      <alignment horizontal="right" vertical="center"/>
    </xf>
    <xf numFmtId="0" fontId="39" fillId="10" borderId="0" xfId="0" applyFont="1" applyFill="1" applyBorder="1" applyAlignment="1">
      <alignment horizontal="center" vertical="center"/>
    </xf>
    <xf numFmtId="0" fontId="2" fillId="4" borderId="0" xfId="0" applyFont="1" applyFill="1" applyBorder="1"/>
    <xf numFmtId="0" fontId="2" fillId="4" borderId="0" xfId="0" applyFont="1" applyFill="1" applyBorder="1" applyAlignment="1">
      <alignment horizontal="left" indent="4"/>
    </xf>
    <xf numFmtId="0" fontId="4" fillId="5" borderId="0" xfId="0" applyFont="1" applyFill="1"/>
    <xf numFmtId="0" fontId="4" fillId="4" borderId="0" xfId="0" applyFont="1" applyFill="1" applyBorder="1"/>
    <xf numFmtId="0" fontId="2" fillId="4" borderId="0" xfId="0" applyFont="1" applyFill="1" applyBorder="1" applyAlignment="1">
      <alignment horizontal="left" indent="6"/>
    </xf>
    <xf numFmtId="0" fontId="40" fillId="10" borderId="0" xfId="0" applyFont="1" applyFill="1"/>
    <xf numFmtId="0" fontId="17" fillId="0" borderId="0" xfId="0" applyFont="1" applyFill="1"/>
    <xf numFmtId="0" fontId="0" fillId="0" borderId="0" xfId="0" applyFill="1" applyBorder="1"/>
    <xf numFmtId="0" fontId="7" fillId="0" borderId="0" xfId="0" applyFont="1" applyFill="1"/>
    <xf numFmtId="0" fontId="17" fillId="4" borderId="0" xfId="0" applyFont="1" applyFill="1"/>
    <xf numFmtId="0" fontId="0" fillId="4" borderId="0" xfId="0" applyFill="1"/>
    <xf numFmtId="0" fontId="7" fillId="4" borderId="0" xfId="0" applyFont="1" applyFill="1"/>
    <xf numFmtId="0" fontId="17" fillId="0" borderId="0" xfId="0" applyFont="1" applyBorder="1"/>
    <xf numFmtId="0" fontId="18" fillId="0" borderId="0" xfId="0" applyFont="1" applyBorder="1" applyAlignment="1">
      <alignment horizontal="left" indent="1"/>
    </xf>
    <xf numFmtId="0" fontId="18" fillId="0" borderId="8" xfId="0" applyFont="1" applyBorder="1" applyAlignment="1">
      <alignment horizontal="left" indent="1"/>
    </xf>
    <xf numFmtId="0" fontId="19" fillId="0" borderId="0" xfId="0" applyFont="1"/>
    <xf numFmtId="0" fontId="6" fillId="0" borderId="0" xfId="0" applyFont="1" applyFill="1" applyAlignment="1">
      <alignment horizontal="left" indent="33"/>
    </xf>
    <xf numFmtId="0" fontId="37" fillId="0" borderId="0" xfId="0" applyFont="1"/>
    <xf numFmtId="10" fontId="3" fillId="10" borderId="16" xfId="2" applyNumberFormat="1" applyFont="1" applyFill="1" applyBorder="1"/>
    <xf numFmtId="0" fontId="0" fillId="10" borderId="16" xfId="0" applyFill="1" applyBorder="1"/>
    <xf numFmtId="0" fontId="3" fillId="10" borderId="16" xfId="0" applyFont="1" applyFill="1" applyBorder="1"/>
    <xf numFmtId="10" fontId="0" fillId="0" borderId="0" xfId="0" applyNumberFormat="1"/>
    <xf numFmtId="0" fontId="3" fillId="0" borderId="6" xfId="0" applyFont="1" applyBorder="1" applyAlignment="1">
      <alignment horizontal="right"/>
    </xf>
    <xf numFmtId="0" fontId="0" fillId="0" borderId="6" xfId="0" applyBorder="1"/>
    <xf numFmtId="0" fontId="3" fillId="0" borderId="6" xfId="0" applyFont="1" applyBorder="1"/>
    <xf numFmtId="10" fontId="0" fillId="10" borderId="16" xfId="0" applyNumberFormat="1" applyFill="1" applyBorder="1"/>
    <xf numFmtId="0" fontId="0" fillId="0" borderId="16" xfId="0" applyBorder="1"/>
    <xf numFmtId="2" fontId="0" fillId="10" borderId="10" xfId="0" applyNumberFormat="1" applyFill="1" applyBorder="1"/>
    <xf numFmtId="0" fontId="0" fillId="0" borderId="10" xfId="0" applyBorder="1"/>
    <xf numFmtId="10" fontId="0" fillId="0" borderId="10" xfId="0" applyNumberFormat="1" applyBorder="1"/>
    <xf numFmtId="10" fontId="0" fillId="0" borderId="10" xfId="2" applyNumberFormat="1" applyFont="1" applyBorder="1"/>
    <xf numFmtId="171" fontId="42" fillId="0" borderId="0" xfId="0" applyNumberFormat="1" applyFont="1"/>
    <xf numFmtId="9" fontId="0" fillId="0" borderId="0" xfId="0" applyNumberFormat="1"/>
    <xf numFmtId="10" fontId="0" fillId="0" borderId="0" xfId="2" applyNumberFormat="1" applyFont="1"/>
    <xf numFmtId="10" fontId="43" fillId="0" borderId="0" xfId="0" applyNumberFormat="1" applyFont="1"/>
    <xf numFmtId="174" fontId="0" fillId="0" borderId="0" xfId="0" applyNumberFormat="1"/>
    <xf numFmtId="10" fontId="0" fillId="10" borderId="10" xfId="0" applyNumberFormat="1" applyFill="1" applyBorder="1"/>
    <xf numFmtId="0" fontId="3" fillId="0" borderId="10" xfId="0" applyFont="1" applyBorder="1"/>
    <xf numFmtId="2" fontId="0" fillId="0" borderId="0" xfId="0" applyNumberFormat="1"/>
    <xf numFmtId="10" fontId="0" fillId="10" borderId="10" xfId="2" applyNumberFormat="1" applyFont="1" applyFill="1" applyBorder="1"/>
    <xf numFmtId="10" fontId="45" fillId="0" borderId="0" xfId="0" applyNumberFormat="1" applyFont="1"/>
    <xf numFmtId="10" fontId="45" fillId="0" borderId="0" xfId="2" applyNumberFormat="1" applyFont="1"/>
    <xf numFmtId="174" fontId="0" fillId="0" borderId="6" xfId="0" applyNumberFormat="1" applyBorder="1"/>
    <xf numFmtId="2" fontId="0" fillId="0" borderId="6" xfId="0" applyNumberFormat="1" applyBorder="1"/>
    <xf numFmtId="166" fontId="0" fillId="0" borderId="6" xfId="0" applyNumberFormat="1" applyBorder="1"/>
    <xf numFmtId="174" fontId="0" fillId="0" borderId="7" xfId="0" applyNumberFormat="1" applyBorder="1"/>
    <xf numFmtId="2" fontId="0" fillId="0" borderId="7" xfId="0" applyNumberFormat="1" applyBorder="1"/>
    <xf numFmtId="166" fontId="0" fillId="0" borderId="7" xfId="0" applyNumberFormat="1" applyBorder="1"/>
    <xf numFmtId="0" fontId="3" fillId="0" borderId="7" xfId="0" applyFont="1" applyBorder="1"/>
    <xf numFmtId="0" fontId="0" fillId="0" borderId="0" xfId="0" applyAlignment="1">
      <alignment horizontal="right"/>
    </xf>
    <xf numFmtId="2" fontId="0" fillId="10" borderId="0" xfId="0" applyNumberFormat="1" applyFill="1" applyAlignment="1">
      <alignment horizontal="center"/>
    </xf>
    <xf numFmtId="2" fontId="42" fillId="0" borderId="0" xfId="0" applyNumberFormat="1" applyFont="1" applyAlignment="1">
      <alignment horizontal="center"/>
    </xf>
    <xf numFmtId="10" fontId="0" fillId="10" borderId="0" xfId="2" applyNumberFormat="1" applyFont="1" applyFill="1"/>
    <xf numFmtId="166" fontId="42" fillId="0" borderId="0" xfId="2" applyNumberFormat="1" applyFont="1" applyAlignment="1">
      <alignment horizontal="center"/>
    </xf>
    <xf numFmtId="176" fontId="42" fillId="0" borderId="0" xfId="0" applyNumberFormat="1" applyFont="1" applyAlignment="1">
      <alignment horizontal="right"/>
    </xf>
    <xf numFmtId="0" fontId="42" fillId="0" borderId="0" xfId="0" applyFont="1" applyFill="1" applyBorder="1" applyAlignment="1">
      <alignment horizontal="right"/>
    </xf>
    <xf numFmtId="0" fontId="42" fillId="0" borderId="0" xfId="0" applyFont="1" applyAlignment="1">
      <alignment horizontal="right"/>
    </xf>
    <xf numFmtId="0" fontId="0" fillId="0" borderId="0" xfId="0" applyAlignment="1">
      <alignment horizontal="center"/>
    </xf>
    <xf numFmtId="0" fontId="3" fillId="0" borderId="6" xfId="0" applyFont="1" applyBorder="1" applyAlignment="1">
      <alignment horizontal="left" vertical="center"/>
    </xf>
    <xf numFmtId="0" fontId="0" fillId="10" borderId="0" xfId="0" applyFill="1"/>
    <xf numFmtId="0" fontId="4" fillId="0" borderId="0" xfId="0" applyFont="1" applyFill="1"/>
    <xf numFmtId="0" fontId="4" fillId="4" borderId="0" xfId="0" applyFont="1" applyFill="1"/>
    <xf numFmtId="0" fontId="47" fillId="4" borderId="0" xfId="0" applyFont="1" applyFill="1" applyAlignment="1">
      <alignment horizontal="left" vertical="center" indent="34"/>
    </xf>
    <xf numFmtId="171" fontId="3" fillId="9" borderId="19" xfId="0" applyNumberFormat="1" applyFont="1" applyFill="1" applyBorder="1"/>
    <xf numFmtId="0" fontId="3" fillId="9" borderId="19" xfId="0" applyFont="1" applyFill="1" applyBorder="1"/>
    <xf numFmtId="4" fontId="0" fillId="0" borderId="0" xfId="0" applyNumberFormat="1" applyBorder="1"/>
    <xf numFmtId="3" fontId="0" fillId="0" borderId="20" xfId="0" applyNumberFormat="1" applyBorder="1"/>
    <xf numFmtId="0" fontId="0" fillId="0" borderId="20" xfId="0" applyBorder="1"/>
    <xf numFmtId="3" fontId="0" fillId="0" borderId="10" xfId="0" applyNumberFormat="1" applyBorder="1"/>
    <xf numFmtId="3" fontId="0" fillId="0" borderId="4" xfId="0" applyNumberFormat="1" applyBorder="1"/>
    <xf numFmtId="0" fontId="0" fillId="0" borderId="4" xfId="0" applyBorder="1"/>
    <xf numFmtId="170" fontId="0" fillId="12" borderId="4" xfId="0" applyNumberFormat="1" applyFill="1" applyBorder="1"/>
    <xf numFmtId="0" fontId="0" fillId="12" borderId="4" xfId="0" applyFill="1" applyBorder="1"/>
    <xf numFmtId="170" fontId="3" fillId="12" borderId="4" xfId="0" applyNumberFormat="1" applyFont="1" applyFill="1" applyBorder="1"/>
    <xf numFmtId="0" fontId="3" fillId="12" borderId="4" xfId="0" applyFont="1" applyFill="1" applyBorder="1"/>
    <xf numFmtId="170" fontId="0" fillId="0" borderId="4" xfId="0" applyNumberFormat="1" applyBorder="1"/>
    <xf numFmtId="4" fontId="0" fillId="0" borderId="4" xfId="0" applyNumberFormat="1" applyBorder="1"/>
    <xf numFmtId="170" fontId="0" fillId="13" borderId="4" xfId="0" applyNumberFormat="1" applyFill="1" applyBorder="1"/>
    <xf numFmtId="0" fontId="3" fillId="13" borderId="4" xfId="0" applyFont="1" applyFill="1" applyBorder="1"/>
    <xf numFmtId="3" fontId="3" fillId="13" borderId="4" xfId="0" applyNumberFormat="1" applyFont="1" applyFill="1" applyBorder="1"/>
    <xf numFmtId="4" fontId="3" fillId="13" borderId="4" xfId="0" applyNumberFormat="1" applyFont="1" applyFill="1" applyBorder="1"/>
    <xf numFmtId="0" fontId="4" fillId="0" borderId="0" xfId="0" applyFont="1" applyFill="1" applyBorder="1"/>
    <xf numFmtId="0" fontId="2" fillId="4" borderId="0" xfId="0" applyFont="1" applyFill="1" applyBorder="1" applyAlignment="1">
      <alignment wrapText="1"/>
    </xf>
    <xf numFmtId="0" fontId="2" fillId="4" borderId="0" xfId="0" applyFont="1" applyFill="1" applyAlignment="1">
      <alignment wrapText="1"/>
    </xf>
    <xf numFmtId="0" fontId="4" fillId="0" borderId="0" xfId="0" applyFont="1" applyFill="1" applyBorder="1" applyAlignment="1">
      <alignment horizontal="left" indent="21"/>
    </xf>
    <xf numFmtId="0" fontId="2" fillId="4" borderId="21" xfId="0" applyFont="1" applyFill="1" applyBorder="1" applyAlignment="1">
      <alignment horizontal="left" indent="21"/>
    </xf>
    <xf numFmtId="0" fontId="2" fillId="4" borderId="21" xfId="0" applyFont="1" applyFill="1" applyBorder="1" applyAlignment="1">
      <alignment horizontal="left"/>
    </xf>
    <xf numFmtId="0" fontId="2" fillId="4" borderId="0" xfId="0" applyFont="1" applyFill="1" applyBorder="1" applyAlignment="1">
      <alignment horizontal="left" indent="21"/>
    </xf>
    <xf numFmtId="0" fontId="2" fillId="4" borderId="21" xfId="0" applyFont="1" applyFill="1" applyBorder="1" applyAlignment="1">
      <alignment horizontal="left" indent="17"/>
    </xf>
    <xf numFmtId="0" fontId="2" fillId="4" borderId="21" xfId="0" applyFont="1" applyFill="1" applyBorder="1"/>
    <xf numFmtId="0" fontId="2" fillId="4" borderId="0" xfId="0" applyFont="1" applyFill="1" applyBorder="1" applyAlignment="1">
      <alignment horizontal="left" indent="17"/>
    </xf>
    <xf numFmtId="0" fontId="19" fillId="0" borderId="8" xfId="0" applyFont="1" applyBorder="1"/>
    <xf numFmtId="170" fontId="0" fillId="10" borderId="6" xfId="2" applyNumberFormat="1" applyFont="1" applyFill="1" applyBorder="1"/>
    <xf numFmtId="9" fontId="0" fillId="10" borderId="0" xfId="2" applyFont="1" applyFill="1"/>
    <xf numFmtId="4" fontId="0" fillId="10" borderId="0" xfId="0" applyNumberFormat="1" applyFill="1"/>
    <xf numFmtId="4" fontId="3" fillId="13" borderId="0" xfId="0" applyNumberFormat="1" applyFont="1" applyFill="1" applyBorder="1"/>
    <xf numFmtId="0" fontId="3" fillId="13" borderId="0" xfId="0" applyFont="1" applyFill="1" applyBorder="1"/>
    <xf numFmtId="4" fontId="3" fillId="0" borderId="0" xfId="0" applyNumberFormat="1" applyFont="1" applyBorder="1"/>
    <xf numFmtId="0" fontId="3" fillId="0" borderId="0" xfId="0" applyFont="1" applyBorder="1"/>
    <xf numFmtId="4" fontId="3" fillId="9" borderId="0" xfId="0" applyNumberFormat="1" applyFont="1" applyFill="1"/>
    <xf numFmtId="0" fontId="3" fillId="9" borderId="0" xfId="0" applyFont="1" applyFill="1"/>
    <xf numFmtId="4" fontId="0" fillId="0" borderId="22" xfId="0" applyNumberFormat="1" applyBorder="1"/>
    <xf numFmtId="0" fontId="0" fillId="0" borderId="22" xfId="0" applyBorder="1"/>
    <xf numFmtId="0" fontId="3" fillId="10" borderId="0" xfId="0" applyFont="1" applyFill="1"/>
    <xf numFmtId="9" fontId="3" fillId="0" borderId="23" xfId="0" applyNumberFormat="1" applyFont="1" applyBorder="1" applyAlignment="1">
      <alignment horizontal="center"/>
    </xf>
    <xf numFmtId="2" fontId="3" fillId="10" borderId="0" xfId="0" applyNumberFormat="1" applyFont="1" applyFill="1" applyBorder="1"/>
    <xf numFmtId="0" fontId="3" fillId="10" borderId="0" xfId="0" applyFont="1" applyFill="1" applyBorder="1"/>
    <xf numFmtId="4" fontId="0" fillId="13" borderId="0" xfId="0" applyNumberFormat="1" applyFill="1"/>
    <xf numFmtId="10" fontId="3" fillId="0" borderId="23" xfId="0" applyNumberFormat="1" applyFont="1" applyBorder="1" applyAlignment="1">
      <alignment horizontal="center"/>
    </xf>
    <xf numFmtId="9" fontId="3" fillId="0" borderId="24" xfId="0" applyNumberFormat="1" applyFont="1" applyBorder="1" applyAlignment="1">
      <alignment horizontal="center" vertical="center"/>
    </xf>
    <xf numFmtId="10" fontId="3" fillId="0" borderId="24" xfId="0" applyNumberFormat="1" applyFont="1" applyBorder="1" applyAlignment="1">
      <alignment horizontal="center" vertical="center"/>
    </xf>
    <xf numFmtId="2" fontId="4" fillId="0" borderId="0" xfId="0" applyNumberFormat="1" applyFont="1" applyBorder="1" applyAlignment="1">
      <alignment horizontal="right"/>
    </xf>
    <xf numFmtId="0" fontId="0" fillId="0" borderId="0" xfId="0" applyAlignment="1">
      <alignment horizontal="left" indent="1"/>
    </xf>
    <xf numFmtId="10" fontId="0" fillId="13" borderId="0" xfId="0" applyNumberFormat="1" applyFill="1"/>
    <xf numFmtId="0" fontId="0" fillId="13" borderId="0" xfId="0" applyFill="1"/>
    <xf numFmtId="9" fontId="0" fillId="13" borderId="0" xfId="0" applyNumberFormat="1" applyFill="1"/>
    <xf numFmtId="4" fontId="3" fillId="0" borderId="25" xfId="0" applyNumberFormat="1" applyFont="1" applyBorder="1"/>
    <xf numFmtId="4" fontId="3" fillId="13" borderId="25" xfId="0" applyNumberFormat="1" applyFont="1" applyFill="1" applyBorder="1"/>
    <xf numFmtId="0" fontId="3" fillId="0" borderId="25" xfId="0" applyFont="1" applyBorder="1"/>
    <xf numFmtId="0" fontId="3" fillId="0" borderId="26" xfId="0" applyFont="1" applyBorder="1"/>
    <xf numFmtId="4" fontId="0" fillId="13" borderId="4" xfId="0" applyNumberFormat="1" applyFill="1" applyBorder="1"/>
    <xf numFmtId="4" fontId="45" fillId="0" borderId="4" xfId="0" applyNumberFormat="1" applyFont="1" applyBorder="1"/>
    <xf numFmtId="4" fontId="45" fillId="13" borderId="4" xfId="0" applyNumberFormat="1" applyFont="1" applyFill="1" applyBorder="1"/>
    <xf numFmtId="4" fontId="0" fillId="0" borderId="4" xfId="0" applyNumberFormat="1" applyFill="1" applyBorder="1"/>
    <xf numFmtId="0" fontId="0" fillId="11" borderId="0" xfId="0" applyFill="1"/>
    <xf numFmtId="177" fontId="2" fillId="4" borderId="0" xfId="0" applyNumberFormat="1" applyFont="1" applyFill="1"/>
    <xf numFmtId="178" fontId="2" fillId="4" borderId="0" xfId="0" applyNumberFormat="1" applyFont="1" applyFill="1"/>
    <xf numFmtId="0" fontId="0" fillId="5" borderId="0" xfId="0" applyFill="1"/>
    <xf numFmtId="0" fontId="2" fillId="4" borderId="0" xfId="0" applyFont="1" applyFill="1" applyAlignment="1">
      <alignment horizontal="left" indent="25"/>
    </xf>
    <xf numFmtId="0" fontId="0" fillId="14" borderId="0" xfId="0" applyFill="1"/>
    <xf numFmtId="0" fontId="0" fillId="15" borderId="0" xfId="0" applyFill="1"/>
    <xf numFmtId="0" fontId="0" fillId="6" borderId="0" xfId="0" applyFill="1"/>
    <xf numFmtId="0" fontId="0" fillId="0" borderId="0" xfId="0" applyBorder="1" applyAlignment="1"/>
    <xf numFmtId="0" fontId="0" fillId="9" borderId="0" xfId="0" applyFill="1" applyBorder="1" applyAlignment="1"/>
    <xf numFmtId="0" fontId="0" fillId="14" borderId="0" xfId="0" applyFill="1" applyBorder="1" applyAlignment="1"/>
    <xf numFmtId="0" fontId="0" fillId="15" borderId="0" xfId="0" applyFill="1" applyBorder="1" applyAlignment="1"/>
    <xf numFmtId="0" fontId="0" fillId="16" borderId="0" xfId="0" applyFill="1" applyBorder="1" applyAlignment="1"/>
    <xf numFmtId="0" fontId="0" fillId="16" borderId="0" xfId="0" applyFill="1"/>
    <xf numFmtId="0" fontId="0" fillId="7" borderId="0" xfId="0" applyFill="1"/>
    <xf numFmtId="0" fontId="0" fillId="7" borderId="0" xfId="0" applyFill="1" applyBorder="1" applyAlignment="1"/>
    <xf numFmtId="0" fontId="53" fillId="0" borderId="0" xfId="0" applyFont="1"/>
    <xf numFmtId="0" fontId="53" fillId="0" borderId="0" xfId="0" applyFont="1" applyAlignment="1">
      <alignment horizontal="right"/>
    </xf>
    <xf numFmtId="0" fontId="54" fillId="4" borderId="0" xfId="0" applyFont="1" applyFill="1"/>
    <xf numFmtId="0" fontId="3" fillId="0" borderId="27" xfId="0" applyFont="1" applyBorder="1"/>
    <xf numFmtId="0" fontId="0" fillId="0" borderId="27" xfId="0" applyBorder="1"/>
    <xf numFmtId="10" fontId="45" fillId="0" borderId="0" xfId="0" applyNumberFormat="1" applyFont="1" applyFill="1"/>
    <xf numFmtId="179" fontId="45" fillId="0" borderId="0" xfId="0" applyNumberFormat="1" applyFont="1" applyFill="1" applyAlignment="1">
      <alignment horizontal="right"/>
    </xf>
    <xf numFmtId="179" fontId="0" fillId="0" borderId="0" xfId="0" applyNumberFormat="1"/>
    <xf numFmtId="0" fontId="3" fillId="0" borderId="28" xfId="0" applyFont="1" applyBorder="1"/>
    <xf numFmtId="0" fontId="0" fillId="0" borderId="28" xfId="0" applyBorder="1"/>
    <xf numFmtId="9" fontId="0" fillId="0" borderId="0" xfId="2" applyFont="1"/>
    <xf numFmtId="0" fontId="0" fillId="17" borderId="0" xfId="0" applyFill="1"/>
    <xf numFmtId="0" fontId="4" fillId="17" borderId="0" xfId="0" applyFont="1" applyFill="1"/>
    <xf numFmtId="0" fontId="2" fillId="17" borderId="0" xfId="0" applyFont="1" applyFill="1"/>
    <xf numFmtId="17" fontId="4" fillId="0" borderId="0" xfId="0" applyNumberFormat="1" applyFont="1" applyFill="1"/>
    <xf numFmtId="0" fontId="4" fillId="0" borderId="0" xfId="0" applyNumberFormat="1" applyFont="1" applyFill="1"/>
    <xf numFmtId="2" fontId="4" fillId="0" borderId="0" xfId="0" applyNumberFormat="1" applyFont="1" applyFill="1"/>
    <xf numFmtId="16" fontId="2" fillId="17" borderId="0" xfId="0" applyNumberFormat="1" applyFont="1" applyFill="1"/>
    <xf numFmtId="0" fontId="2" fillId="17" borderId="0" xfId="0" applyFont="1" applyFill="1" applyAlignment="1">
      <alignment horizontal="right"/>
    </xf>
    <xf numFmtId="0" fontId="55" fillId="0" borderId="0" xfId="0" applyFont="1"/>
    <xf numFmtId="1" fontId="0" fillId="0" borderId="0" xfId="0" applyNumberFormat="1"/>
    <xf numFmtId="0" fontId="3" fillId="17" borderId="0" xfId="0" applyFont="1" applyFill="1"/>
    <xf numFmtId="0" fontId="2" fillId="4" borderId="0" xfId="0" applyFont="1" applyFill="1" applyAlignment="1">
      <alignment horizontal="right"/>
    </xf>
    <xf numFmtId="3" fontId="0" fillId="0" borderId="0" xfId="0" applyNumberFormat="1"/>
    <xf numFmtId="3" fontId="0" fillId="0" borderId="28" xfId="0" applyNumberFormat="1" applyBorder="1"/>
    <xf numFmtId="180" fontId="0" fillId="0" borderId="27" xfId="1" applyNumberFormat="1" applyFont="1" applyBorder="1"/>
    <xf numFmtId="180" fontId="0" fillId="0" borderId="0" xfId="1" applyNumberFormat="1" applyFont="1"/>
    <xf numFmtId="10" fontId="37" fillId="0" borderId="0" xfId="0" applyNumberFormat="1" applyFont="1"/>
    <xf numFmtId="9" fontId="37" fillId="0" borderId="0" xfId="2" applyFont="1"/>
    <xf numFmtId="166" fontId="37" fillId="0" borderId="0" xfId="0" applyNumberFormat="1" applyFont="1"/>
    <xf numFmtId="0" fontId="3" fillId="0" borderId="29" xfId="0" applyFont="1" applyBorder="1"/>
    <xf numFmtId="0" fontId="3" fillId="0" borderId="30" xfId="0" applyFont="1" applyBorder="1"/>
    <xf numFmtId="3" fontId="3" fillId="0" borderId="30" xfId="0" applyNumberFormat="1" applyFont="1" applyBorder="1"/>
    <xf numFmtId="0" fontId="2" fillId="17" borderId="32" xfId="0" applyFont="1" applyFill="1" applyBorder="1" applyAlignment="1">
      <alignment horizontal="right"/>
    </xf>
    <xf numFmtId="3" fontId="0" fillId="0" borderId="32" xfId="0" applyNumberFormat="1" applyBorder="1"/>
    <xf numFmtId="0" fontId="0" fillId="0" borderId="32" xfId="0" applyBorder="1"/>
    <xf numFmtId="9" fontId="37" fillId="0" borderId="32" xfId="2" applyFont="1" applyBorder="1"/>
    <xf numFmtId="0" fontId="2" fillId="17" borderId="32" xfId="0" applyFont="1" applyFill="1" applyBorder="1"/>
    <xf numFmtId="3" fontId="3" fillId="0" borderId="33" xfId="0" applyNumberFormat="1" applyFont="1" applyBorder="1"/>
    <xf numFmtId="0" fontId="0" fillId="17" borderId="32" xfId="0" applyFill="1" applyBorder="1"/>
    <xf numFmtId="0" fontId="0" fillId="0" borderId="34" xfId="0" applyBorder="1"/>
    <xf numFmtId="0" fontId="3" fillId="17" borderId="32" xfId="0" applyFont="1" applyFill="1" applyBorder="1"/>
    <xf numFmtId="3" fontId="0" fillId="12" borderId="0" xfId="0" applyNumberFormat="1" applyFill="1"/>
    <xf numFmtId="179" fontId="0" fillId="12" borderId="0" xfId="0" applyNumberFormat="1" applyFill="1"/>
    <xf numFmtId="3" fontId="3" fillId="12" borderId="31" xfId="0" applyNumberFormat="1" applyFont="1" applyFill="1" applyBorder="1"/>
    <xf numFmtId="181" fontId="0" fillId="12" borderId="0" xfId="0" applyNumberFormat="1" applyFill="1"/>
    <xf numFmtId="10" fontId="37" fillId="12" borderId="0" xfId="0" applyNumberFormat="1" applyFont="1" applyFill="1"/>
    <xf numFmtId="0" fontId="0" fillId="12" borderId="0" xfId="0" applyFill="1"/>
    <xf numFmtId="166" fontId="37" fillId="12" borderId="0" xfId="0" applyNumberFormat="1" applyFont="1" applyFill="1"/>
    <xf numFmtId="9" fontId="37" fillId="12" borderId="0" xfId="2" applyFont="1" applyFill="1"/>
    <xf numFmtId="1" fontId="0" fillId="12" borderId="0" xfId="0" applyNumberFormat="1" applyFill="1"/>
    <xf numFmtId="179" fontId="45" fillId="12" borderId="0" xfId="0" applyNumberFormat="1" applyFont="1" applyFill="1" applyAlignment="1">
      <alignment horizontal="right"/>
    </xf>
    <xf numFmtId="10" fontId="45" fillId="12" borderId="0" xfId="0" applyNumberFormat="1" applyFont="1" applyFill="1"/>
    <xf numFmtId="0" fontId="45" fillId="12" borderId="0" xfId="0" applyFont="1" applyFill="1"/>
    <xf numFmtId="1" fontId="45" fillId="12" borderId="0" xfId="0" applyNumberFormat="1" applyFont="1" applyFill="1"/>
    <xf numFmtId="180" fontId="45" fillId="12" borderId="0" xfId="1" applyNumberFormat="1" applyFont="1" applyFill="1"/>
    <xf numFmtId="10" fontId="3" fillId="12" borderId="31" xfId="2" applyNumberFormat="1" applyFont="1" applyFill="1" applyBorder="1"/>
    <xf numFmtId="0" fontId="0" fillId="0" borderId="35" xfId="0" applyBorder="1"/>
    <xf numFmtId="0" fontId="0" fillId="0" borderId="36" xfId="0" applyBorder="1"/>
    <xf numFmtId="0" fontId="0" fillId="0" borderId="0" xfId="0" applyAlignment="1"/>
    <xf numFmtId="0" fontId="56" fillId="0" borderId="0" xfId="0" applyFont="1" applyAlignment="1">
      <alignment horizontal="left"/>
    </xf>
    <xf numFmtId="3" fontId="0" fillId="0" borderId="32" xfId="0" applyNumberFormat="1" applyBorder="1" applyAlignment="1">
      <alignment horizontal="center"/>
    </xf>
    <xf numFmtId="0" fontId="0" fillId="0" borderId="32" xfId="0" applyBorder="1" applyAlignment="1">
      <alignment horizontal="center"/>
    </xf>
    <xf numFmtId="3" fontId="3" fillId="0" borderId="33" xfId="0" applyNumberFormat="1" applyFont="1" applyBorder="1" applyAlignment="1">
      <alignment horizontal="center"/>
    </xf>
    <xf numFmtId="0" fontId="3" fillId="0" borderId="37" xfId="0" applyFont="1" applyBorder="1"/>
    <xf numFmtId="0" fontId="3" fillId="0" borderId="38" xfId="0" applyFont="1" applyBorder="1"/>
    <xf numFmtId="0" fontId="3" fillId="0" borderId="39" xfId="0" applyFont="1" applyBorder="1"/>
    <xf numFmtId="0" fontId="3" fillId="0" borderId="16" xfId="0" applyFont="1" applyBorder="1"/>
    <xf numFmtId="166" fontId="0" fillId="0" borderId="0" xfId="0" applyNumberFormat="1"/>
    <xf numFmtId="0" fontId="3" fillId="0" borderId="41" xfId="0" applyFont="1" applyBorder="1"/>
    <xf numFmtId="0" fontId="0" fillId="0" borderId="42" xfId="0" applyBorder="1"/>
    <xf numFmtId="0" fontId="57" fillId="0" borderId="44" xfId="0" applyFont="1" applyBorder="1"/>
    <xf numFmtId="9" fontId="2" fillId="4" borderId="0" xfId="0" applyNumberFormat="1" applyFont="1" applyFill="1"/>
    <xf numFmtId="0" fontId="58" fillId="4" borderId="0" xfId="0" applyFont="1" applyFill="1" applyAlignment="1"/>
    <xf numFmtId="9" fontId="3" fillId="0" borderId="31" xfId="2" applyFont="1" applyBorder="1"/>
    <xf numFmtId="181" fontId="3" fillId="0" borderId="30" xfId="0" applyNumberFormat="1" applyFont="1" applyBorder="1"/>
    <xf numFmtId="179" fontId="0" fillId="0" borderId="46" xfId="0" applyNumberFormat="1" applyBorder="1"/>
    <xf numFmtId="9" fontId="0" fillId="0" borderId="46" xfId="2" applyFont="1" applyBorder="1"/>
    <xf numFmtId="43" fontId="0" fillId="0" borderId="0" xfId="1" applyFont="1"/>
    <xf numFmtId="4" fontId="0" fillId="9" borderId="0" xfId="0" applyNumberFormat="1" applyFill="1"/>
    <xf numFmtId="43" fontId="0" fillId="9" borderId="40" xfId="1" applyFont="1" applyFill="1" applyBorder="1"/>
    <xf numFmtId="43" fontId="0" fillId="9" borderId="43" xfId="1" applyFont="1" applyFill="1" applyBorder="1"/>
    <xf numFmtId="43" fontId="0" fillId="9" borderId="45" xfId="1" applyFont="1" applyFill="1" applyBorder="1"/>
    <xf numFmtId="9" fontId="0" fillId="9" borderId="0" xfId="2" applyFont="1" applyFill="1"/>
    <xf numFmtId="4" fontId="3" fillId="9" borderId="38" xfId="0" applyNumberFormat="1" applyFont="1" applyFill="1" applyBorder="1"/>
    <xf numFmtId="9" fontId="3" fillId="9" borderId="40" xfId="2" applyFont="1" applyFill="1" applyBorder="1"/>
    <xf numFmtId="43" fontId="3" fillId="9" borderId="0" xfId="1" applyFont="1" applyFill="1"/>
    <xf numFmtId="43" fontId="0" fillId="9" borderId="0" xfId="1" applyFont="1" applyFill="1"/>
    <xf numFmtId="0" fontId="57" fillId="0" borderId="47" xfId="0" applyFont="1" applyBorder="1"/>
    <xf numFmtId="0" fontId="0" fillId="0" borderId="48" xfId="0" applyBorder="1"/>
    <xf numFmtId="10" fontId="0" fillId="9" borderId="49" xfId="2" applyNumberFormat="1" applyFont="1" applyFill="1" applyBorder="1"/>
    <xf numFmtId="0" fontId="0" fillId="0" borderId="13" xfId="0" applyBorder="1"/>
    <xf numFmtId="4" fontId="0" fillId="0" borderId="13" xfId="0" applyNumberFormat="1" applyBorder="1"/>
    <xf numFmtId="4" fontId="0" fillId="9" borderId="13" xfId="0" applyNumberFormat="1" applyFill="1" applyBorder="1"/>
    <xf numFmtId="4" fontId="0" fillId="0" borderId="48" xfId="0" applyNumberFormat="1" applyBorder="1"/>
    <xf numFmtId="4" fontId="0" fillId="9" borderId="48" xfId="0" applyNumberFormat="1" applyFill="1" applyBorder="1"/>
    <xf numFmtId="0" fontId="0" fillId="0" borderId="50" xfId="0" applyBorder="1"/>
    <xf numFmtId="43" fontId="0" fillId="0" borderId="50" xfId="1" applyFont="1" applyBorder="1"/>
    <xf numFmtId="4" fontId="0" fillId="0" borderId="50" xfId="0" applyNumberFormat="1" applyBorder="1"/>
    <xf numFmtId="0" fontId="0" fillId="0" borderId="50" xfId="0" applyBorder="1" applyAlignment="1">
      <alignment horizontal="right"/>
    </xf>
    <xf numFmtId="0" fontId="0" fillId="0" borderId="13" xfId="0" applyBorder="1" applyAlignment="1">
      <alignment horizontal="right"/>
    </xf>
    <xf numFmtId="10" fontId="0" fillId="0" borderId="13" xfId="0" applyNumberFormat="1" applyBorder="1"/>
    <xf numFmtId="43" fontId="0" fillId="0" borderId="13" xfId="1" applyFont="1" applyBorder="1"/>
    <xf numFmtId="10" fontId="0" fillId="12" borderId="0" xfId="0" applyNumberFormat="1" applyFill="1"/>
    <xf numFmtId="4" fontId="3" fillId="0" borderId="0" xfId="0" applyNumberFormat="1" applyFont="1"/>
    <xf numFmtId="43" fontId="3" fillId="9" borderId="16" xfId="1" applyFont="1" applyFill="1" applyBorder="1" applyAlignment="1">
      <alignment horizontal="right"/>
    </xf>
    <xf numFmtId="4" fontId="0" fillId="9" borderId="0" xfId="0" applyNumberFormat="1" applyFill="1" applyAlignment="1">
      <alignment horizontal="right"/>
    </xf>
    <xf numFmtId="0" fontId="50" fillId="10" borderId="0" xfId="0" applyFont="1" applyFill="1" applyAlignment="1">
      <alignment horizontal="center" vertical="center" wrapText="1"/>
    </xf>
    <xf numFmtId="0" fontId="51" fillId="0" borderId="0" xfId="0" applyFont="1" applyBorder="1" applyAlignment="1">
      <alignment horizontal="center"/>
    </xf>
    <xf numFmtId="0" fontId="52" fillId="0" borderId="0" xfId="0" applyFont="1" applyBorder="1" applyAlignment="1">
      <alignment horizontal="center" vertical="center" wrapText="1"/>
    </xf>
    <xf numFmtId="0" fontId="49" fillId="0" borderId="0" xfId="0" applyFont="1" applyAlignment="1">
      <alignment horizontal="left"/>
    </xf>
    <xf numFmtId="0" fontId="48" fillId="0" borderId="0" xfId="0" applyFont="1" applyAlignment="1">
      <alignment horizontal="left"/>
    </xf>
    <xf numFmtId="0" fontId="0" fillId="0" borderId="0" xfId="0" applyAlignment="1">
      <alignment horizontal="center"/>
    </xf>
    <xf numFmtId="0" fontId="7" fillId="0" borderId="9" xfId="3" applyFont="1" applyBorder="1" applyAlignment="1">
      <alignment horizontal="left" vertical="center" wrapText="1"/>
    </xf>
    <xf numFmtId="0" fontId="7" fillId="7" borderId="0" xfId="3" applyFont="1" applyFill="1" applyAlignment="1">
      <alignment horizontal="right"/>
    </xf>
    <xf numFmtId="4" fontId="5" fillId="0" borderId="13" xfId="3" applyNumberFormat="1" applyBorder="1" applyAlignment="1">
      <alignment horizontal="right"/>
    </xf>
    <xf numFmtId="0" fontId="33" fillId="0" borderId="0" xfId="3" applyFont="1" applyAlignment="1">
      <alignment horizontal="left" wrapText="1"/>
    </xf>
    <xf numFmtId="0" fontId="7" fillId="7" borderId="0" xfId="3" applyFont="1" applyFill="1" applyAlignment="1">
      <alignment horizontal="center"/>
    </xf>
    <xf numFmtId="0" fontId="11" fillId="6" borderId="0" xfId="3" applyFont="1" applyFill="1" applyAlignment="1">
      <alignment horizontal="left" wrapText="1"/>
    </xf>
    <xf numFmtId="0" fontId="33" fillId="0" borderId="0" xfId="3" applyFont="1" applyAlignment="1">
      <alignment horizontal="left" vertical="top" wrapText="1"/>
    </xf>
    <xf numFmtId="0" fontId="7" fillId="7" borderId="0" xfId="3" applyFont="1" applyFill="1" applyAlignment="1">
      <alignment horizontal="left"/>
    </xf>
    <xf numFmtId="0" fontId="7" fillId="6" borderId="0" xfId="3" applyFont="1" applyFill="1" applyAlignment="1">
      <alignment horizontal="left" vertical="top" wrapText="1"/>
    </xf>
    <xf numFmtId="0" fontId="33" fillId="6" borderId="0" xfId="3" applyFont="1" applyFill="1" applyAlignment="1">
      <alignment horizontal="left" wrapText="1"/>
    </xf>
    <xf numFmtId="0" fontId="5" fillId="0" borderId="13" xfId="3" applyBorder="1" applyAlignment="1">
      <alignment horizontal="right"/>
    </xf>
    <xf numFmtId="0" fontId="15" fillId="4" borderId="0" xfId="3" applyFont="1" applyFill="1" applyAlignment="1">
      <alignment horizontal="left" vertical="top" wrapText="1" indent="5"/>
    </xf>
    <xf numFmtId="0" fontId="7" fillId="7" borderId="0" xfId="3" applyFont="1" applyFill="1" applyAlignment="1">
      <alignment horizontal="center" vertical="top"/>
    </xf>
    <xf numFmtId="0" fontId="24" fillId="4" borderId="0" xfId="3" applyFont="1" applyFill="1" applyAlignment="1">
      <alignment horizontal="left" vertical="center" indent="27"/>
    </xf>
    <xf numFmtId="0" fontId="6" fillId="4" borderId="0" xfId="3" applyFont="1" applyFill="1" applyAlignment="1">
      <alignment horizontal="left" vertical="center" indent="29"/>
    </xf>
    <xf numFmtId="0" fontId="41" fillId="10" borderId="0" xfId="0" applyFont="1" applyFill="1" applyAlignment="1">
      <alignment horizontal="left" indent="34"/>
    </xf>
    <xf numFmtId="0" fontId="2" fillId="4" borderId="0" xfId="0" applyFont="1" applyFill="1" applyAlignment="1">
      <alignment horizontal="center" vertical="top"/>
    </xf>
    <xf numFmtId="0" fontId="5" fillId="0" borderId="0" xfId="3" applyAlignment="1">
      <alignment horizontal="left" vertical="top" wrapText="1"/>
    </xf>
    <xf numFmtId="0" fontId="27" fillId="0" borderId="0" xfId="3" applyFont="1" applyAlignment="1">
      <alignment horizontal="left" indent="9"/>
    </xf>
    <xf numFmtId="0" fontId="27" fillId="0" borderId="0" xfId="3" applyFont="1" applyAlignment="1">
      <alignment horizontal="left" indent="4"/>
    </xf>
    <xf numFmtId="0" fontId="7" fillId="0" borderId="0" xfId="3" applyFont="1" applyAlignment="1">
      <alignment horizontal="left" wrapText="1"/>
    </xf>
    <xf numFmtId="0" fontId="11" fillId="6" borderId="0" xfId="3" applyFont="1" applyFill="1" applyAlignment="1">
      <alignment horizontal="left" vertical="top" wrapText="1"/>
    </xf>
    <xf numFmtId="0" fontId="32" fillId="0" borderId="0" xfId="3" applyFont="1" applyBorder="1" applyAlignment="1">
      <alignment horizontal="left"/>
    </xf>
    <xf numFmtId="0" fontId="18" fillId="6" borderId="0" xfId="3" applyFont="1" applyFill="1" applyAlignment="1">
      <alignment horizontal="left" wrapText="1"/>
    </xf>
    <xf numFmtId="0" fontId="31" fillId="0" borderId="0" xfId="3" applyFont="1" applyAlignment="1">
      <alignment horizontal="left" vertical="top" wrapText="1"/>
    </xf>
    <xf numFmtId="0" fontId="27" fillId="0" borderId="0" xfId="3" applyFont="1" applyAlignment="1">
      <alignment horizontal="center"/>
    </xf>
    <xf numFmtId="0" fontId="5" fillId="0" borderId="0" xfId="3" applyAlignment="1">
      <alignment horizontal="center"/>
    </xf>
    <xf numFmtId="0" fontId="27" fillId="0" borderId="0" xfId="3" applyFont="1" applyAlignment="1">
      <alignment horizontal="left" indent="7"/>
    </xf>
    <xf numFmtId="0" fontId="27" fillId="0" borderId="0" xfId="3" applyFont="1" applyAlignment="1">
      <alignment horizontal="left"/>
    </xf>
  </cellXfs>
  <cellStyles count="10">
    <cellStyle name="60% - Accent1 2" xfId="8"/>
    <cellStyle name="60% - Accent3 2" xfId="7"/>
    <cellStyle name="Comma" xfId="1" builtinId="3"/>
    <cellStyle name="Comma 2" xfId="5"/>
    <cellStyle name="Comma 3" xfId="6"/>
    <cellStyle name="Comma 4" xfId="9"/>
    <cellStyle name="Normal" xfId="0" builtinId="0"/>
    <cellStyle name="Normal 2" xfId="3"/>
    <cellStyle name="Percent" xfId="2" builtinId="5"/>
    <cellStyle name="Percent 2" xfId="4"/>
  </cellStyles>
  <dxfs count="0"/>
  <tableStyles count="0" defaultTableStyle="TableStyleMedium9" defaultPivotStyle="PivotStyleLight16"/>
  <colors>
    <mruColors>
      <color rgb="FF33669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032671045652982"/>
          <c:y val="4.6770924467774859E-2"/>
          <c:w val="0.74146519249860665"/>
          <c:h val="0.89719889180519163"/>
        </c:manualLayout>
      </c:layout>
      <c:barChart>
        <c:barDir val="col"/>
        <c:grouping val="stacked"/>
        <c:ser>
          <c:idx val="0"/>
          <c:order val="0"/>
          <c:spPr>
            <a:solidFill>
              <a:srgbClr val="336699"/>
            </a:solidFill>
          </c:spPr>
          <c:dPt>
            <c:idx val="0"/>
            <c:spPr>
              <a:solidFill>
                <a:schemeClr val="accent5">
                  <a:lumMod val="20000"/>
                  <a:lumOff val="80000"/>
                </a:schemeClr>
              </a:solidFill>
            </c:spPr>
          </c:dPt>
          <c:dPt>
            <c:idx val="1"/>
            <c:spPr>
              <a:solidFill>
                <a:schemeClr val="accent4">
                  <a:lumMod val="20000"/>
                  <a:lumOff val="80000"/>
                </a:schemeClr>
              </a:solidFill>
            </c:spPr>
          </c:dPt>
          <c:dPt>
            <c:idx val="2"/>
            <c:spPr>
              <a:solidFill>
                <a:schemeClr val="accent4">
                  <a:lumMod val="40000"/>
                  <a:lumOff val="60000"/>
                </a:schemeClr>
              </a:solidFill>
            </c:spPr>
          </c:dPt>
          <c:dPt>
            <c:idx val="3"/>
            <c:spPr>
              <a:solidFill>
                <a:schemeClr val="accent4">
                  <a:lumMod val="60000"/>
                  <a:lumOff val="40000"/>
                </a:schemeClr>
              </a:solidFill>
            </c:spPr>
          </c:dPt>
          <c:cat>
            <c:strRef>
              <c:f>Forcasting!$C$21:$C$25</c:f>
              <c:strCache>
                <c:ptCount val="5"/>
                <c:pt idx="0">
                  <c:v>2026E</c:v>
                </c:pt>
                <c:pt idx="1">
                  <c:v>2027E</c:v>
                </c:pt>
                <c:pt idx="2">
                  <c:v>2028E</c:v>
                </c:pt>
                <c:pt idx="3">
                  <c:v>2029E</c:v>
                </c:pt>
                <c:pt idx="4">
                  <c:v>2030E</c:v>
                </c:pt>
              </c:strCache>
            </c:strRef>
          </c:cat>
          <c:val>
            <c:numRef>
              <c:f>Forcasting!$D$21:$D$25</c:f>
              <c:numCache>
                <c:formatCode>#,##0.00</c:formatCode>
                <c:ptCount val="5"/>
                <c:pt idx="0">
                  <c:v>49329.873888888891</c:v>
                </c:pt>
                <c:pt idx="1">
                  <c:v>52519.246888888898</c:v>
                </c:pt>
                <c:pt idx="2">
                  <c:v>55708.619888888898</c:v>
                </c:pt>
                <c:pt idx="3">
                  <c:v>58897.992888888897</c:v>
                </c:pt>
                <c:pt idx="4">
                  <c:v>62087.365888888897</c:v>
                </c:pt>
              </c:numCache>
            </c:numRef>
          </c:val>
        </c:ser>
        <c:ser>
          <c:idx val="1"/>
          <c:order val="1"/>
          <c:cat>
            <c:strRef>
              <c:f>Forcasting!$C$21:$C$25</c:f>
              <c:strCache>
                <c:ptCount val="5"/>
                <c:pt idx="0">
                  <c:v>2026E</c:v>
                </c:pt>
                <c:pt idx="1">
                  <c:v>2027E</c:v>
                </c:pt>
                <c:pt idx="2">
                  <c:v>2028E</c:v>
                </c:pt>
                <c:pt idx="3">
                  <c:v>2029E</c:v>
                </c:pt>
                <c:pt idx="4">
                  <c:v>2030E</c:v>
                </c:pt>
              </c:strCache>
            </c:strRef>
          </c:cat>
          <c:val>
            <c:numRef>
              <c:f>Forcasting!$E$21:$E$25</c:f>
              <c:numCache>
                <c:formatCode>0.00%</c:formatCode>
                <c:ptCount val="5"/>
                <c:pt idx="0">
                  <c:v>-3.2644196509452716E-2</c:v>
                </c:pt>
                <c:pt idx="1">
                  <c:v>6.465398649069698E-2</c:v>
                </c:pt>
                <c:pt idx="2">
                  <c:v>6.0727698680590692E-2</c:v>
                </c:pt>
                <c:pt idx="3">
                  <c:v>5.7250978508554207E-2</c:v>
                </c:pt>
                <c:pt idx="4">
                  <c:v>5.4150792642743362E-2</c:v>
                </c:pt>
              </c:numCache>
            </c:numRef>
          </c:val>
        </c:ser>
        <c:overlap val="100"/>
        <c:axId val="136918144"/>
        <c:axId val="136919680"/>
      </c:barChart>
      <c:catAx>
        <c:axId val="136918144"/>
        <c:scaling>
          <c:orientation val="minMax"/>
        </c:scaling>
        <c:axPos val="b"/>
        <c:tickLblPos val="nextTo"/>
        <c:crossAx val="136919680"/>
        <c:crosses val="autoZero"/>
        <c:auto val="1"/>
        <c:lblAlgn val="ctr"/>
        <c:lblOffset val="100"/>
      </c:catAx>
      <c:valAx>
        <c:axId val="136919680"/>
        <c:scaling>
          <c:orientation val="minMax"/>
        </c:scaling>
        <c:axPos val="l"/>
        <c:numFmt formatCode="#,##0.00" sourceLinked="1"/>
        <c:tickLblPos val="nextTo"/>
        <c:crossAx val="136918144"/>
        <c:crosses val="autoZero"/>
        <c:crossBetween val="between"/>
      </c:valAx>
      <c:spPr>
        <a:noFill/>
        <a:ln w="25400">
          <a:noFill/>
        </a:ln>
      </c:spPr>
    </c:plotArea>
    <c:plotVisOnly val="1"/>
  </c:chart>
  <c:spPr>
    <a:ln>
      <a:noFill/>
    </a:ln>
  </c:spPr>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0326710456529831"/>
          <c:y val="4.6770924467774859E-2"/>
          <c:w val="0.74146519249860665"/>
          <c:h val="0.89719889180519163"/>
        </c:manualLayout>
      </c:layout>
      <c:barChart>
        <c:barDir val="col"/>
        <c:grouping val="stacked"/>
        <c:ser>
          <c:idx val="0"/>
          <c:order val="0"/>
          <c:spPr>
            <a:solidFill>
              <a:srgbClr val="336699"/>
            </a:solidFill>
          </c:spPr>
          <c:dPt>
            <c:idx val="0"/>
            <c:spPr>
              <a:solidFill>
                <a:schemeClr val="accent5">
                  <a:lumMod val="20000"/>
                  <a:lumOff val="80000"/>
                </a:schemeClr>
              </a:solidFill>
            </c:spPr>
          </c:dPt>
          <c:dPt>
            <c:idx val="1"/>
            <c:spPr>
              <a:solidFill>
                <a:schemeClr val="accent4">
                  <a:lumMod val="20000"/>
                  <a:lumOff val="80000"/>
                </a:schemeClr>
              </a:solidFill>
            </c:spPr>
          </c:dPt>
          <c:dPt>
            <c:idx val="2"/>
            <c:spPr>
              <a:solidFill>
                <a:schemeClr val="accent4">
                  <a:lumMod val="40000"/>
                  <a:lumOff val="60000"/>
                </a:schemeClr>
              </a:solidFill>
            </c:spPr>
          </c:dPt>
          <c:dPt>
            <c:idx val="3"/>
            <c:spPr>
              <a:solidFill>
                <a:schemeClr val="accent4">
                  <a:lumMod val="60000"/>
                  <a:lumOff val="40000"/>
                </a:schemeClr>
              </a:solidFill>
            </c:spPr>
          </c:dPt>
          <c:cat>
            <c:strRef>
              <c:f>Forcasting!$I$39:$I$43</c:f>
              <c:strCache>
                <c:ptCount val="5"/>
                <c:pt idx="0">
                  <c:v>2026E</c:v>
                </c:pt>
                <c:pt idx="1">
                  <c:v>2027E</c:v>
                </c:pt>
                <c:pt idx="2">
                  <c:v>2028E</c:v>
                </c:pt>
                <c:pt idx="3">
                  <c:v>2029E</c:v>
                </c:pt>
                <c:pt idx="4">
                  <c:v>2030E</c:v>
                </c:pt>
              </c:strCache>
            </c:strRef>
          </c:cat>
          <c:val>
            <c:numRef>
              <c:f>Forcasting!$J$39:$J$43</c:f>
              <c:numCache>
                <c:formatCode>#,##0.00</c:formatCode>
                <c:ptCount val="5"/>
                <c:pt idx="0">
                  <c:v>8932.6122222222239</c:v>
                </c:pt>
                <c:pt idx="1">
                  <c:v>9521.4508888888922</c:v>
                </c:pt>
                <c:pt idx="2">
                  <c:v>10110.289555555559</c:v>
                </c:pt>
                <c:pt idx="3">
                  <c:v>10699.128222222225</c:v>
                </c:pt>
                <c:pt idx="4">
                  <c:v>11287.966888888892</c:v>
                </c:pt>
              </c:numCache>
            </c:numRef>
          </c:val>
        </c:ser>
        <c:ser>
          <c:idx val="1"/>
          <c:order val="1"/>
          <c:cat>
            <c:strRef>
              <c:f>Forcasting!$I$39:$I$43</c:f>
              <c:strCache>
                <c:ptCount val="5"/>
                <c:pt idx="0">
                  <c:v>2026E</c:v>
                </c:pt>
                <c:pt idx="1">
                  <c:v>2027E</c:v>
                </c:pt>
                <c:pt idx="2">
                  <c:v>2028E</c:v>
                </c:pt>
                <c:pt idx="3">
                  <c:v>2029E</c:v>
                </c:pt>
                <c:pt idx="4">
                  <c:v>2030E</c:v>
                </c:pt>
              </c:strCache>
            </c:strRef>
          </c:cat>
          <c:val>
            <c:numRef>
              <c:f>Forcasting!$K$39:$K$43</c:f>
              <c:numCache>
                <c:formatCode>0.00%</c:formatCode>
                <c:ptCount val="5"/>
                <c:pt idx="0">
                  <c:v>-7.0625129042095836E-2</c:v>
                </c:pt>
                <c:pt idx="1">
                  <c:v>6.5920097281484624E-2</c:v>
                </c:pt>
                <c:pt idx="2">
                  <c:v>6.1843375924336863E-2</c:v>
                </c:pt>
                <c:pt idx="3">
                  <c:v>5.824152349257905E-2</c:v>
                </c:pt>
                <c:pt idx="4">
                  <c:v>5.5036135135163811E-2</c:v>
                </c:pt>
              </c:numCache>
            </c:numRef>
          </c:val>
        </c:ser>
        <c:overlap val="100"/>
        <c:axId val="136953856"/>
        <c:axId val="136955392"/>
      </c:barChart>
      <c:catAx>
        <c:axId val="136953856"/>
        <c:scaling>
          <c:orientation val="minMax"/>
        </c:scaling>
        <c:axPos val="b"/>
        <c:tickLblPos val="nextTo"/>
        <c:crossAx val="136955392"/>
        <c:crosses val="autoZero"/>
        <c:auto val="1"/>
        <c:lblAlgn val="ctr"/>
        <c:lblOffset val="100"/>
      </c:catAx>
      <c:valAx>
        <c:axId val="136955392"/>
        <c:scaling>
          <c:orientation val="minMax"/>
        </c:scaling>
        <c:axPos val="l"/>
        <c:numFmt formatCode="#,##0.00" sourceLinked="1"/>
        <c:tickLblPos val="nextTo"/>
        <c:crossAx val="136953856"/>
        <c:crosses val="autoZero"/>
        <c:crossBetween val="between"/>
      </c:valAx>
      <c:spPr>
        <a:noFill/>
        <a:ln w="25400">
          <a:noFill/>
        </a:ln>
      </c:spPr>
    </c:plotArea>
    <c:plotVisOnly val="1"/>
  </c:chart>
  <c:spPr>
    <a:ln>
      <a:noFill/>
    </a:ln>
  </c:spPr>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032671045652982"/>
          <c:y val="4.6770924467774859E-2"/>
          <c:w val="0.74146519249860665"/>
          <c:h val="0.89719889180519163"/>
        </c:manualLayout>
      </c:layout>
      <c:barChart>
        <c:barDir val="col"/>
        <c:grouping val="stacked"/>
        <c:ser>
          <c:idx val="0"/>
          <c:order val="0"/>
          <c:spPr>
            <a:solidFill>
              <a:srgbClr val="336699"/>
            </a:solidFill>
          </c:spPr>
          <c:dPt>
            <c:idx val="0"/>
            <c:spPr>
              <a:solidFill>
                <a:schemeClr val="accent5">
                  <a:lumMod val="20000"/>
                  <a:lumOff val="80000"/>
                </a:schemeClr>
              </a:solidFill>
            </c:spPr>
          </c:dPt>
          <c:dPt>
            <c:idx val="1"/>
            <c:spPr>
              <a:solidFill>
                <a:schemeClr val="accent4">
                  <a:lumMod val="20000"/>
                  <a:lumOff val="80000"/>
                </a:schemeClr>
              </a:solidFill>
            </c:spPr>
          </c:dPt>
          <c:dPt>
            <c:idx val="2"/>
            <c:spPr>
              <a:solidFill>
                <a:schemeClr val="accent4">
                  <a:lumMod val="40000"/>
                  <a:lumOff val="60000"/>
                </a:schemeClr>
              </a:solidFill>
            </c:spPr>
          </c:dPt>
          <c:dPt>
            <c:idx val="3"/>
            <c:spPr>
              <a:solidFill>
                <a:schemeClr val="accent4">
                  <a:lumMod val="60000"/>
                  <a:lumOff val="40000"/>
                </a:schemeClr>
              </a:solidFill>
            </c:spPr>
          </c:dPt>
          <c:cat>
            <c:strRef>
              <c:f>Forcasting!$C$57:$C$61</c:f>
              <c:strCache>
                <c:ptCount val="5"/>
                <c:pt idx="0">
                  <c:v>2026E</c:v>
                </c:pt>
                <c:pt idx="1">
                  <c:v>2027E</c:v>
                </c:pt>
                <c:pt idx="2">
                  <c:v>2028E</c:v>
                </c:pt>
                <c:pt idx="3">
                  <c:v>2029E</c:v>
                </c:pt>
                <c:pt idx="4">
                  <c:v>2030E</c:v>
                </c:pt>
              </c:strCache>
            </c:strRef>
          </c:cat>
          <c:val>
            <c:numRef>
              <c:f>Forcasting!$D$57:$D$61</c:f>
              <c:numCache>
                <c:formatCode>#,##0.00</c:formatCode>
                <c:ptCount val="5"/>
                <c:pt idx="0">
                  <c:v>5945.3810507901144</c:v>
                </c:pt>
                <c:pt idx="1">
                  <c:v>6378.0172815296792</c:v>
                </c:pt>
                <c:pt idx="2">
                  <c:v>6810.6535122692458</c:v>
                </c:pt>
                <c:pt idx="3">
                  <c:v>7243.2897430088105</c:v>
                </c:pt>
                <c:pt idx="4">
                  <c:v>7675.9259737483771</c:v>
                </c:pt>
              </c:numCache>
            </c:numRef>
          </c:val>
        </c:ser>
        <c:ser>
          <c:idx val="1"/>
          <c:order val="1"/>
          <c:cat>
            <c:strRef>
              <c:f>Forcasting!$C$57:$C$61</c:f>
              <c:strCache>
                <c:ptCount val="5"/>
                <c:pt idx="0">
                  <c:v>2026E</c:v>
                </c:pt>
                <c:pt idx="1">
                  <c:v>2027E</c:v>
                </c:pt>
                <c:pt idx="2">
                  <c:v>2028E</c:v>
                </c:pt>
                <c:pt idx="3">
                  <c:v>2029E</c:v>
                </c:pt>
                <c:pt idx="4">
                  <c:v>2030E</c:v>
                </c:pt>
              </c:strCache>
            </c:strRef>
          </c:cat>
          <c:val>
            <c:numRef>
              <c:f>Forcasting!$E$57:$E$61</c:f>
              <c:numCache>
                <c:formatCode>0.00%</c:formatCode>
                <c:ptCount val="5"/>
                <c:pt idx="0">
                  <c:v>6.0747582994866711E-3</c:v>
                </c:pt>
                <c:pt idx="1">
                  <c:v>7.2768461271640383E-2</c:v>
                </c:pt>
                <c:pt idx="2">
                  <c:v>6.7832401770445694E-2</c:v>
                </c:pt>
                <c:pt idx="3">
                  <c:v>6.3523453360265547E-2</c:v>
                </c:pt>
                <c:pt idx="4">
                  <c:v>5.9729245424310795E-2</c:v>
                </c:pt>
              </c:numCache>
            </c:numRef>
          </c:val>
        </c:ser>
        <c:overlap val="100"/>
        <c:axId val="137370240"/>
        <c:axId val="137376128"/>
      </c:barChart>
      <c:catAx>
        <c:axId val="137370240"/>
        <c:scaling>
          <c:orientation val="minMax"/>
        </c:scaling>
        <c:axPos val="b"/>
        <c:tickLblPos val="nextTo"/>
        <c:crossAx val="137376128"/>
        <c:crosses val="autoZero"/>
        <c:auto val="1"/>
        <c:lblAlgn val="ctr"/>
        <c:lblOffset val="100"/>
      </c:catAx>
      <c:valAx>
        <c:axId val="137376128"/>
        <c:scaling>
          <c:orientation val="minMax"/>
        </c:scaling>
        <c:axPos val="l"/>
        <c:numFmt formatCode="#,##0.00" sourceLinked="1"/>
        <c:tickLblPos val="nextTo"/>
        <c:crossAx val="137370240"/>
        <c:crosses val="autoZero"/>
        <c:crossBetween val="between"/>
      </c:valAx>
      <c:spPr>
        <a:noFill/>
        <a:ln w="25400">
          <a:noFill/>
        </a:ln>
      </c:spPr>
    </c:plotArea>
    <c:plotVisOnly val="1"/>
  </c:chart>
  <c:spPr>
    <a:ln>
      <a:noFill/>
    </a:ln>
  </c:sp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8932883389576427"/>
          <c:y val="9.9378881987577647E-2"/>
          <c:w val="0.51321303587051559"/>
          <c:h val="0.63991001124860025"/>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Analysis'!$I$49:$L$49</c:f>
              <c:numCache>
                <c:formatCode>mmm\-yy</c:formatCode>
                <c:ptCount val="4"/>
                <c:pt idx="0">
                  <c:v>44651</c:v>
                </c:pt>
                <c:pt idx="1">
                  <c:v>45016</c:v>
                </c:pt>
                <c:pt idx="2">
                  <c:v>45382</c:v>
                </c:pt>
                <c:pt idx="3">
                  <c:v>45747</c:v>
                </c:pt>
              </c:numCache>
            </c:numRef>
          </c:cat>
          <c:val>
            <c:numRef>
              <c:f>'Dupont Analysis'!$I$57:$L$57</c:f>
              <c:numCache>
                <c:formatCode>#,##0.0</c:formatCode>
                <c:ptCount val="4"/>
                <c:pt idx="0">
                  <c:v>33144.71</c:v>
                </c:pt>
                <c:pt idx="1">
                  <c:v>36455.379999999997</c:v>
                </c:pt>
                <c:pt idx="2">
                  <c:v>44870.43</c:v>
                </c:pt>
                <c:pt idx="3">
                  <c:v>50994.55</c:v>
                </c:pt>
              </c:numCache>
            </c:numRef>
          </c:val>
        </c:ser>
        <c:overlap val="100"/>
        <c:axId val="137870336"/>
        <c:axId val="137872128"/>
      </c:barChart>
      <c:dateAx>
        <c:axId val="137870336"/>
        <c:scaling>
          <c:orientation val="minMax"/>
        </c:scaling>
        <c:axPos val="b"/>
        <c:numFmt formatCode="yyyy" sourceLinked="0"/>
        <c:tickLblPos val="nextTo"/>
        <c:crossAx val="137872128"/>
        <c:crosses val="autoZero"/>
        <c:auto val="1"/>
        <c:lblOffset val="100"/>
        <c:baseTimeUnit val="years"/>
        <c:majorUnit val="1"/>
        <c:majorTimeUnit val="years"/>
        <c:minorUnit val="1"/>
        <c:minorTimeUnit val="years"/>
      </c:dateAx>
      <c:valAx>
        <c:axId val="137872128"/>
        <c:scaling>
          <c:orientation val="minMax"/>
        </c:scaling>
        <c:axPos val="l"/>
        <c:numFmt formatCode="#,##0.0" sourceLinked="1"/>
        <c:tickLblPos val="nextTo"/>
        <c:crossAx val="137870336"/>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 l="0.70000000000000062" r="0.70000000000000062" t="0.75000000000000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814258649716694"/>
          <c:y val="5.7971014492753624E-2"/>
          <c:w val="0.51321303587051559"/>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Analysis'!$I$55:$L$55</c:f>
              <c:numCache>
                <c:formatCode>mmm\-yy</c:formatCode>
                <c:ptCount val="4"/>
                <c:pt idx="0">
                  <c:v>44651</c:v>
                </c:pt>
                <c:pt idx="1">
                  <c:v>45016</c:v>
                </c:pt>
                <c:pt idx="2">
                  <c:v>45382</c:v>
                </c:pt>
                <c:pt idx="3">
                  <c:v>45747</c:v>
                </c:pt>
              </c:numCache>
            </c:numRef>
          </c:cat>
          <c:val>
            <c:numRef>
              <c:f>'Dupont Analysis'!$I$56:$L$56</c:f>
              <c:numCache>
                <c:formatCode>#,##0.0</c:formatCode>
                <c:ptCount val="4"/>
                <c:pt idx="0">
                  <c:v>6165.87</c:v>
                </c:pt>
                <c:pt idx="1">
                  <c:v>6060.21</c:v>
                </c:pt>
                <c:pt idx="2">
                  <c:v>7708.24</c:v>
                </c:pt>
                <c:pt idx="3">
                  <c:v>7324.73</c:v>
                </c:pt>
              </c:numCache>
            </c:numRef>
          </c:val>
        </c:ser>
        <c:overlap val="100"/>
        <c:axId val="137651328"/>
        <c:axId val="137652864"/>
      </c:barChart>
      <c:dateAx>
        <c:axId val="137651328"/>
        <c:scaling>
          <c:orientation val="minMax"/>
        </c:scaling>
        <c:axPos val="b"/>
        <c:numFmt formatCode="yyyy" sourceLinked="0"/>
        <c:tickLblPos val="nextTo"/>
        <c:crossAx val="137652864"/>
        <c:crosses val="autoZero"/>
        <c:auto val="1"/>
        <c:lblOffset val="100"/>
        <c:baseTimeUnit val="years"/>
        <c:majorUnit val="1"/>
        <c:majorTimeUnit val="years"/>
        <c:minorUnit val="1"/>
        <c:minorTimeUnit val="years"/>
      </c:dateAx>
      <c:valAx>
        <c:axId val="137652864"/>
        <c:scaling>
          <c:orientation val="minMax"/>
        </c:scaling>
        <c:axPos val="l"/>
        <c:numFmt formatCode="#,##0.0" sourceLinked="1"/>
        <c:tickLblPos val="nextTo"/>
        <c:crossAx val="137651328"/>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7953801030694391"/>
          <c:y val="0.10766045548654289"/>
          <c:w val="0.51321303587051559"/>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Analysis'!$I$49:$L$49</c:f>
              <c:numCache>
                <c:formatCode>mmm\-yy</c:formatCode>
                <c:ptCount val="4"/>
                <c:pt idx="0">
                  <c:v>44651</c:v>
                </c:pt>
                <c:pt idx="1">
                  <c:v>45016</c:v>
                </c:pt>
                <c:pt idx="2">
                  <c:v>45382</c:v>
                </c:pt>
                <c:pt idx="3">
                  <c:v>45747</c:v>
                </c:pt>
              </c:numCache>
            </c:numRef>
          </c:cat>
          <c:val>
            <c:numRef>
              <c:f>'Dupont Analysis'!$I$61:$L$61</c:f>
              <c:numCache>
                <c:formatCode>#,##0.0</c:formatCode>
                <c:ptCount val="4"/>
                <c:pt idx="0">
                  <c:v>34356.46</c:v>
                </c:pt>
                <c:pt idx="1">
                  <c:v>35123.83</c:v>
                </c:pt>
                <c:pt idx="2">
                  <c:v>37240.07</c:v>
                </c:pt>
                <c:pt idx="3">
                  <c:v>46726.805</c:v>
                </c:pt>
              </c:numCache>
            </c:numRef>
          </c:val>
        </c:ser>
        <c:overlap val="100"/>
        <c:axId val="137677824"/>
        <c:axId val="137683712"/>
      </c:barChart>
      <c:dateAx>
        <c:axId val="137677824"/>
        <c:scaling>
          <c:orientation val="minMax"/>
        </c:scaling>
        <c:axPos val="b"/>
        <c:numFmt formatCode="yyyy" sourceLinked="0"/>
        <c:tickLblPos val="nextTo"/>
        <c:crossAx val="137683712"/>
        <c:crosses val="autoZero"/>
        <c:auto val="1"/>
        <c:lblOffset val="100"/>
        <c:baseTimeUnit val="years"/>
        <c:majorUnit val="1"/>
        <c:majorTimeUnit val="years"/>
        <c:minorUnit val="1"/>
        <c:minorTimeUnit val="years"/>
      </c:dateAx>
      <c:valAx>
        <c:axId val="137683712"/>
        <c:scaling>
          <c:orientation val="minMax"/>
        </c:scaling>
        <c:axPos val="l"/>
        <c:numFmt formatCode="#,##0.0" sourceLinked="1"/>
        <c:tickLblPos val="nextTo"/>
        <c:crossAx val="137677824"/>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8932883389576438"/>
          <c:y val="9.9378881987577647E-2"/>
          <c:w val="0.51321303587051559"/>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Analysis'!$I$55:$L$55</c:f>
              <c:numCache>
                <c:formatCode>mmm\-yy</c:formatCode>
                <c:ptCount val="4"/>
                <c:pt idx="0">
                  <c:v>44651</c:v>
                </c:pt>
                <c:pt idx="1">
                  <c:v>45016</c:v>
                </c:pt>
                <c:pt idx="2">
                  <c:v>45382</c:v>
                </c:pt>
                <c:pt idx="3">
                  <c:v>45747</c:v>
                </c:pt>
              </c:numCache>
            </c:numRef>
          </c:cat>
          <c:val>
            <c:numRef>
              <c:f>'Dupont Analysis'!$I$68:$L$68</c:f>
              <c:numCache>
                <c:formatCode>0.00%</c:formatCode>
                <c:ptCount val="4"/>
                <c:pt idx="0">
                  <c:v>0.21584238063132599</c:v>
                </c:pt>
                <c:pt idx="1">
                  <c:v>0.20466356721301951</c:v>
                </c:pt>
                <c:pt idx="2">
                  <c:v>0.26432503285528497</c:v>
                </c:pt>
                <c:pt idx="3">
                  <c:v>0.22835849396308558</c:v>
                </c:pt>
              </c:numCache>
            </c:numRef>
          </c:val>
        </c:ser>
        <c:overlap val="100"/>
        <c:axId val="137913472"/>
        <c:axId val="137915008"/>
      </c:barChart>
      <c:dateAx>
        <c:axId val="137913472"/>
        <c:scaling>
          <c:orientation val="minMax"/>
        </c:scaling>
        <c:axPos val="b"/>
        <c:numFmt formatCode="yyyy" sourceLinked="0"/>
        <c:tickLblPos val="nextTo"/>
        <c:crossAx val="137915008"/>
        <c:crosses val="autoZero"/>
        <c:auto val="1"/>
        <c:lblOffset val="100"/>
        <c:baseTimeUnit val="years"/>
        <c:majorUnit val="1"/>
        <c:majorTimeUnit val="years"/>
        <c:minorUnit val="1"/>
        <c:minorTimeUnit val="years"/>
      </c:dateAx>
      <c:valAx>
        <c:axId val="137915008"/>
        <c:scaling>
          <c:orientation val="minMax"/>
        </c:scaling>
        <c:axPos val="l"/>
        <c:numFmt formatCode="0.00%" sourceLinked="1"/>
        <c:tickLblPos val="nextTo"/>
        <c:crossAx val="137913472"/>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8932883389576438"/>
          <c:y val="9.9378881987577647E-2"/>
          <c:w val="0.51321303587051559"/>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Analysis'!$I$78:$L$78</c:f>
              <c:numCache>
                <c:formatCode>mmm\-yy</c:formatCode>
                <c:ptCount val="4"/>
                <c:pt idx="0">
                  <c:v>44651</c:v>
                </c:pt>
                <c:pt idx="1">
                  <c:v>45016</c:v>
                </c:pt>
                <c:pt idx="2">
                  <c:v>45382</c:v>
                </c:pt>
                <c:pt idx="3">
                  <c:v>45747</c:v>
                </c:pt>
              </c:numCache>
            </c:numRef>
          </c:cat>
          <c:val>
            <c:numRef>
              <c:f>'Dupont Analysis'!$I$87:$L$87</c:f>
              <c:numCache>
                <c:formatCode>0.00%</c:formatCode>
                <c:ptCount val="4"/>
                <c:pt idx="0">
                  <c:v>0.179467558648359</c:v>
                </c:pt>
                <c:pt idx="1">
                  <c:v>0.17253841622624869</c:v>
                </c:pt>
                <c:pt idx="2">
                  <c:v>0.20698779567277933</c:v>
                </c:pt>
                <c:pt idx="3">
                  <c:v>0.15675649126876959</c:v>
                </c:pt>
              </c:numCache>
            </c:numRef>
          </c:val>
        </c:ser>
        <c:overlap val="100"/>
        <c:axId val="137858048"/>
        <c:axId val="137945856"/>
      </c:barChart>
      <c:dateAx>
        <c:axId val="137858048"/>
        <c:scaling>
          <c:orientation val="minMax"/>
        </c:scaling>
        <c:axPos val="b"/>
        <c:numFmt formatCode="yyyy" sourceLinked="0"/>
        <c:tickLblPos val="nextTo"/>
        <c:crossAx val="137945856"/>
        <c:crosses val="autoZero"/>
        <c:auto val="1"/>
        <c:lblOffset val="100"/>
        <c:baseTimeUnit val="years"/>
        <c:majorUnit val="1"/>
        <c:majorTimeUnit val="years"/>
        <c:minorUnit val="1"/>
        <c:minorTimeUnit val="years"/>
      </c:dateAx>
      <c:valAx>
        <c:axId val="137945856"/>
        <c:scaling>
          <c:orientation val="minMax"/>
        </c:scaling>
        <c:axPos val="l"/>
        <c:numFmt formatCode="0.00%" sourceLinked="1"/>
        <c:tickLblPos val="nextTo"/>
        <c:crossAx val="137858048"/>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3333581333829334"/>
          <c:y val="0.10768735574432005"/>
          <c:w val="0.51321303587051559"/>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'Dupont Analysis'!$I$49:$L$49</c:f>
              <c:numCache>
                <c:formatCode>mmm\-yy</c:formatCode>
                <c:ptCount val="4"/>
                <c:pt idx="0">
                  <c:v>44651</c:v>
                </c:pt>
                <c:pt idx="1">
                  <c:v>45016</c:v>
                </c:pt>
                <c:pt idx="2">
                  <c:v>45382</c:v>
                </c:pt>
                <c:pt idx="3">
                  <c:v>45747</c:v>
                </c:pt>
              </c:numCache>
            </c:numRef>
          </c:cat>
          <c:val>
            <c:numRef>
              <c:f>'Dupont Analysis'!$I$66:$L$66</c:f>
              <c:numCache>
                <c:formatCode>0.00\x</c:formatCode>
                <c:ptCount val="4"/>
                <c:pt idx="0">
                  <c:v>1.2026818788694744</c:v>
                </c:pt>
                <c:pt idx="1">
                  <c:v>1.1861912940283705</c:v>
                </c:pt>
                <c:pt idx="2">
                  <c:v>1.2770078158286604</c:v>
                </c:pt>
                <c:pt idx="3">
                  <c:v>1.4567721701013931</c:v>
                </c:pt>
              </c:numCache>
            </c:numRef>
          </c:val>
        </c:ser>
        <c:overlap val="100"/>
        <c:axId val="137962624"/>
        <c:axId val="137964160"/>
      </c:barChart>
      <c:dateAx>
        <c:axId val="137962624"/>
        <c:scaling>
          <c:orientation val="minMax"/>
        </c:scaling>
        <c:axPos val="b"/>
        <c:numFmt formatCode="yyyy" sourceLinked="0"/>
        <c:tickLblPos val="nextTo"/>
        <c:crossAx val="137964160"/>
        <c:crosses val="autoZero"/>
        <c:auto val="1"/>
        <c:lblOffset val="100"/>
        <c:baseTimeUnit val="years"/>
        <c:majorUnit val="1"/>
        <c:majorTimeUnit val="years"/>
        <c:minorUnit val="1"/>
        <c:minorTimeUnit val="years"/>
      </c:dateAx>
      <c:valAx>
        <c:axId val="137964160"/>
        <c:scaling>
          <c:orientation val="minMax"/>
        </c:scaling>
        <c:axPos val="l"/>
        <c:numFmt formatCode="0.00\x" sourceLinked="1"/>
        <c:tickLblPos val="nextTo"/>
        <c:crossAx val="137962624"/>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0202724659417571"/>
          <c:y val="7.4534161490683232E-2"/>
          <c:w val="0.73543525809273835"/>
          <c:h val="0.63991001124860059"/>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score'!$F$52:$L$52</c:f>
              <c:numCache>
                <c:formatCode>mmm\-yy</c:formatCode>
                <c:ptCount val="7"/>
                <c:pt idx="0">
                  <c:v>43555</c:v>
                </c:pt>
                <c:pt idx="1">
                  <c:v>43921</c:v>
                </c:pt>
                <c:pt idx="2">
                  <c:v>44286</c:v>
                </c:pt>
                <c:pt idx="3">
                  <c:v>44651</c:v>
                </c:pt>
                <c:pt idx="4">
                  <c:v>45016</c:v>
                </c:pt>
                <c:pt idx="5">
                  <c:v>45382</c:v>
                </c:pt>
                <c:pt idx="6">
                  <c:v>45747</c:v>
                </c:pt>
              </c:numCache>
            </c:numRef>
          </c:cat>
          <c:val>
            <c:numRef>
              <c:f>'Altman''s Z score'!$F$55:$L$55</c:f>
              <c:numCache>
                <c:formatCode>0.00%</c:formatCode>
                <c:ptCount val="7"/>
                <c:pt idx="0">
                  <c:v>3.2722015120129053E-2</c:v>
                </c:pt>
                <c:pt idx="1">
                  <c:v>4.3334558027492698E-3</c:v>
                </c:pt>
                <c:pt idx="2">
                  <c:v>3.0495769411735298E-2</c:v>
                </c:pt>
                <c:pt idx="3">
                  <c:v>4.0871277292921546E-2</c:v>
                </c:pt>
                <c:pt idx="4">
                  <c:v>1.0682638684329221E-2</c:v>
                </c:pt>
                <c:pt idx="5">
                  <c:v>-1.1818921916068393E-2</c:v>
                </c:pt>
                <c:pt idx="6">
                  <c:v>0.21995301416080451</c:v>
                </c:pt>
              </c:numCache>
            </c:numRef>
          </c:val>
        </c:ser>
        <c:overlap val="100"/>
        <c:axId val="138024064"/>
        <c:axId val="138025600"/>
      </c:barChart>
      <c:dateAx>
        <c:axId val="138024064"/>
        <c:scaling>
          <c:orientation val="minMax"/>
        </c:scaling>
        <c:axPos val="b"/>
        <c:numFmt formatCode="yyyy" sourceLinked="0"/>
        <c:tickLblPos val="nextTo"/>
        <c:txPr>
          <a:bodyPr rot="0" vert="horz" anchor="t" anchorCtr="0"/>
          <a:lstStyle/>
          <a:p>
            <a:pPr>
              <a:defRPr/>
            </a:pPr>
            <a:endParaRPr lang="en-US"/>
          </a:p>
        </c:txPr>
        <c:crossAx val="138025600"/>
        <c:crosses val="autoZero"/>
        <c:auto val="1"/>
        <c:lblOffset val="100"/>
        <c:baseTimeUnit val="years"/>
        <c:majorUnit val="1"/>
        <c:majorTimeUnit val="years"/>
        <c:minorUnit val="1"/>
        <c:minorTimeUnit val="years"/>
      </c:dateAx>
      <c:valAx>
        <c:axId val="138025600"/>
        <c:scaling>
          <c:orientation val="minMax"/>
        </c:scaling>
        <c:delete val="1"/>
        <c:axPos val="l"/>
        <c:numFmt formatCode="0.00%" sourceLinked="1"/>
        <c:tickLblPos val="nextTo"/>
        <c:crossAx val="138024064"/>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22" l="0.70000000000000062" r="0.70000000000000062" t="0.750000000000003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3182672920601834"/>
          <c:y val="0.16563146997929606"/>
          <c:w val="0.61743574506016941"/>
          <c:h val="0.63162843774963306"/>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score'!$F$52:$L$52</c:f>
              <c:numCache>
                <c:formatCode>mmm\-yy</c:formatCode>
                <c:ptCount val="7"/>
                <c:pt idx="0">
                  <c:v>43555</c:v>
                </c:pt>
                <c:pt idx="1">
                  <c:v>43921</c:v>
                </c:pt>
                <c:pt idx="2">
                  <c:v>44286</c:v>
                </c:pt>
                <c:pt idx="3">
                  <c:v>44651</c:v>
                </c:pt>
                <c:pt idx="4">
                  <c:v>45016</c:v>
                </c:pt>
                <c:pt idx="5">
                  <c:v>45382</c:v>
                </c:pt>
                <c:pt idx="6">
                  <c:v>45747</c:v>
                </c:pt>
              </c:numCache>
            </c:numRef>
          </c:cat>
          <c:val>
            <c:numRef>
              <c:f>'Altman''s Z score'!$F$61:$L$61</c:f>
              <c:numCache>
                <c:formatCode>0.00%</c:formatCode>
                <c:ptCount val="7"/>
                <c:pt idx="0">
                  <c:v>3.6439443443646059E-2</c:v>
                </c:pt>
                <c:pt idx="1">
                  <c:v>-8.2583908129733197E-3</c:v>
                </c:pt>
                <c:pt idx="2">
                  <c:v>-3.5795804442011137E-2</c:v>
                </c:pt>
                <c:pt idx="3">
                  <c:v>-5.1462271245706227E-3</c:v>
                </c:pt>
                <c:pt idx="4">
                  <c:v>5.5614302585874718E-3</c:v>
                </c:pt>
                <c:pt idx="5">
                  <c:v>9.205106726881418E-2</c:v>
                </c:pt>
                <c:pt idx="6">
                  <c:v>8.3205396893657726E-4</c:v>
                </c:pt>
              </c:numCache>
            </c:numRef>
          </c:val>
        </c:ser>
        <c:overlap val="100"/>
        <c:axId val="138046464"/>
        <c:axId val="138060544"/>
      </c:barChart>
      <c:dateAx>
        <c:axId val="138046464"/>
        <c:scaling>
          <c:orientation val="minMax"/>
        </c:scaling>
        <c:axPos val="b"/>
        <c:numFmt formatCode="yyyy" sourceLinked="0"/>
        <c:tickLblPos val="nextTo"/>
        <c:txPr>
          <a:bodyPr rot="0" vert="horz" anchor="t" anchorCtr="0"/>
          <a:lstStyle/>
          <a:p>
            <a:pPr>
              <a:defRPr/>
            </a:pPr>
            <a:endParaRPr lang="en-US"/>
          </a:p>
        </c:txPr>
        <c:crossAx val="138060544"/>
        <c:crosses val="autoZero"/>
        <c:auto val="1"/>
        <c:lblOffset val="100"/>
        <c:baseTimeUnit val="years"/>
        <c:majorUnit val="1"/>
        <c:majorTimeUnit val="years"/>
        <c:minorUnit val="1"/>
        <c:minorTimeUnit val="years"/>
      </c:dateAx>
      <c:valAx>
        <c:axId val="138060544"/>
        <c:scaling>
          <c:orientation val="minMax"/>
        </c:scaling>
        <c:delete val="1"/>
        <c:axPos val="l"/>
        <c:numFmt formatCode="0.00%" sourceLinked="1"/>
        <c:tickLblPos val="nextTo"/>
        <c:crossAx val="138046464"/>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44" l="0.70000000000000062" r="0.70000000000000062" t="0.750000000000003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417097862767154"/>
          <c:y val="9.9378881987577647E-2"/>
          <c:w val="0.67194319460067975"/>
          <c:h val="0.63991001124860092"/>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score'!$F$64:$L$64</c:f>
              <c:numCache>
                <c:formatCode>mmm\-yy</c:formatCode>
                <c:ptCount val="7"/>
                <c:pt idx="0">
                  <c:v>43555</c:v>
                </c:pt>
                <c:pt idx="1">
                  <c:v>43921</c:v>
                </c:pt>
                <c:pt idx="2">
                  <c:v>44286</c:v>
                </c:pt>
                <c:pt idx="3">
                  <c:v>44651</c:v>
                </c:pt>
                <c:pt idx="4">
                  <c:v>45016</c:v>
                </c:pt>
                <c:pt idx="5">
                  <c:v>45382</c:v>
                </c:pt>
                <c:pt idx="6">
                  <c:v>45747</c:v>
                </c:pt>
              </c:numCache>
            </c:numRef>
          </c:cat>
          <c:val>
            <c:numRef>
              <c:f>'Altman''s Z score'!$F$67:$L$67</c:f>
              <c:numCache>
                <c:formatCode>0.00%</c:formatCode>
                <c:ptCount val="7"/>
                <c:pt idx="0">
                  <c:v>0.1671402276802578</c:v>
                </c:pt>
                <c:pt idx="1">
                  <c:v>0.17868299964995354</c:v>
                </c:pt>
                <c:pt idx="2">
                  <c:v>0.12616767896404171</c:v>
                </c:pt>
                <c:pt idx="3">
                  <c:v>0.15279905587763862</c:v>
                </c:pt>
                <c:pt idx="4">
                  <c:v>0.17014037890024028</c:v>
                </c:pt>
                <c:pt idx="5">
                  <c:v>0.20962011074185904</c:v>
                </c:pt>
                <c:pt idx="6">
                  <c:v>0.16997220424082757</c:v>
                </c:pt>
              </c:numCache>
            </c:numRef>
          </c:val>
        </c:ser>
        <c:overlap val="100"/>
        <c:axId val="138081408"/>
        <c:axId val="138082944"/>
      </c:barChart>
      <c:dateAx>
        <c:axId val="138081408"/>
        <c:scaling>
          <c:orientation val="minMax"/>
        </c:scaling>
        <c:axPos val="b"/>
        <c:numFmt formatCode="yyyy" sourceLinked="0"/>
        <c:tickLblPos val="nextTo"/>
        <c:txPr>
          <a:bodyPr rot="0" vert="horz" anchor="t" anchorCtr="0"/>
          <a:lstStyle/>
          <a:p>
            <a:pPr>
              <a:defRPr/>
            </a:pPr>
            <a:endParaRPr lang="en-US"/>
          </a:p>
        </c:txPr>
        <c:crossAx val="138082944"/>
        <c:crosses val="autoZero"/>
        <c:auto val="1"/>
        <c:lblOffset val="100"/>
        <c:baseTimeUnit val="years"/>
        <c:majorUnit val="1"/>
        <c:majorTimeUnit val="years"/>
        <c:minorUnit val="1"/>
        <c:minorTimeUnit val="years"/>
      </c:dateAx>
      <c:valAx>
        <c:axId val="138082944"/>
        <c:scaling>
          <c:orientation val="minMax"/>
        </c:scaling>
        <c:delete val="1"/>
        <c:axPos val="l"/>
        <c:numFmt formatCode="0.00%" sourceLinked="1"/>
        <c:tickLblPos val="nextTo"/>
        <c:crossAx val="138081408"/>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44" l="0.70000000000000062" r="0.70000000000000062" t="0.750000000000003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605778522967648"/>
          <c:y val="9.9378881987577647E-2"/>
          <c:w val="0.62102963544651857"/>
          <c:h val="0.63991001124860092"/>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score'!$F$70:$L$70</c:f>
              <c:numCache>
                <c:formatCode>mmm\-yy</c:formatCode>
                <c:ptCount val="7"/>
                <c:pt idx="0">
                  <c:v>43555</c:v>
                </c:pt>
                <c:pt idx="1">
                  <c:v>43921</c:v>
                </c:pt>
                <c:pt idx="2">
                  <c:v>44286</c:v>
                </c:pt>
                <c:pt idx="3">
                  <c:v>44651</c:v>
                </c:pt>
                <c:pt idx="4">
                  <c:v>45016</c:v>
                </c:pt>
                <c:pt idx="5">
                  <c:v>45382</c:v>
                </c:pt>
                <c:pt idx="6">
                  <c:v>45747</c:v>
                </c:pt>
              </c:numCache>
            </c:numRef>
          </c:cat>
          <c:val>
            <c:numRef>
              <c:f>'Altman''s Z score'!$F$73:$L$73</c:f>
              <c:numCache>
                <c:formatCode>0.0%</c:formatCode>
                <c:ptCount val="7"/>
                <c:pt idx="0">
                  <c:v>231.56448763250884</c:v>
                </c:pt>
                <c:pt idx="1">
                  <c:v>211.08384425511585</c:v>
                </c:pt>
                <c:pt idx="2">
                  <c:v>276.64836160052693</c:v>
                </c:pt>
                <c:pt idx="3">
                  <c:v>285.99177323450357</c:v>
                </c:pt>
                <c:pt idx="4">
                  <c:v>282.83385655638733</c:v>
                </c:pt>
                <c:pt idx="5">
                  <c:v>20.58004226516158</c:v>
                </c:pt>
                <c:pt idx="6">
                  <c:v>5.7784061784506031</c:v>
                </c:pt>
              </c:numCache>
            </c:numRef>
          </c:val>
        </c:ser>
        <c:overlap val="100"/>
        <c:axId val="138308608"/>
        <c:axId val="138318592"/>
      </c:barChart>
      <c:dateAx>
        <c:axId val="138308608"/>
        <c:scaling>
          <c:orientation val="minMax"/>
        </c:scaling>
        <c:axPos val="b"/>
        <c:numFmt formatCode="yyyy" sourceLinked="0"/>
        <c:tickLblPos val="nextTo"/>
        <c:txPr>
          <a:bodyPr rot="0" vert="horz" anchor="t" anchorCtr="0"/>
          <a:lstStyle/>
          <a:p>
            <a:pPr>
              <a:defRPr/>
            </a:pPr>
            <a:endParaRPr lang="en-US"/>
          </a:p>
        </c:txPr>
        <c:crossAx val="138318592"/>
        <c:crosses val="autoZero"/>
        <c:auto val="1"/>
        <c:lblOffset val="100"/>
        <c:baseTimeUnit val="years"/>
        <c:majorUnit val="1"/>
        <c:majorTimeUnit val="years"/>
        <c:minorUnit val="1"/>
        <c:minorTimeUnit val="years"/>
      </c:dateAx>
      <c:valAx>
        <c:axId val="138318592"/>
        <c:scaling>
          <c:orientation val="minMax"/>
        </c:scaling>
        <c:delete val="1"/>
        <c:axPos val="l"/>
        <c:numFmt formatCode="0.0%" sourceLinked="1"/>
        <c:tickLblPos val="nextTo"/>
        <c:crossAx val="138308608"/>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44" l="0.70000000000000062" r="0.70000000000000062" t="0.750000000000003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3377327834020747"/>
          <c:y val="9.9378881987577647E-2"/>
          <c:w val="0.68384795650544083"/>
          <c:h val="0.63991001124860092"/>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score'!$F$76:$L$76</c:f>
              <c:numCache>
                <c:formatCode>mmm\-yy</c:formatCode>
                <c:ptCount val="7"/>
                <c:pt idx="0">
                  <c:v>43555</c:v>
                </c:pt>
                <c:pt idx="1">
                  <c:v>43921</c:v>
                </c:pt>
                <c:pt idx="2">
                  <c:v>44286</c:v>
                </c:pt>
                <c:pt idx="3">
                  <c:v>44651</c:v>
                </c:pt>
                <c:pt idx="4">
                  <c:v>45016</c:v>
                </c:pt>
                <c:pt idx="5">
                  <c:v>45382</c:v>
                </c:pt>
                <c:pt idx="6">
                  <c:v>45747</c:v>
                </c:pt>
              </c:numCache>
            </c:numRef>
          </c:cat>
          <c:val>
            <c:numRef>
              <c:f>'Altman''s Z score'!$F$79:$L$79</c:f>
              <c:numCache>
                <c:formatCode>0.00%</c:formatCode>
                <c:ptCount val="7"/>
                <c:pt idx="0">
                  <c:v>1.0528264667111276</c:v>
                </c:pt>
                <c:pt idx="1">
                  <c:v>1.12857892977825</c:v>
                </c:pt>
                <c:pt idx="2">
                  <c:v>0.82558536455436349</c:v>
                </c:pt>
                <c:pt idx="3">
                  <c:v>0.94399224635095169</c:v>
                </c:pt>
                <c:pt idx="4">
                  <c:v>1.0375373721591112</c:v>
                </c:pt>
                <c:pt idx="5">
                  <c:v>1.1404733516352938</c:v>
                </c:pt>
                <c:pt idx="6">
                  <c:v>0.9424251597488964</c:v>
                </c:pt>
              </c:numCache>
            </c:numRef>
          </c:val>
        </c:ser>
        <c:overlap val="100"/>
        <c:axId val="138339456"/>
        <c:axId val="138340992"/>
      </c:barChart>
      <c:dateAx>
        <c:axId val="138339456"/>
        <c:scaling>
          <c:orientation val="minMax"/>
        </c:scaling>
        <c:axPos val="b"/>
        <c:numFmt formatCode="yyyy" sourceLinked="0"/>
        <c:tickLblPos val="nextTo"/>
        <c:txPr>
          <a:bodyPr rot="0" vert="horz" anchor="t" anchorCtr="0"/>
          <a:lstStyle/>
          <a:p>
            <a:pPr>
              <a:defRPr/>
            </a:pPr>
            <a:endParaRPr lang="en-US"/>
          </a:p>
        </c:txPr>
        <c:crossAx val="138340992"/>
        <c:crosses val="autoZero"/>
        <c:auto val="1"/>
        <c:lblOffset val="100"/>
        <c:baseTimeUnit val="years"/>
        <c:majorUnit val="1"/>
        <c:majorTimeUnit val="years"/>
        <c:minorUnit val="1"/>
        <c:minorTimeUnit val="years"/>
      </c:dateAx>
      <c:valAx>
        <c:axId val="138340992"/>
        <c:scaling>
          <c:orientation val="minMax"/>
        </c:scaling>
        <c:delete val="1"/>
        <c:axPos val="l"/>
        <c:numFmt formatCode="0.00%" sourceLinked="1"/>
        <c:tickLblPos val="nextTo"/>
        <c:crossAx val="138339456"/>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44" l="0.70000000000000062" r="0.70000000000000062" t="0.75000000000000344"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7135952345579442"/>
          <c:y val="9.9378881987577647E-2"/>
          <c:w val="0.60665407390114257"/>
          <c:h val="0.63991001124860092"/>
        </c:manualLayout>
      </c:layout>
      <c:barChart>
        <c:barDir val="col"/>
        <c:grouping val="stacked"/>
        <c:ser>
          <c:idx val="0"/>
          <c:order val="0"/>
          <c:dPt>
            <c:idx val="0"/>
            <c:spPr>
              <a:solidFill>
                <a:schemeClr val="accent4">
                  <a:lumMod val="20000"/>
                  <a:lumOff val="80000"/>
                </a:schemeClr>
              </a:solidFill>
            </c:spPr>
          </c:dPt>
          <c:dPt>
            <c:idx val="1"/>
            <c:spPr>
              <a:solidFill>
                <a:schemeClr val="accent4">
                  <a:lumMod val="40000"/>
                  <a:lumOff val="60000"/>
                </a:schemeClr>
              </a:solidFill>
            </c:spPr>
          </c:dPt>
          <c:dPt>
            <c:idx val="2"/>
            <c:spPr>
              <a:solidFill>
                <a:schemeClr val="accent4">
                  <a:lumMod val="60000"/>
                  <a:lumOff val="40000"/>
                </a:schemeClr>
              </a:solidFill>
            </c:spPr>
          </c:dPt>
          <c:dPt>
            <c:idx val="3"/>
            <c:spPr>
              <a:solidFill>
                <a:srgbClr val="336699"/>
              </a:solidFill>
            </c:spPr>
          </c:dPt>
          <c:cat>
            <c:numRef>
              <c:f>'Altman''s Z score'!$F$82:$L$82</c:f>
              <c:numCache>
                <c:formatCode>mmm\-yy</c:formatCode>
                <c:ptCount val="7"/>
                <c:pt idx="0">
                  <c:v>43555</c:v>
                </c:pt>
                <c:pt idx="1">
                  <c:v>43921</c:v>
                </c:pt>
                <c:pt idx="2">
                  <c:v>44286</c:v>
                </c:pt>
                <c:pt idx="3">
                  <c:v>44651</c:v>
                </c:pt>
                <c:pt idx="4">
                  <c:v>45016</c:v>
                </c:pt>
                <c:pt idx="5">
                  <c:v>45382</c:v>
                </c:pt>
                <c:pt idx="6">
                  <c:v>45747</c:v>
                </c:pt>
              </c:numCache>
            </c:numRef>
          </c:cat>
          <c:val>
            <c:numRef>
              <c:f>'Altman''s Z score'!$F$83:$L$83</c:f>
              <c:numCache>
                <c:formatCode>#,##0.0</c:formatCode>
                <c:ptCount val="7"/>
                <c:pt idx="0">
                  <c:v>140.63336343652654</c:v>
                </c:pt>
                <c:pt idx="1">
                  <c:v>128.36217778151774</c:v>
                </c:pt>
                <c:pt idx="2">
                  <c:v>167.21743646252713</c:v>
                </c:pt>
                <c:pt idx="3">
                  <c:v>173.0851338862264</c:v>
                </c:pt>
                <c:pt idx="4">
                  <c:v>171.31991972514552</c:v>
                </c:pt>
                <c:pt idx="5">
                  <c:v>14.294933864057434</c:v>
                </c:pt>
                <c:pt idx="6">
                  <c:v>5.2354856333634654</c:v>
                </c:pt>
              </c:numCache>
            </c:numRef>
          </c:val>
        </c:ser>
        <c:overlap val="100"/>
        <c:axId val="138353664"/>
        <c:axId val="138371840"/>
      </c:barChart>
      <c:dateAx>
        <c:axId val="138353664"/>
        <c:scaling>
          <c:orientation val="minMax"/>
        </c:scaling>
        <c:axPos val="b"/>
        <c:numFmt formatCode="yyyy" sourceLinked="0"/>
        <c:tickLblPos val="nextTo"/>
        <c:txPr>
          <a:bodyPr rot="0" vert="horz" anchor="t" anchorCtr="0"/>
          <a:lstStyle/>
          <a:p>
            <a:pPr>
              <a:defRPr/>
            </a:pPr>
            <a:endParaRPr lang="en-US"/>
          </a:p>
        </c:txPr>
        <c:crossAx val="138371840"/>
        <c:crosses val="autoZero"/>
        <c:auto val="1"/>
        <c:lblOffset val="100"/>
        <c:baseTimeUnit val="years"/>
        <c:majorUnit val="1"/>
        <c:majorTimeUnit val="years"/>
        <c:minorUnit val="1"/>
        <c:minorTimeUnit val="years"/>
      </c:dateAx>
      <c:valAx>
        <c:axId val="138371840"/>
        <c:scaling>
          <c:orientation val="minMax"/>
        </c:scaling>
        <c:delete val="1"/>
        <c:axPos val="l"/>
        <c:numFmt formatCode="#,##0.0" sourceLinked="1"/>
        <c:tickLblPos val="nextTo"/>
        <c:crossAx val="138353664"/>
        <c:crossesAt val="43831"/>
        <c:crossBetween val="between"/>
      </c:valAx>
    </c:plotArea>
    <c:plotVisOnly val="1"/>
  </c:chart>
  <c:spPr>
    <a:noFill/>
    <a:ln cap="sq">
      <a:noFill/>
    </a:ln>
    <a:effectLst>
      <a:outerShdw blurRad="50800" dist="38100" dir="2700000" algn="tl" rotWithShape="0">
        <a:prstClr val="black">
          <a:alpha val="40000"/>
        </a:prstClr>
      </a:outerShdw>
    </a:effectLst>
  </c:spPr>
  <c:printSettings>
    <c:headerFooter/>
    <c:pageMargins b="0.75000000000000344" l="0.70000000000000062" r="0.70000000000000062" t="0.750000000000003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4"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3.jpe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2.jpe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4</xdr:row>
      <xdr:rowOff>28574</xdr:rowOff>
    </xdr:from>
    <xdr:to>
      <xdr:col>4</xdr:col>
      <xdr:colOff>47625</xdr:colOff>
      <xdr:row>7</xdr:row>
      <xdr:rowOff>161924</xdr:rowOff>
    </xdr:to>
    <xdr:pic>
      <xdr:nvPicPr>
        <xdr:cNvPr id="3" name="Picture 2"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342900" y="714374"/>
          <a:ext cx="2143125" cy="7143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504825</xdr:colOff>
      <xdr:row>3</xdr:row>
      <xdr:rowOff>38100</xdr:rowOff>
    </xdr:from>
    <xdr:to>
      <xdr:col>7</xdr:col>
      <xdr:colOff>590550</xdr:colOff>
      <xdr:row>6</xdr:row>
      <xdr:rowOff>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3495675" y="581025"/>
          <a:ext cx="1304925" cy="4667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3</xdr:row>
      <xdr:rowOff>114300</xdr:rowOff>
    </xdr:from>
    <xdr:to>
      <xdr:col>1</xdr:col>
      <xdr:colOff>1881825</xdr:colOff>
      <xdr:row>3</xdr:row>
      <xdr:rowOff>809625</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790575" y="685800"/>
          <a:ext cx="691200" cy="762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171451</xdr:colOff>
      <xdr:row>3</xdr:row>
      <xdr:rowOff>95250</xdr:rowOff>
    </xdr:from>
    <xdr:to>
      <xdr:col>11</xdr:col>
      <xdr:colOff>695391</xdr:colOff>
      <xdr:row>5</xdr:row>
      <xdr:rowOff>57150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6858001" y="666750"/>
          <a:ext cx="2009840" cy="34290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523876</xdr:colOff>
      <xdr:row>3</xdr:row>
      <xdr:rowOff>161925</xdr:rowOff>
    </xdr:from>
    <xdr:to>
      <xdr:col>11</xdr:col>
      <xdr:colOff>66</xdr:colOff>
      <xdr:row>5</xdr:row>
      <xdr:rowOff>66675</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5400676" y="733425"/>
          <a:ext cx="1304990" cy="285750"/>
        </a:xfrm>
        <a:prstGeom prst="rect">
          <a:avLst/>
        </a:prstGeom>
        <a:noFill/>
      </xdr:spPr>
    </xdr:pic>
    <xdr:clientData/>
  </xdr:twoCellAnchor>
  <xdr:twoCellAnchor>
    <xdr:from>
      <xdr:col>6</xdr:col>
      <xdr:colOff>152401</xdr:colOff>
      <xdr:row>10</xdr:row>
      <xdr:rowOff>88900</xdr:rowOff>
    </xdr:from>
    <xdr:to>
      <xdr:col>10</xdr:col>
      <xdr:colOff>876301</xdr:colOff>
      <xdr:row>24</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6</xdr:col>
      <xdr:colOff>276225</xdr:colOff>
      <xdr:row>42</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314325</xdr:colOff>
      <xdr:row>46</xdr:row>
      <xdr:rowOff>133350</xdr:rowOff>
    </xdr:from>
    <xdr:to>
      <xdr:col>11</xdr:col>
      <xdr:colOff>114300</xdr:colOff>
      <xdr:row>61</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323849</xdr:colOff>
      <xdr:row>3</xdr:row>
      <xdr:rowOff>133350</xdr:rowOff>
    </xdr:from>
    <xdr:to>
      <xdr:col>13</xdr:col>
      <xdr:colOff>12391</xdr:colOff>
      <xdr:row>5</xdr:row>
      <xdr:rowOff>127186</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8134349" y="704850"/>
          <a:ext cx="2031692" cy="374836"/>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714376</xdr:colOff>
      <xdr:row>3</xdr:row>
      <xdr:rowOff>114300</xdr:rowOff>
    </xdr:from>
    <xdr:to>
      <xdr:col>10</xdr:col>
      <xdr:colOff>590616</xdr:colOff>
      <xdr:row>5</xdr:row>
      <xdr:rowOff>76200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4876801" y="685800"/>
          <a:ext cx="1809815" cy="34290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85724</xdr:colOff>
      <xdr:row>3</xdr:row>
      <xdr:rowOff>133350</xdr:rowOff>
    </xdr:from>
    <xdr:to>
      <xdr:col>10</xdr:col>
      <xdr:colOff>743015</xdr:colOff>
      <xdr:row>5</xdr:row>
      <xdr:rowOff>38100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5572124" y="704850"/>
          <a:ext cx="1133541" cy="28575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150285</xdr:colOff>
      <xdr:row>3</xdr:row>
      <xdr:rowOff>105835</xdr:rowOff>
    </xdr:from>
    <xdr:to>
      <xdr:col>10</xdr:col>
      <xdr:colOff>789583</xdr:colOff>
      <xdr:row>5</xdr:row>
      <xdr:rowOff>105836</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5027085" y="677335"/>
          <a:ext cx="1677523" cy="381001"/>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447676</xdr:colOff>
      <xdr:row>3</xdr:row>
      <xdr:rowOff>123824</xdr:rowOff>
    </xdr:from>
    <xdr:to>
      <xdr:col>15</xdr:col>
      <xdr:colOff>685866</xdr:colOff>
      <xdr:row>4</xdr:row>
      <xdr:rowOff>209549</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8372476" y="695324"/>
          <a:ext cx="1381190" cy="25717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1</xdr:colOff>
      <xdr:row>3</xdr:row>
      <xdr:rowOff>152400</xdr:rowOff>
    </xdr:from>
    <xdr:to>
      <xdr:col>12</xdr:col>
      <xdr:colOff>571566</xdr:colOff>
      <xdr:row>5</xdr:row>
      <xdr:rowOff>19050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6096001" y="723900"/>
          <a:ext cx="1790765" cy="247650"/>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552450</xdr:colOff>
      <xdr:row>2</xdr:row>
      <xdr:rowOff>66675</xdr:rowOff>
    </xdr:from>
    <xdr:to>
      <xdr:col>13</xdr:col>
      <xdr:colOff>781116</xdr:colOff>
      <xdr:row>4</xdr:row>
      <xdr:rowOff>133350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7258050" y="447675"/>
          <a:ext cx="1276416" cy="44767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70758</xdr:colOff>
      <xdr:row>3</xdr:row>
      <xdr:rowOff>356508</xdr:rowOff>
    </xdr:from>
    <xdr:to>
      <xdr:col>11</xdr:col>
      <xdr:colOff>404198</xdr:colOff>
      <xdr:row>5</xdr:row>
      <xdr:rowOff>308883</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5557158" y="766083"/>
          <a:ext cx="1552640" cy="381000"/>
        </a:xfrm>
        <a:prstGeom prst="rect">
          <a:avLst/>
        </a:prstGeom>
        <a:noFill/>
      </xdr:spPr>
    </xdr:pic>
    <xdr:clientData/>
  </xdr:twoCellAnchor>
  <xdr:twoCellAnchor>
    <xdr:from>
      <xdr:col>1</xdr:col>
      <xdr:colOff>38100</xdr:colOff>
      <xdr:row>23</xdr:row>
      <xdr:rowOff>28575</xdr:rowOff>
    </xdr:from>
    <xdr:to>
      <xdr:col>3</xdr:col>
      <xdr:colOff>590550</xdr:colOff>
      <xdr:row>31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23</xdr:row>
      <xdr:rowOff>68036</xdr:rowOff>
    </xdr:from>
    <xdr:to>
      <xdr:col>8</xdr:col>
      <xdr:colOff>138793</xdr:colOff>
      <xdr:row>31</xdr:row>
      <xdr:rowOff>77561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52160</xdr:colOff>
      <xdr:row>22</xdr:row>
      <xdr:rowOff>179159</xdr:rowOff>
    </xdr:from>
    <xdr:to>
      <xdr:col>12</xdr:col>
      <xdr:colOff>196395</xdr:colOff>
      <xdr:row>30</xdr:row>
      <xdr:rowOff>188684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54428</xdr:colOff>
      <xdr:row>32</xdr:row>
      <xdr:rowOff>163286</xdr:rowOff>
    </xdr:from>
    <xdr:to>
      <xdr:col>3</xdr:col>
      <xdr:colOff>615043</xdr:colOff>
      <xdr:row>40</xdr:row>
      <xdr:rowOff>172811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13608</xdr:colOff>
      <xdr:row>32</xdr:row>
      <xdr:rowOff>204106</xdr:rowOff>
    </xdr:from>
    <xdr:to>
      <xdr:col>8</xdr:col>
      <xdr:colOff>144235</xdr:colOff>
      <xdr:row>40</xdr:row>
      <xdr:rowOff>176892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254000</xdr:colOff>
      <xdr:row>32</xdr:row>
      <xdr:rowOff>204107</xdr:rowOff>
    </xdr:from>
    <xdr:to>
      <xdr:col>12</xdr:col>
      <xdr:colOff>406400</xdr:colOff>
      <xdr:row>40</xdr:row>
      <xdr:rowOff>176893</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152401</xdr:colOff>
      <xdr:row>3</xdr:row>
      <xdr:rowOff>257175</xdr:rowOff>
    </xdr:from>
    <xdr:to>
      <xdr:col>12</xdr:col>
      <xdr:colOff>66</xdr:colOff>
      <xdr:row>5</xdr:row>
      <xdr:rowOff>285750</xdr:rowOff>
    </xdr:to>
    <xdr:pic>
      <xdr:nvPicPr>
        <xdr:cNvPr id="2" name="Picture 1"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5638801" y="762000"/>
          <a:ext cx="1676465" cy="381000"/>
        </a:xfrm>
        <a:prstGeom prst="rect">
          <a:avLst/>
        </a:prstGeom>
        <a:noFill/>
      </xdr:spPr>
    </xdr:pic>
    <xdr:clientData/>
  </xdr:twoCellAnchor>
  <xdr:twoCellAnchor>
    <xdr:from>
      <xdr:col>1</xdr:col>
      <xdr:colOff>38100</xdr:colOff>
      <xdr:row>25</xdr:row>
      <xdr:rowOff>28575</xdr:rowOff>
    </xdr:from>
    <xdr:to>
      <xdr:col>3</xdr:col>
      <xdr:colOff>590550</xdr:colOff>
      <xdr:row>33</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25</xdr:row>
      <xdr:rowOff>9525</xdr:rowOff>
    </xdr:from>
    <xdr:to>
      <xdr:col>8</xdr:col>
      <xdr:colOff>466725</xdr:colOff>
      <xdr:row>33</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552450</xdr:colOff>
      <xdr:row>23</xdr:row>
      <xdr:rowOff>76200</xdr:rowOff>
    </xdr:from>
    <xdr:to>
      <xdr:col>12</xdr:col>
      <xdr:colOff>504825</xdr:colOff>
      <xdr:row>31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19050</xdr:rowOff>
    </xdr:from>
    <xdr:to>
      <xdr:col>4</xdr:col>
      <xdr:colOff>104775</xdr:colOff>
      <xdr:row>44</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304800</xdr:colOff>
      <xdr:row>36</xdr:row>
      <xdr:rowOff>28575</xdr:rowOff>
    </xdr:from>
    <xdr:to>
      <xdr:col>8</xdr:col>
      <xdr:colOff>171450</xdr:colOff>
      <xdr:row>43</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447675</xdr:colOff>
      <xdr:row>36</xdr:row>
      <xdr:rowOff>38100</xdr:rowOff>
    </xdr:from>
    <xdr:to>
      <xdr:col>13</xdr:col>
      <xdr:colOff>123825</xdr:colOff>
      <xdr:row>44</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12</xdr:col>
      <xdr:colOff>114301</xdr:colOff>
      <xdr:row>5</xdr:row>
      <xdr:rowOff>152399</xdr:rowOff>
    </xdr:from>
    <xdr:to>
      <xdr:col>14</xdr:col>
      <xdr:colOff>600141</xdr:colOff>
      <xdr:row>7</xdr:row>
      <xdr:rowOff>66674</xdr:rowOff>
    </xdr:to>
    <xdr:pic>
      <xdr:nvPicPr>
        <xdr:cNvPr id="4" name="Picture 3" descr="Bajaj Logo, symbol, meaning, history, PNG, brand"/>
        <xdr:cNvPicPr>
          <a:picLocks noChangeAspect="1" noChangeArrowheads="1"/>
        </xdr:cNvPicPr>
      </xdr:nvPicPr>
      <xdr:blipFill>
        <a:blip xmlns:r="http://schemas.openxmlformats.org/officeDocument/2006/relationships" r:embed="rId1" cstate="print"/>
        <a:srcRect t="21905" b="23810"/>
        <a:stretch>
          <a:fillRect/>
        </a:stretch>
      </xdr:blipFill>
      <xdr:spPr bwMode="auto">
        <a:xfrm>
          <a:off x="7496176" y="733424"/>
          <a:ext cx="1886015" cy="56197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jaj%20Auto%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jaj%20Projec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jaj%20Au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acc%20Excel%20demo.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ustomization"/>
      <sheetName val="Data Sheet"/>
      <sheetName val="Input Sheet"/>
    </sheetNames>
    <sheetDataSet>
      <sheetData sheetId="0" refreshError="1"/>
      <sheetData sheetId="1"/>
      <sheetData sheetId="2" refreshError="1"/>
      <sheetData sheetId="3" refreshError="1"/>
      <sheetData sheetId="4" refreshError="1"/>
      <sheetData sheetId="5">
        <row r="1">
          <cell r="B1" t="str">
            <v>BAJAJ AUTO LTD</v>
          </cell>
          <cell r="E1" t="str">
            <v/>
          </cell>
        </row>
        <row r="6">
          <cell r="B6">
            <v>27.931625927542559</v>
          </cell>
        </row>
        <row r="8">
          <cell r="B8">
            <v>9164</v>
          </cell>
        </row>
        <row r="16">
          <cell r="C16">
            <v>42825</v>
          </cell>
          <cell r="D16">
            <v>43190</v>
          </cell>
          <cell r="E16">
            <v>43555</v>
          </cell>
          <cell r="F16">
            <v>43921</v>
          </cell>
          <cell r="G16">
            <v>44286</v>
          </cell>
          <cell r="H16">
            <v>44651</v>
          </cell>
          <cell r="I16">
            <v>45016</v>
          </cell>
          <cell r="J16">
            <v>45382</v>
          </cell>
          <cell r="K16">
            <v>45747</v>
          </cell>
        </row>
        <row r="17">
          <cell r="C17">
            <v>21754.720000000001</v>
          </cell>
          <cell r="D17">
            <v>25209.93</v>
          </cell>
          <cell r="E17">
            <v>30357.63</v>
          </cell>
          <cell r="F17">
            <v>29918.65</v>
          </cell>
          <cell r="G17">
            <v>27741.08</v>
          </cell>
          <cell r="H17">
            <v>33144.71</v>
          </cell>
          <cell r="I17">
            <v>36455.379999999997</v>
          </cell>
          <cell r="J17">
            <v>44870.43</v>
          </cell>
          <cell r="K17">
            <v>50994.55</v>
          </cell>
        </row>
        <row r="34">
          <cell r="C34">
            <v>-3.6279846139465777E-2</v>
          </cell>
          <cell r="D34">
            <v>0.15882576286893135</v>
          </cell>
          <cell r="E34">
            <v>0.20419334762135399</v>
          </cell>
          <cell r="F34">
            <v>-1.4460285602005185E-2</v>
          </cell>
          <cell r="G34">
            <v>-7.2783029982970482E-2</v>
          </cell>
          <cell r="H34">
            <v>0.19478801834679826</v>
          </cell>
          <cell r="I34">
            <v>9.9885321066317978E-2</v>
          </cell>
          <cell r="J34">
            <v>0.23083149867042962</v>
          </cell>
          <cell r="K34">
            <v>0.13648454004118094</v>
          </cell>
        </row>
        <row r="36">
          <cell r="C36">
            <v>0.24819349548052114</v>
          </cell>
          <cell r="D36">
            <v>0.24181701416862325</v>
          </cell>
          <cell r="E36">
            <v>0.21206497345148492</v>
          </cell>
          <cell r="F36">
            <v>0.21972749438895139</v>
          </cell>
          <cell r="G36">
            <v>0.20575803104998081</v>
          </cell>
          <cell r="H36">
            <v>0.20759029118070416</v>
          </cell>
          <cell r="I36">
            <v>0.21339017725230119</v>
          </cell>
          <cell r="J36">
            <v>0.22979699548232543</v>
          </cell>
          <cell r="K36">
            <v>0.25236716472642667</v>
          </cell>
        </row>
        <row r="38">
          <cell r="C38">
            <v>0.19955531489258432</v>
          </cell>
          <cell r="D38">
            <v>0.19298585914359939</v>
          </cell>
          <cell r="E38">
            <v>0.16750582967115688</v>
          </cell>
          <cell r="F38">
            <v>0.16656232817991454</v>
          </cell>
          <cell r="G38">
            <v>0.16217176836662456</v>
          </cell>
          <cell r="H38">
            <v>0.17000359936774215</v>
          </cell>
          <cell r="I38">
            <v>0.17182594174028626</v>
          </cell>
          <cell r="J38">
            <v>0.19193040940325287</v>
          </cell>
          <cell r="K38">
            <v>0.18847935710776939</v>
          </cell>
        </row>
        <row r="40">
          <cell r="C40">
            <v>0.18543010436355889</v>
          </cell>
          <cell r="D40">
            <v>0.18049871618048921</v>
          </cell>
          <cell r="E40">
            <v>0.15875382893855688</v>
          </cell>
          <cell r="F40">
            <v>0.15832565974734822</v>
          </cell>
          <cell r="G40">
            <v>0.15282209632790075</v>
          </cell>
          <cell r="H40">
            <v>0.16186474402702564</v>
          </cell>
          <cell r="I40">
            <v>0.16398484942414523</v>
          </cell>
          <cell r="J40">
            <v>0.18380100212991049</v>
          </cell>
          <cell r="K40">
            <v>0.18035633219628375</v>
          </cell>
        </row>
        <row r="44">
          <cell r="C44">
            <v>0.11604424235292396</v>
          </cell>
          <cell r="D44">
            <v>0.11243902700245498</v>
          </cell>
          <cell r="E44">
            <v>9.1803279768545937E-2</v>
          </cell>
          <cell r="F44">
            <v>0.10874521410558298</v>
          </cell>
          <cell r="G44">
            <v>0.10267732907298496</v>
          </cell>
          <cell r="H44">
            <v>0.11677549750774699</v>
          </cell>
          <cell r="I44">
            <v>0.11402569387563632</v>
          </cell>
          <cell r="J44">
            <v>0.13048838622674219</v>
          </cell>
          <cell r="K44">
            <v>0.11588473670225548</v>
          </cell>
        </row>
        <row r="45">
          <cell r="C45">
            <v>87.232550103662817</v>
          </cell>
          <cell r="D45">
            <v>97.946786454733925</v>
          </cell>
          <cell r="E45">
            <v>96.300276434001503</v>
          </cell>
          <cell r="F45">
            <v>112.422598479613</v>
          </cell>
          <cell r="G45">
            <v>98.423635107118244</v>
          </cell>
          <cell r="H45">
            <v>133.74187975120927</v>
          </cell>
          <cell r="I45">
            <v>146.88515901060052</v>
          </cell>
          <cell r="J45">
            <v>209.70881088825212</v>
          </cell>
          <cell r="K45">
            <v>211.58216970998936</v>
          </cell>
        </row>
        <row r="46">
          <cell r="C46">
            <v>-0.15680747096683567</v>
          </cell>
          <cell r="D46">
            <v>0.12282383512047779</v>
          </cell>
          <cell r="E46">
            <v>-1.6810250548580874E-2</v>
          </cell>
          <cell r="F46">
            <v>0.16741719382976838</v>
          </cell>
          <cell r="G46">
            <v>-0.1245209020411796</v>
          </cell>
          <cell r="H46">
            <v>0.3588390593951627</v>
          </cell>
          <cell r="I46">
            <v>9.8273474874443156E-2</v>
          </cell>
          <cell r="J46">
            <v>0.42770591869746144</v>
          </cell>
          <cell r="K46">
            <v>8.9331431226107316E-3</v>
          </cell>
        </row>
        <row r="47">
          <cell r="C47">
            <v>54.994471319972355</v>
          </cell>
          <cell r="D47">
            <v>59.993780234968902</v>
          </cell>
          <cell r="E47">
            <v>59.993780234968902</v>
          </cell>
          <cell r="F47">
            <v>119.9875604699378</v>
          </cell>
          <cell r="G47">
            <v>139.98548721492742</v>
          </cell>
          <cell r="H47">
            <v>139.98548721492742</v>
          </cell>
          <cell r="I47">
            <v>139.98021201413428</v>
          </cell>
          <cell r="J47">
            <v>79.994269340974213</v>
          </cell>
          <cell r="K47">
            <v>209.96992481203009</v>
          </cell>
        </row>
        <row r="48">
          <cell r="C48">
            <v>0</v>
          </cell>
          <cell r="D48">
            <v>9.0905663696796868E-2</v>
          </cell>
          <cell r="E48">
            <v>0</v>
          </cell>
          <cell r="F48">
            <v>1</v>
          </cell>
          <cell r="G48">
            <v>0.16666666666666652</v>
          </cell>
          <cell r="H48">
            <v>0</v>
          </cell>
          <cell r="I48">
            <v>-3.7683912083252835E-5</v>
          </cell>
          <cell r="J48">
            <v>-0.42853158892989163</v>
          </cell>
          <cell r="K48">
            <v>1.624812083938624</v>
          </cell>
        </row>
        <row r="54">
          <cell r="B54">
            <v>10311.91</v>
          </cell>
          <cell r="C54">
            <v>10838.24</v>
          </cell>
          <cell r="D54">
            <v>12165.33</v>
          </cell>
          <cell r="E54">
            <v>11554.95</v>
          </cell>
          <cell r="F54">
            <v>11932.07</v>
          </cell>
          <cell r="G54">
            <v>13247.28</v>
          </cell>
          <cell r="H54">
            <v>13168.88</v>
          </cell>
          <cell r="I54">
            <v>12646.32</v>
          </cell>
          <cell r="J54">
            <v>13133.35</v>
          </cell>
          <cell r="K54">
            <v>15734.74</v>
          </cell>
        </row>
        <row r="71">
          <cell r="K71">
            <v>9364.16</v>
          </cell>
        </row>
        <row r="81">
          <cell r="K81">
            <v>2847.6</v>
          </cell>
        </row>
        <row r="90">
          <cell r="C90">
            <v>19.503374127847373</v>
          </cell>
          <cell r="D90">
            <v>17.132985965518088</v>
          </cell>
          <cell r="E90">
            <v>17.485420878334253</v>
          </cell>
          <cell r="F90">
            <v>12.653895194368413</v>
          </cell>
          <cell r="G90">
            <v>24.899107766036419</v>
          </cell>
          <cell r="H90">
            <v>19.523830820342461</v>
          </cell>
          <cell r="I90">
            <v>18.362583373510144</v>
          </cell>
          <cell r="J90">
            <v>30.752706456107759</v>
          </cell>
          <cell r="K90">
            <v>24.567635219353637</v>
          </cell>
        </row>
        <row r="91">
          <cell r="C91">
            <v>3.8920019655504641</v>
          </cell>
          <cell r="D91">
            <v>3.3064240162507388</v>
          </cell>
          <cell r="E91">
            <v>2.928909931374748</v>
          </cell>
          <cell r="F91">
            <v>2.107662244118635</v>
          </cell>
          <cell r="G91">
            <v>4.0379323371692815</v>
          </cell>
          <cell r="H91">
            <v>3.3191215129050762</v>
          </cell>
          <cell r="I91">
            <v>3.1551681809379031</v>
          </cell>
          <cell r="J91">
            <v>5.9023795403788197</v>
          </cell>
          <cell r="K91">
            <v>4.6304920918019663</v>
          </cell>
        </row>
        <row r="93">
          <cell r="C93">
            <v>4.5467703483927764</v>
          </cell>
          <cell r="D93">
            <v>3.8888952100440441</v>
          </cell>
          <cell r="E93">
            <v>3.626061933019165</v>
          </cell>
          <cell r="F93">
            <v>2.7018092907052327</v>
          </cell>
          <cell r="G93">
            <v>3.8948956548552935</v>
          </cell>
          <cell r="H93">
            <v>3.5404909300678344</v>
          </cell>
          <cell r="I93">
            <v>3.7443003670788384</v>
          </cell>
          <cell r="J93">
            <v>8.8188913836935523</v>
          </cell>
          <cell r="K93">
            <v>6.2535993189866979</v>
          </cell>
        </row>
        <row r="94">
          <cell r="C94">
            <v>0.14137709537721982</v>
          </cell>
          <cell r="D94">
            <v>0.13877829587314519</v>
          </cell>
          <cell r="E94">
            <v>0.11995148449608582</v>
          </cell>
          <cell r="F94">
            <v>0.15019379487103734</v>
          </cell>
          <cell r="G94">
            <v>0.10443790898321194</v>
          </cell>
          <cell r="H94">
            <v>0.1296227517737146</v>
          </cell>
          <cell r="I94">
            <v>0.14157465854992601</v>
          </cell>
          <cell r="J94">
            <v>0.20216100801003783</v>
          </cell>
          <cell r="K94">
            <v>0.16793695937961978</v>
          </cell>
        </row>
        <row r="95">
          <cell r="C95">
            <v>32.160586806944686</v>
          </cell>
          <cell r="D95">
            <v>28.022358867980444</v>
          </cell>
          <cell r="E95">
            <v>30.229404398388152</v>
          </cell>
          <cell r="F95">
            <v>17.988820996400808</v>
          </cell>
          <cell r="G95">
            <v>37.293887753740698</v>
          </cell>
          <cell r="H95">
            <v>27.313807812447546</v>
          </cell>
          <cell r="I95">
            <v>26.447532386302161</v>
          </cell>
          <cell r="J95">
            <v>43.623107494871967</v>
          </cell>
          <cell r="K95">
            <v>37.2377786407964</v>
          </cell>
        </row>
      </sheetData>
      <sheetData sheetId="6">
        <row r="3">
          <cell r="C3" t="str">
            <v>N. Shares (in Crs.)</v>
          </cell>
        </row>
        <row r="4">
          <cell r="C4">
            <v>9.5547251000000006</v>
          </cell>
          <cell r="D4">
            <v>0.34210000000000002</v>
          </cell>
          <cell r="E4">
            <v>86412.933804400003</v>
          </cell>
        </row>
        <row r="5">
          <cell r="C5">
            <v>2.5960841000000001</v>
          </cell>
          <cell r="D5">
            <v>9.3000000000000013E-2</v>
          </cell>
          <cell r="E5">
            <v>23478.984600400003</v>
          </cell>
        </row>
        <row r="6">
          <cell r="C6">
            <v>1.0022378000000001</v>
          </cell>
          <cell r="D6">
            <v>3.5900000000000001E-2</v>
          </cell>
          <cell r="E6">
            <v>9064.2386631999998</v>
          </cell>
        </row>
        <row r="7">
          <cell r="C7">
            <v>0.99316599999999999</v>
          </cell>
          <cell r="D7">
            <v>3.56E-2</v>
          </cell>
          <cell r="E7">
            <v>8982.1933040000004</v>
          </cell>
        </row>
        <row r="8">
          <cell r="C8">
            <v>0.68793329999999997</v>
          </cell>
          <cell r="D8">
            <v>2.46E-2</v>
          </cell>
          <cell r="E8">
            <v>6221.6687652000001</v>
          </cell>
        </row>
        <row r="9">
          <cell r="C9">
            <v>0.6214942</v>
          </cell>
          <cell r="D9">
            <v>2.23E-2</v>
          </cell>
          <cell r="E9">
            <v>5620.7935447999998</v>
          </cell>
        </row>
        <row r="10">
          <cell r="C10">
            <v>0.44082880000000002</v>
          </cell>
          <cell r="D10">
            <v>1.5800000000000002E-2</v>
          </cell>
          <cell r="E10">
            <v>3986.8556672</v>
          </cell>
        </row>
        <row r="11">
          <cell r="C11">
            <v>0.36463620000000002</v>
          </cell>
          <cell r="D11">
            <v>1.3100000000000001E-2</v>
          </cell>
          <cell r="E11">
            <v>3297.7697928000002</v>
          </cell>
        </row>
        <row r="12">
          <cell r="C12">
            <v>0.36152689999999998</v>
          </cell>
          <cell r="D12">
            <v>1.29E-2</v>
          </cell>
          <cell r="E12">
            <v>3269.6492835999998</v>
          </cell>
        </row>
        <row r="13">
          <cell r="C13">
            <v>0.29887609999999998</v>
          </cell>
          <cell r="D13">
            <v>1.0700000000000001E-2</v>
          </cell>
          <cell r="E13">
            <v>2703.0354484</v>
          </cell>
        </row>
        <row r="15">
          <cell r="B15" t="str">
            <v>Bajaj Holdings And Investment Limited</v>
          </cell>
        </row>
        <row r="16">
          <cell r="B16" t="str">
            <v>Jamnalal Sons Pvt Limited</v>
          </cell>
        </row>
        <row r="17">
          <cell r="B17" t="str">
            <v>Lici Ulip-Growth Fund</v>
          </cell>
        </row>
        <row r="18">
          <cell r="B18" t="str">
            <v>Jaya Hind Industries Private Limited</v>
          </cell>
        </row>
        <row r="19">
          <cell r="B19" t="str">
            <v>Maharashtra Scooters Limited</v>
          </cell>
        </row>
        <row r="20">
          <cell r="B20" t="str">
            <v>Hdfc Mutual Fund - Hdfc Business Cycle Fund</v>
          </cell>
        </row>
        <row r="21">
          <cell r="B21" t="str">
            <v>Bajaj Sevashram Pvt Limited</v>
          </cell>
        </row>
        <row r="22">
          <cell r="B22" t="str">
            <v>Bachhraj And Company Pvt Limited</v>
          </cell>
        </row>
        <row r="23">
          <cell r="B23" t="str">
            <v>Yamuna Trust</v>
          </cell>
        </row>
        <row r="24">
          <cell r="B24" t="str">
            <v>Sbi Consumption Opportunities Fund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IST OF STOCKS"/>
      <sheetName val="Data Sheet"/>
      <sheetName val="Profit &amp; Loss"/>
      <sheetName val="Quarters"/>
      <sheetName val="Balance Sheet"/>
      <sheetName val="Cash Flow"/>
      <sheetName val="Cash Flow Data"/>
      <sheetName val="Historical FS"/>
      <sheetName val="Forcasting"/>
      <sheetName val="Ratio Analysis"/>
      <sheetName val="Common Size Statement"/>
      <sheetName val="Dupont Analysis"/>
      <sheetName val="Altman's Z score"/>
    </sheetNames>
    <sheetDataSet>
      <sheetData sheetId="0">
        <row r="3">
          <cell r="B3" t="str">
            <v>COMPANY_NAME</v>
          </cell>
        </row>
        <row r="5">
          <cell r="B5" t="str">
            <v>20 MICRONS LTD</v>
          </cell>
          <cell r="C5">
            <v>533022</v>
          </cell>
          <cell r="D5" t="str">
            <v>20MICRONS</v>
          </cell>
          <cell r="E5" t="str">
            <v>Mining</v>
          </cell>
        </row>
        <row r="6">
          <cell r="B6" t="str">
            <v>21ST CENTURY MANAGEMENT SERVICES LTD</v>
          </cell>
          <cell r="C6">
            <v>526921</v>
          </cell>
          <cell r="D6" t="str">
            <v>21STCENMGM</v>
          </cell>
          <cell r="E6" t="str">
            <v>Other Financial Services</v>
          </cell>
        </row>
        <row r="7">
          <cell r="B7" t="str">
            <v>3I INFOTECH LTD</v>
          </cell>
          <cell r="C7">
            <v>532628</v>
          </cell>
          <cell r="D7" t="str">
            <v>3IINFOTECH</v>
          </cell>
          <cell r="E7" t="str">
            <v>IT Consulting &amp; Software</v>
          </cell>
        </row>
        <row r="8">
          <cell r="B8" t="str">
            <v>3M (INDIA) LTD</v>
          </cell>
          <cell r="C8">
            <v>523395</v>
          </cell>
          <cell r="D8" t="str">
            <v>3M(INDIA)</v>
          </cell>
          <cell r="E8" t="str">
            <v>Diversified</v>
          </cell>
        </row>
        <row r="9">
          <cell r="B9" t="str">
            <v>3M INDIA LTD</v>
          </cell>
          <cell r="C9">
            <v>523395</v>
          </cell>
          <cell r="D9" t="str">
            <v>3MINDIA</v>
          </cell>
          <cell r="E9" t="str">
            <v>Diversified</v>
          </cell>
        </row>
        <row r="10">
          <cell r="B10" t="str">
            <v>3P LAND HOLDINGS LTD</v>
          </cell>
          <cell r="C10">
            <v>516092</v>
          </cell>
          <cell r="D10" t="str">
            <v>3PLAND</v>
          </cell>
          <cell r="E10" t="str">
            <v>Paper &amp; Paper Products</v>
          </cell>
        </row>
        <row r="11">
          <cell r="B11" t="str">
            <v>5PAISA CAPITAL LTD</v>
          </cell>
          <cell r="C11">
            <v>540776</v>
          </cell>
          <cell r="D11" t="str">
            <v>5PAISA</v>
          </cell>
          <cell r="E11" t="str">
            <v>Other Financial Services</v>
          </cell>
        </row>
        <row r="12">
          <cell r="B12" t="str">
            <v>63 MOONS TECHNOLOGIES LTD</v>
          </cell>
          <cell r="C12">
            <v>526881</v>
          </cell>
          <cell r="D12" t="str">
            <v>63MOONS</v>
          </cell>
          <cell r="E12" t="str">
            <v>IT Consulting &amp; Software</v>
          </cell>
        </row>
        <row r="13">
          <cell r="B13" t="str">
            <v>7NR RETAIL LTD</v>
          </cell>
          <cell r="C13">
            <v>540615</v>
          </cell>
          <cell r="D13" t="str">
            <v>Not Listed</v>
          </cell>
          <cell r="E13" t="str">
            <v>Specialty Retail</v>
          </cell>
        </row>
        <row r="14">
          <cell r="B14" t="str">
            <v>7SEAS ENTERTAINMENT LTD</v>
          </cell>
          <cell r="C14">
            <v>540874</v>
          </cell>
          <cell r="D14" t="str">
            <v>Not Listed</v>
          </cell>
          <cell r="E14" t="str">
            <v>Movies &amp; Entertainment</v>
          </cell>
        </row>
        <row r="15">
          <cell r="B15" t="str">
            <v>8K MILES SOFTWARE SERVICES LTD</v>
          </cell>
          <cell r="C15">
            <v>512161</v>
          </cell>
          <cell r="D15" t="str">
            <v>8KMILES</v>
          </cell>
          <cell r="E15" t="str">
            <v>Internet Software &amp; Services</v>
          </cell>
        </row>
        <row r="16">
          <cell r="B16" t="str">
            <v>A &amp; M FEBCON LTD</v>
          </cell>
          <cell r="C16">
            <v>540697</v>
          </cell>
          <cell r="D16" t="str">
            <v>Not Listed</v>
          </cell>
          <cell r="E16" t="str">
            <v>Industrial Machinery</v>
          </cell>
        </row>
        <row r="17">
          <cell r="B17" t="str">
            <v>A AND M JUMBO BAGS LTD</v>
          </cell>
          <cell r="C17" t="str">
            <v>Not Listed</v>
          </cell>
          <cell r="D17" t="str">
            <v>AMJUMBO</v>
          </cell>
          <cell r="E17" t="str">
            <v>SME</v>
          </cell>
        </row>
        <row r="18">
          <cell r="B18" t="str">
            <v>A INFRASTRUCTURE LTD</v>
          </cell>
          <cell r="C18">
            <v>539620</v>
          </cell>
          <cell r="D18" t="str">
            <v>Not Listed</v>
          </cell>
          <cell r="E18" t="str">
            <v>Cement &amp; Cement Products</v>
          </cell>
        </row>
        <row r="19">
          <cell r="B19" t="str">
            <v>A K  SPINTEX LTD</v>
          </cell>
          <cell r="C19">
            <v>539300</v>
          </cell>
          <cell r="D19" t="str">
            <v>Not Listed</v>
          </cell>
          <cell r="E19" t="str">
            <v>Textiles</v>
          </cell>
        </row>
        <row r="20">
          <cell r="B20" t="str">
            <v>A K CAPITAL SERVICES LTD</v>
          </cell>
          <cell r="C20">
            <v>530499</v>
          </cell>
          <cell r="D20" t="str">
            <v>Not Listed</v>
          </cell>
          <cell r="E20" t="str">
            <v>Finance (including NBFCs)</v>
          </cell>
        </row>
        <row r="21">
          <cell r="B21" t="str">
            <v>A.F. Enterprises Ltd</v>
          </cell>
          <cell r="C21">
            <v>538351</v>
          </cell>
          <cell r="D21" t="str">
            <v>AFEL</v>
          </cell>
          <cell r="E21" t="str">
            <v>Investment Companies</v>
          </cell>
        </row>
        <row r="22">
          <cell r="B22" t="str">
            <v>A-1 ACID LTD</v>
          </cell>
          <cell r="C22">
            <v>542012</v>
          </cell>
          <cell r="D22" t="str">
            <v>Not Listed</v>
          </cell>
          <cell r="E22" t="str">
            <v>Comm.Trading  &amp; Distribution</v>
          </cell>
        </row>
        <row r="23">
          <cell r="B23" t="str">
            <v>A2Z INFRA ENGINEERING LTD</v>
          </cell>
          <cell r="C23">
            <v>533292</v>
          </cell>
          <cell r="D23" t="str">
            <v>A2ZINFRA</v>
          </cell>
          <cell r="E23" t="str">
            <v>Utilities:Non-Elec.</v>
          </cell>
        </row>
        <row r="24">
          <cell r="B24" t="str">
            <v>AADHAAR VENTURES (INDIA) LTD</v>
          </cell>
          <cell r="C24">
            <v>531611</v>
          </cell>
          <cell r="D24" t="str">
            <v>Not Listed</v>
          </cell>
          <cell r="E24" t="str">
            <v>Finance (including NBFCs)</v>
          </cell>
        </row>
        <row r="25">
          <cell r="B25" t="str">
            <v>AADHAAR VENTURES INDIA LTD</v>
          </cell>
          <cell r="C25">
            <v>531611</v>
          </cell>
          <cell r="D25" t="str">
            <v>Not Listed</v>
          </cell>
          <cell r="E25" t="str">
            <v>Finance (including NBFCs)</v>
          </cell>
        </row>
        <row r="26">
          <cell r="B26" t="str">
            <v>AAKASH EXPLORATION SERVICES LTD</v>
          </cell>
          <cell r="C26" t="str">
            <v>Not Listed</v>
          </cell>
          <cell r="D26" t="str">
            <v>AAKASH</v>
          </cell>
          <cell r="E26" t="str">
            <v>SME</v>
          </cell>
        </row>
        <row r="27">
          <cell r="B27" t="str">
            <v>AANANDA LAKSHMI SPINNING MILLS LTD</v>
          </cell>
          <cell r="C27">
            <v>539096</v>
          </cell>
          <cell r="D27" t="str">
            <v>Not Listed</v>
          </cell>
          <cell r="E27" t="str">
            <v>Textiles</v>
          </cell>
        </row>
        <row r="28">
          <cell r="B28" t="str">
            <v>AANCHAL ISPAT LTD</v>
          </cell>
          <cell r="C28">
            <v>538812</v>
          </cell>
          <cell r="D28" t="str">
            <v>Not Listed</v>
          </cell>
          <cell r="E28" t="str">
            <v>Iron &amp; Steel/Interm.Products</v>
          </cell>
        </row>
        <row r="29">
          <cell r="B29" t="str">
            <v>AAR COMMERCIAL COMPANY LTD</v>
          </cell>
          <cell r="C29">
            <v>539632</v>
          </cell>
          <cell r="D29" t="str">
            <v>Not Listed</v>
          </cell>
          <cell r="E29" t="str">
            <v>Distributors</v>
          </cell>
        </row>
        <row r="30">
          <cell r="B30" t="str">
            <v>Aar Shyam India Investment Company Ltd</v>
          </cell>
          <cell r="C30">
            <v>542377</v>
          </cell>
          <cell r="D30" t="str">
            <v>AARSHYAM</v>
          </cell>
          <cell r="E30" t="str">
            <v>Finance (including NBFCs)</v>
          </cell>
        </row>
        <row r="31">
          <cell r="B31" t="str">
            <v>AAREY DRUGS &amp; PHARMACEUTICALS LTD</v>
          </cell>
          <cell r="C31">
            <v>524412</v>
          </cell>
          <cell r="D31" t="str">
            <v>Not Listed</v>
          </cell>
          <cell r="E31" t="str">
            <v>Pharmaceuticals</v>
          </cell>
        </row>
        <row r="32">
          <cell r="B32" t="str">
            <v>AARON INDUSTRIES LTD</v>
          </cell>
          <cell r="C32" t="str">
            <v>Not Listed</v>
          </cell>
          <cell r="D32" t="str">
            <v>AARON</v>
          </cell>
          <cell r="E32" t="str">
            <v>SME</v>
          </cell>
        </row>
        <row r="33">
          <cell r="B33" t="str">
            <v>Aartech Solonics Ltd</v>
          </cell>
          <cell r="C33">
            <v>542580</v>
          </cell>
          <cell r="D33" t="str">
            <v>AARTECH</v>
          </cell>
          <cell r="E33" t="str">
            <v>Heavy Electrical Equipment</v>
          </cell>
        </row>
        <row r="34">
          <cell r="B34" t="str">
            <v>AARTI DRUGS LTD</v>
          </cell>
          <cell r="C34">
            <v>524348</v>
          </cell>
          <cell r="D34" t="str">
            <v>AARTIDRUGS</v>
          </cell>
          <cell r="E34" t="str">
            <v>Pharmaceuticals</v>
          </cell>
        </row>
        <row r="35">
          <cell r="B35" t="str">
            <v>AARTI INDUSTRIES LTD</v>
          </cell>
          <cell r="C35">
            <v>524208</v>
          </cell>
          <cell r="D35" t="str">
            <v>AARTIIND</v>
          </cell>
          <cell r="E35" t="str">
            <v>Commodity Chemicals</v>
          </cell>
        </row>
        <row r="36">
          <cell r="B36" t="str">
            <v>AARV INFRATEL LTD</v>
          </cell>
          <cell r="C36">
            <v>526488</v>
          </cell>
          <cell r="D36" t="str">
            <v>Not Listed</v>
          </cell>
          <cell r="E36" t="str">
            <v>Textiles</v>
          </cell>
        </row>
        <row r="37">
          <cell r="B37" t="str">
            <v>AARVEE DENIMS &amp; EXPORTS LTD</v>
          </cell>
          <cell r="C37">
            <v>514274</v>
          </cell>
          <cell r="D37" t="str">
            <v>AARVEEDEN</v>
          </cell>
          <cell r="E37" t="str">
            <v>Textiles</v>
          </cell>
        </row>
        <row r="38">
          <cell r="B38" t="str">
            <v>AARVI ENCON LTD</v>
          </cell>
          <cell r="C38" t="str">
            <v>Not Listed</v>
          </cell>
          <cell r="D38" t="str">
            <v>AARVI</v>
          </cell>
          <cell r="E38" t="str">
            <v>SME</v>
          </cell>
        </row>
        <row r="39">
          <cell r="B39" t="str">
            <v>AASHEE INFOTECH LTD</v>
          </cell>
          <cell r="C39">
            <v>519319</v>
          </cell>
          <cell r="D39" t="str">
            <v>Not Listed</v>
          </cell>
          <cell r="E39" t="str">
            <v>Internet Software &amp; Services</v>
          </cell>
        </row>
        <row r="40">
          <cell r="B40" t="str">
            <v>AASWA TRADING &amp; EXPORTS LTD</v>
          </cell>
          <cell r="C40">
            <v>512038</v>
          </cell>
          <cell r="D40" t="str">
            <v>Not Listed</v>
          </cell>
          <cell r="E40" t="str">
            <v>Comm.Trading  &amp; Distribution</v>
          </cell>
        </row>
        <row r="41">
          <cell r="B41" t="str">
            <v>AAVAS FINANCIERS LTD</v>
          </cell>
          <cell r="C41">
            <v>541988</v>
          </cell>
          <cell r="D41" t="str">
            <v>AAVAS</v>
          </cell>
          <cell r="E41" t="str">
            <v xml:space="preserve">Housing Finance </v>
          </cell>
        </row>
        <row r="42">
          <cell r="B42" t="str">
            <v>AAYUSH FOOD AND HERBS LTD</v>
          </cell>
          <cell r="C42">
            <v>539528</v>
          </cell>
          <cell r="D42" t="str">
            <v>Not Listed</v>
          </cell>
          <cell r="E42" t="str">
            <v>Packaged Foods</v>
          </cell>
        </row>
        <row r="43">
          <cell r="B43" t="str">
            <v>ABAN OFFSHORE LTD</v>
          </cell>
          <cell r="C43">
            <v>523204</v>
          </cell>
          <cell r="D43" t="str">
            <v>ABAN</v>
          </cell>
          <cell r="E43" t="str">
            <v>Exploration &amp; Production</v>
          </cell>
        </row>
        <row r="44">
          <cell r="B44" t="str">
            <v>ABANS ENTERPRISES LTD</v>
          </cell>
          <cell r="C44">
            <v>512165</v>
          </cell>
          <cell r="D44" t="str">
            <v>Not Listed</v>
          </cell>
          <cell r="E44" t="str">
            <v>Comm.Trading  &amp; Distribution</v>
          </cell>
        </row>
        <row r="45">
          <cell r="B45" t="str">
            <v>ABB INDIA LTD</v>
          </cell>
          <cell r="C45">
            <v>500002</v>
          </cell>
          <cell r="D45" t="str">
            <v>ABB</v>
          </cell>
          <cell r="E45" t="str">
            <v>Heavy Electrical Equipment</v>
          </cell>
        </row>
        <row r="46">
          <cell r="B46" t="str">
            <v>ABBOTT (INDIA) LTD</v>
          </cell>
          <cell r="C46">
            <v>500488</v>
          </cell>
          <cell r="D46" t="str">
            <v>ABBOT(INDIA)</v>
          </cell>
          <cell r="E46" t="str">
            <v>Pharmaceuticals</v>
          </cell>
        </row>
        <row r="47">
          <cell r="B47" t="str">
            <v>ABBOTT INDIA LTD</v>
          </cell>
          <cell r="C47">
            <v>500488</v>
          </cell>
          <cell r="D47" t="str">
            <v>ABBOTINDIA</v>
          </cell>
          <cell r="E47" t="str">
            <v>Pharmaceuticals</v>
          </cell>
        </row>
        <row r="48">
          <cell r="B48" t="str">
            <v>ABC (INDIA) LTD</v>
          </cell>
          <cell r="C48">
            <v>520123</v>
          </cell>
          <cell r="D48" t="str">
            <v>Not Listed</v>
          </cell>
          <cell r="E48" t="str">
            <v>Surface Transportation</v>
          </cell>
        </row>
        <row r="49">
          <cell r="B49" t="str">
            <v>ABC GAS INTERNATIONAL LTD</v>
          </cell>
          <cell r="C49">
            <v>513119</v>
          </cell>
          <cell r="D49" t="str">
            <v>Not Listed</v>
          </cell>
          <cell r="E49" t="str">
            <v>Copper</v>
          </cell>
        </row>
        <row r="50">
          <cell r="B50" t="str">
            <v>ABC INDIA LTD</v>
          </cell>
          <cell r="C50">
            <v>520123</v>
          </cell>
          <cell r="D50" t="str">
            <v>Not Listed</v>
          </cell>
          <cell r="E50" t="str">
            <v>Surface Transportation</v>
          </cell>
        </row>
        <row r="51">
          <cell r="B51" t="str">
            <v>ABG SHIPYARD LTD</v>
          </cell>
          <cell r="C51">
            <v>532682</v>
          </cell>
          <cell r="D51" t="str">
            <v>ABGSHIP</v>
          </cell>
          <cell r="E51" t="str">
            <v>Commercial Vehicles</v>
          </cell>
        </row>
        <row r="52">
          <cell r="B52" t="str">
            <v>ABHIJIT TRADING COMPANY LTD</v>
          </cell>
          <cell r="C52">
            <v>539560</v>
          </cell>
          <cell r="D52" t="str">
            <v>Not Listed</v>
          </cell>
          <cell r="E52" t="str">
            <v>Other Food Products</v>
          </cell>
        </row>
        <row r="53">
          <cell r="B53" t="str">
            <v>ABHINAV CAPITAL SERVICES LTD</v>
          </cell>
          <cell r="C53">
            <v>532057</v>
          </cell>
          <cell r="D53" t="str">
            <v>Not Listed</v>
          </cell>
          <cell r="E53" t="str">
            <v>Finance (including NBFCs)</v>
          </cell>
        </row>
        <row r="54">
          <cell r="B54" t="str">
            <v>ABHINAV LEASING &amp; FINANCE LTD</v>
          </cell>
          <cell r="C54">
            <v>538952</v>
          </cell>
          <cell r="D54" t="str">
            <v>Not Listed</v>
          </cell>
          <cell r="E54" t="str">
            <v>Finance (including NBFCs)</v>
          </cell>
        </row>
        <row r="55">
          <cell r="B55" t="str">
            <v>ABHISHEK FINLEASE LTD</v>
          </cell>
          <cell r="C55">
            <v>538935</v>
          </cell>
          <cell r="D55" t="str">
            <v>Not Listed</v>
          </cell>
          <cell r="E55" t="str">
            <v>Consulting Services</v>
          </cell>
        </row>
        <row r="56">
          <cell r="B56" t="str">
            <v>ABHISHEK INFRAVENTURES LTD</v>
          </cell>
          <cell r="C56">
            <v>539544</v>
          </cell>
          <cell r="D56" t="str">
            <v>Not Listed</v>
          </cell>
          <cell r="E56" t="str">
            <v>Realty</v>
          </cell>
        </row>
        <row r="57">
          <cell r="B57" t="str">
            <v>ABIRAMI FINANCIAL SERVICES (INDIA) LTD</v>
          </cell>
          <cell r="C57">
            <v>511756</v>
          </cell>
          <cell r="D57" t="str">
            <v>Not Listed</v>
          </cell>
          <cell r="E57" t="str">
            <v>Finance (including NBFCs)</v>
          </cell>
        </row>
        <row r="58">
          <cell r="B58" t="str">
            <v>ABIRAMI FINANCIAL SERVICES INDIA LTD</v>
          </cell>
          <cell r="C58">
            <v>511756</v>
          </cell>
          <cell r="D58" t="str">
            <v>Not Listed</v>
          </cell>
          <cell r="E58" t="str">
            <v>Finance (including NBFCs)</v>
          </cell>
        </row>
        <row r="59">
          <cell r="B59" t="str">
            <v>ABM INTERNATIONAL LTD</v>
          </cell>
          <cell r="C59" t="str">
            <v>Not Listed</v>
          </cell>
          <cell r="D59" t="str">
            <v>ABMINTLTD</v>
          </cell>
          <cell r="E59" t="str">
            <v>Others</v>
          </cell>
        </row>
        <row r="60">
          <cell r="B60" t="str">
            <v>ABM KNOWLEDGEWARE LTD</v>
          </cell>
          <cell r="C60">
            <v>531161</v>
          </cell>
          <cell r="D60" t="str">
            <v>Not Listed</v>
          </cell>
          <cell r="E60" t="str">
            <v>IT Software Products</v>
          </cell>
        </row>
        <row r="61">
          <cell r="B61" t="str">
            <v>ACC LTD</v>
          </cell>
          <cell r="C61">
            <v>500410</v>
          </cell>
          <cell r="D61" t="str">
            <v>ACC</v>
          </cell>
          <cell r="E61" t="str">
            <v>Cement &amp; Cement Products</v>
          </cell>
        </row>
        <row r="62">
          <cell r="B62" t="str">
            <v>ACCEL LTD</v>
          </cell>
          <cell r="C62">
            <v>517494</v>
          </cell>
          <cell r="D62" t="str">
            <v>Not Listed</v>
          </cell>
          <cell r="E62" t="str">
            <v>Storage Media &amp; Peripherals</v>
          </cell>
        </row>
        <row r="63">
          <cell r="B63" t="str">
            <v>ACCELYA KALE SOLUTIONS LTD</v>
          </cell>
          <cell r="C63">
            <v>532268</v>
          </cell>
          <cell r="D63" t="str">
            <v>ACCELYA</v>
          </cell>
          <cell r="E63" t="str">
            <v>IT Consulting &amp; Software</v>
          </cell>
        </row>
        <row r="64">
          <cell r="B64" t="str">
            <v>ACCORD SYNERGY LTD</v>
          </cell>
          <cell r="C64" t="str">
            <v>Not Listed</v>
          </cell>
          <cell r="D64" t="str">
            <v>ACCORD</v>
          </cell>
          <cell r="E64" t="str">
            <v>SME</v>
          </cell>
        </row>
        <row r="65">
          <cell r="B65" t="str">
            <v>ACCURACY SHIPPING LTD</v>
          </cell>
          <cell r="C65" t="str">
            <v>Not Listed</v>
          </cell>
          <cell r="D65" t="str">
            <v>ACCURACY</v>
          </cell>
          <cell r="E65" t="str">
            <v>SME</v>
          </cell>
        </row>
        <row r="66">
          <cell r="B66" t="str">
            <v>ACE EDUTREND LTD</v>
          </cell>
          <cell r="C66">
            <v>530093</v>
          </cell>
          <cell r="D66" t="str">
            <v>Not Listed</v>
          </cell>
          <cell r="E66" t="str">
            <v>Education</v>
          </cell>
        </row>
        <row r="67">
          <cell r="B67" t="str">
            <v>ACE INTEGRATED SOLUTIONS LTD</v>
          </cell>
          <cell r="C67" t="str">
            <v>Not Listed</v>
          </cell>
          <cell r="D67" t="str">
            <v>ACEINTEG</v>
          </cell>
          <cell r="E67" t="str">
            <v>SME</v>
          </cell>
        </row>
        <row r="68">
          <cell r="B68" t="str">
            <v>ACE MEN ENGG WORKS LTD</v>
          </cell>
          <cell r="C68">
            <v>539661</v>
          </cell>
          <cell r="D68" t="str">
            <v>Not Listed</v>
          </cell>
          <cell r="E68" t="str">
            <v>Distributors</v>
          </cell>
        </row>
        <row r="69">
          <cell r="B69" t="str">
            <v>ACE SOFTWARE EXPORTS LTD</v>
          </cell>
          <cell r="C69">
            <v>531525</v>
          </cell>
          <cell r="D69" t="str">
            <v>Not Listed</v>
          </cell>
          <cell r="E69" t="str">
            <v>IT Software Products</v>
          </cell>
        </row>
        <row r="70">
          <cell r="B70" t="str">
            <v>Achal Investments Ltd</v>
          </cell>
          <cell r="C70">
            <v>538570</v>
          </cell>
          <cell r="D70" t="str">
            <v>ACHAL</v>
          </cell>
          <cell r="E70" t="str">
            <v>Other Financial Services</v>
          </cell>
        </row>
        <row r="71">
          <cell r="B71" t="str">
            <v>ACI INFOCOM LTD</v>
          </cell>
          <cell r="C71">
            <v>517356</v>
          </cell>
          <cell r="D71" t="str">
            <v>Not Listed</v>
          </cell>
          <cell r="E71" t="str">
            <v>Storage Media &amp; Peripherals</v>
          </cell>
        </row>
        <row r="72">
          <cell r="B72" t="str">
            <v>ACKNIT INDUSTRIES LTD</v>
          </cell>
          <cell r="C72">
            <v>530043</v>
          </cell>
          <cell r="D72" t="str">
            <v>Not Listed</v>
          </cell>
          <cell r="E72" t="str">
            <v>Other Apparels &amp; Accessories</v>
          </cell>
        </row>
        <row r="73">
          <cell r="B73" t="str">
            <v>ACME RESOURCES LTD</v>
          </cell>
          <cell r="C73">
            <v>539391</v>
          </cell>
          <cell r="D73" t="str">
            <v>Not Listed</v>
          </cell>
          <cell r="E73" t="str">
            <v>Finance (including NBFCs)</v>
          </cell>
        </row>
        <row r="74">
          <cell r="B74" t="str">
            <v>ACROW INDIA LTD.</v>
          </cell>
          <cell r="C74">
            <v>513149</v>
          </cell>
          <cell r="D74" t="str">
            <v>ACROW</v>
          </cell>
          <cell r="E74" t="str">
            <v>Iron &amp;amp; Steel Products</v>
          </cell>
        </row>
        <row r="75">
          <cell r="B75" t="str">
            <v>ACRYSIL LTD</v>
          </cell>
          <cell r="C75">
            <v>524091</v>
          </cell>
          <cell r="D75" t="str">
            <v>Not Listed</v>
          </cell>
          <cell r="E75" t="str">
            <v>Plastic Products</v>
          </cell>
        </row>
        <row r="76">
          <cell r="B76" t="str">
            <v>ACTION CONSTRUCTION EQUIPMENT LTD</v>
          </cell>
          <cell r="C76">
            <v>532762</v>
          </cell>
          <cell r="D76" t="str">
            <v>ACE</v>
          </cell>
          <cell r="E76" t="str">
            <v>Transport Related Services</v>
          </cell>
        </row>
        <row r="77">
          <cell r="B77" t="str">
            <v>ACTION FINANCIAL SERVICES (INDIA) LTD</v>
          </cell>
          <cell r="C77">
            <v>511706</v>
          </cell>
          <cell r="D77" t="str">
            <v>Not Listed</v>
          </cell>
          <cell r="E77" t="str">
            <v>Other Financial Services</v>
          </cell>
        </row>
        <row r="78">
          <cell r="B78" t="str">
            <v>ACTION FINANCIAL SERVICES INDIA LTD</v>
          </cell>
          <cell r="C78">
            <v>511706</v>
          </cell>
          <cell r="D78" t="str">
            <v>Not Listed</v>
          </cell>
          <cell r="E78" t="str">
            <v>Other Financial Services</v>
          </cell>
        </row>
        <row r="79">
          <cell r="B79" t="str">
            <v>ACTIVE CLOTHING CO LTD</v>
          </cell>
          <cell r="C79">
            <v>541144</v>
          </cell>
          <cell r="D79" t="str">
            <v>Not Listed</v>
          </cell>
          <cell r="E79" t="str">
            <v>Other Apparels &amp; Accessories</v>
          </cell>
        </row>
        <row r="80">
          <cell r="B80" t="str">
            <v>ADANI ENTERPRISES LTD</v>
          </cell>
          <cell r="C80">
            <v>512599</v>
          </cell>
          <cell r="D80" t="str">
            <v>ADANIENT</v>
          </cell>
          <cell r="E80" t="str">
            <v>Comm.Trading  &amp; Distribution</v>
          </cell>
        </row>
        <row r="81">
          <cell r="B81" t="str">
            <v>ADANI GAS LTD</v>
          </cell>
          <cell r="C81">
            <v>542066</v>
          </cell>
          <cell r="D81" t="str">
            <v>ADANIGAS</v>
          </cell>
          <cell r="E81" t="str">
            <v>Integrated Oil &amp; Gas</v>
          </cell>
        </row>
        <row r="82">
          <cell r="B82" t="str">
            <v>ADANI GREEN ENERGY LTD</v>
          </cell>
          <cell r="C82">
            <v>541450</v>
          </cell>
          <cell r="D82" t="str">
            <v>ADANIGREEN</v>
          </cell>
          <cell r="E82" t="str">
            <v>Heavy Electrical Equipment</v>
          </cell>
        </row>
        <row r="83">
          <cell r="B83" t="str">
            <v>ADANI PORTS AND SPECIAL ECONOMIC ZONE LTD</v>
          </cell>
          <cell r="C83">
            <v>532921</v>
          </cell>
          <cell r="D83" t="str">
            <v>ADANIPORTS</v>
          </cell>
          <cell r="E83" t="str">
            <v>Marine Port &amp; Services</v>
          </cell>
        </row>
        <row r="84">
          <cell r="B84" t="str">
            <v>ADANI POWER LTD</v>
          </cell>
          <cell r="C84">
            <v>533096</v>
          </cell>
          <cell r="D84" t="str">
            <v>ADANIPOWER</v>
          </cell>
          <cell r="E84" t="str">
            <v>Electric Utilities</v>
          </cell>
        </row>
        <row r="85">
          <cell r="B85" t="str">
            <v>ADANI TRANSMISSION LTD</v>
          </cell>
          <cell r="C85">
            <v>539254</v>
          </cell>
          <cell r="D85" t="str">
            <v>ADANITRANS</v>
          </cell>
          <cell r="E85" t="str">
            <v>Electric Utilities</v>
          </cell>
        </row>
        <row r="86">
          <cell r="B86" t="str">
            <v>ADARSH MERCANTILE LTD</v>
          </cell>
          <cell r="C86">
            <v>538563</v>
          </cell>
          <cell r="D86" t="str">
            <v>Not Listed</v>
          </cell>
          <cell r="E86" t="str">
            <v>Comm.Trading  &amp; Distribution</v>
          </cell>
        </row>
        <row r="87">
          <cell r="B87" t="str">
            <v>ADARSH PLANT PROTECT LTD</v>
          </cell>
          <cell r="C87">
            <v>526711</v>
          </cell>
          <cell r="D87" t="str">
            <v>Not Listed</v>
          </cell>
          <cell r="E87" t="str">
            <v>Agrochemicals</v>
          </cell>
        </row>
        <row r="88">
          <cell r="B88" t="str">
            <v>ADC INDIA COMMUNICATIONS LTD</v>
          </cell>
          <cell r="C88">
            <v>523411</v>
          </cell>
          <cell r="D88" t="str">
            <v>Not Listed</v>
          </cell>
          <cell r="E88" t="str">
            <v>Telecom Equipment</v>
          </cell>
        </row>
        <row r="89">
          <cell r="B89" t="str">
            <v>ADCON CAPITAL SERVICES LTD</v>
          </cell>
          <cell r="C89">
            <v>539506</v>
          </cell>
          <cell r="D89" t="str">
            <v>Not Listed</v>
          </cell>
          <cell r="E89" t="str">
            <v>Finance (including NBFCs)</v>
          </cell>
        </row>
        <row r="90">
          <cell r="B90" t="str">
            <v>ADDI INDUSTRIES LTD</v>
          </cell>
          <cell r="C90">
            <v>507852</v>
          </cell>
          <cell r="D90" t="str">
            <v>Not Listed</v>
          </cell>
          <cell r="E90" t="str">
            <v>Other Apparels &amp; Accessories</v>
          </cell>
        </row>
        <row r="91">
          <cell r="B91" t="str">
            <v>ADD-SHOP PROMOTIONS LTD</v>
          </cell>
          <cell r="C91">
            <v>541865</v>
          </cell>
          <cell r="D91" t="str">
            <v>Not Listed</v>
          </cell>
          <cell r="E91" t="str">
            <v>Distributors</v>
          </cell>
        </row>
        <row r="92">
          <cell r="B92" t="str">
            <v>ADF FOODS LTD</v>
          </cell>
          <cell r="C92">
            <v>519183</v>
          </cell>
          <cell r="D92" t="str">
            <v>ADFFOODS</v>
          </cell>
          <cell r="E92" t="str">
            <v>Packaged Foods</v>
          </cell>
        </row>
        <row r="93">
          <cell r="B93" t="str">
            <v>ADHARSHILA CAPITAL SERVICES LTD</v>
          </cell>
          <cell r="C93">
            <v>539493</v>
          </cell>
          <cell r="D93" t="str">
            <v>Not Listed</v>
          </cell>
          <cell r="E93" t="str">
            <v>Finance (including NBFCs)</v>
          </cell>
        </row>
        <row r="94">
          <cell r="B94" t="str">
            <v>ADHBHUT INFRASTRUCTURE LTD</v>
          </cell>
          <cell r="C94">
            <v>539189</v>
          </cell>
          <cell r="D94" t="str">
            <v>Not Listed</v>
          </cell>
          <cell r="E94" t="str">
            <v>Realty</v>
          </cell>
        </row>
        <row r="95">
          <cell r="B95" t="str">
            <v>ADHIRAJ DISTRIBUTORS LTD</v>
          </cell>
          <cell r="C95">
            <v>780018</v>
          </cell>
          <cell r="D95" t="str">
            <v>Not Listed</v>
          </cell>
          <cell r="E95" t="str">
            <v>Others</v>
          </cell>
        </row>
        <row r="96">
          <cell r="B96" t="str">
            <v>ADHUNIK INDUSTRIES LTD</v>
          </cell>
          <cell r="C96">
            <v>538365</v>
          </cell>
          <cell r="D96" t="str">
            <v>ADHUNIKIND</v>
          </cell>
          <cell r="E96" t="str">
            <v>Iron &amp; Steel/Interm.Products</v>
          </cell>
        </row>
        <row r="97">
          <cell r="B97" t="str">
            <v>ADHUNIK METALIKS LTD</v>
          </cell>
          <cell r="C97">
            <v>532727</v>
          </cell>
          <cell r="D97" t="str">
            <v>ADHUNIK</v>
          </cell>
          <cell r="E97" t="str">
            <v>Iron &amp; Steel/Interm.Products</v>
          </cell>
        </row>
        <row r="98">
          <cell r="B98" t="str">
            <v>ADI RASAYAN LTD</v>
          </cell>
          <cell r="C98">
            <v>531592</v>
          </cell>
          <cell r="D98" t="str">
            <v>Not Listed</v>
          </cell>
          <cell r="E98" t="str">
            <v>Specialty Chemicals</v>
          </cell>
        </row>
        <row r="99">
          <cell r="B99" t="str">
            <v>ADINATH EXIM RESOURCES LTD</v>
          </cell>
          <cell r="C99">
            <v>532056</v>
          </cell>
          <cell r="D99" t="str">
            <v>Not Listed</v>
          </cell>
          <cell r="E99" t="str">
            <v>Investment Companies</v>
          </cell>
        </row>
        <row r="100">
          <cell r="B100" t="str">
            <v>ADINATH TEXTILES LTD</v>
          </cell>
          <cell r="C100">
            <v>514113</v>
          </cell>
          <cell r="D100" t="str">
            <v>Not Listed</v>
          </cell>
          <cell r="E100" t="str">
            <v>Textiles</v>
          </cell>
        </row>
        <row r="101">
          <cell r="B101" t="str">
            <v>ADITRI INDUSTRIES LTD</v>
          </cell>
          <cell r="C101">
            <v>534707</v>
          </cell>
          <cell r="D101" t="str">
            <v>Not Listed</v>
          </cell>
          <cell r="E101" t="str">
            <v>Other Apparels &amp; Accessories</v>
          </cell>
        </row>
        <row r="102">
          <cell r="B102" t="str">
            <v>ADITYA BIRLA CAPITAL LTD</v>
          </cell>
          <cell r="C102">
            <v>540691</v>
          </cell>
          <cell r="D102" t="str">
            <v>ABCAPITAL</v>
          </cell>
          <cell r="E102" t="str">
            <v>Holding Companies</v>
          </cell>
        </row>
        <row r="103">
          <cell r="B103" t="str">
            <v>ADITYA BIRLA FASHION AND RETAIL LTD</v>
          </cell>
          <cell r="C103">
            <v>535755</v>
          </cell>
          <cell r="D103" t="str">
            <v>ABFRL</v>
          </cell>
          <cell r="E103" t="str">
            <v>Department Stores</v>
          </cell>
        </row>
        <row r="104">
          <cell r="B104" t="str">
            <v>ADITYA BIRLA MONEY LTD</v>
          </cell>
          <cell r="C104">
            <v>532974</v>
          </cell>
          <cell r="D104" t="str">
            <v>BIRLAMONEY</v>
          </cell>
          <cell r="E104" t="str">
            <v>Other Financial Services</v>
          </cell>
        </row>
        <row r="105">
          <cell r="B105" t="str">
            <v>ADITYA CONSUMER MARKETING LTD</v>
          </cell>
          <cell r="C105">
            <v>540146</v>
          </cell>
          <cell r="D105" t="str">
            <v>Not Listed</v>
          </cell>
          <cell r="E105" t="str">
            <v>Distributors</v>
          </cell>
        </row>
        <row r="106">
          <cell r="B106" t="str">
            <v>ADITYA ISPAT LTD</v>
          </cell>
          <cell r="C106">
            <v>513513</v>
          </cell>
          <cell r="D106" t="str">
            <v>Not Listed</v>
          </cell>
          <cell r="E106" t="str">
            <v>Iron &amp; Steel/Interm.Products</v>
          </cell>
        </row>
        <row r="107">
          <cell r="B107" t="str">
            <v>ADITYA SPINNERS LTD</v>
          </cell>
          <cell r="C107">
            <v>521141</v>
          </cell>
          <cell r="D107" t="str">
            <v>Not Listed</v>
          </cell>
          <cell r="E107" t="str">
            <v>Textiles</v>
          </cell>
        </row>
        <row r="108">
          <cell r="B108" t="str">
            <v>ADITYA VISION LTD</v>
          </cell>
          <cell r="C108">
            <v>540205</v>
          </cell>
          <cell r="D108" t="str">
            <v>Not Listed</v>
          </cell>
          <cell r="E108" t="str">
            <v>Comm.Trading  &amp; Distribution</v>
          </cell>
        </row>
        <row r="109">
          <cell r="B109" t="str">
            <v>ADLABS ENTERTAINMENT LTD</v>
          </cell>
          <cell r="C109">
            <v>539056</v>
          </cell>
          <cell r="D109" t="str">
            <v>ADLABS</v>
          </cell>
          <cell r="E109" t="str">
            <v>Other Leisure Facilities</v>
          </cell>
        </row>
        <row r="110">
          <cell r="B110" t="str">
            <v>AD-MANUM FINANCE LTD</v>
          </cell>
          <cell r="C110">
            <v>511359</v>
          </cell>
          <cell r="D110" t="str">
            <v>Not Listed</v>
          </cell>
          <cell r="E110" t="str">
            <v>Finance (including NBFCs)</v>
          </cell>
        </row>
        <row r="111">
          <cell r="B111" t="str">
            <v>ADOR FONTECH LTD</v>
          </cell>
          <cell r="C111">
            <v>530431</v>
          </cell>
          <cell r="D111" t="str">
            <v>Not Listed</v>
          </cell>
          <cell r="E111" t="str">
            <v>Comm.Trading  &amp; Distribution</v>
          </cell>
        </row>
        <row r="112">
          <cell r="B112" t="str">
            <v>ADOR MULTIPRODUCTS LTD</v>
          </cell>
          <cell r="C112">
            <v>523120</v>
          </cell>
          <cell r="D112" t="str">
            <v>Not Listed</v>
          </cell>
          <cell r="E112" t="str">
            <v>Personal Products</v>
          </cell>
        </row>
        <row r="113">
          <cell r="B113" t="str">
            <v>ADOR WELDING LTD</v>
          </cell>
          <cell r="C113">
            <v>517041</v>
          </cell>
          <cell r="D113" t="str">
            <v>ADORWELD</v>
          </cell>
          <cell r="E113" t="str">
            <v>Other Industrial Goods</v>
          </cell>
        </row>
        <row r="114">
          <cell r="B114" t="str">
            <v>ADROIT INFOTECH LTD</v>
          </cell>
          <cell r="C114">
            <v>532172</v>
          </cell>
          <cell r="D114" t="str">
            <v>ADROITINFO</v>
          </cell>
          <cell r="E114" t="str">
            <v>IT Consulting &amp; Software</v>
          </cell>
        </row>
        <row r="115">
          <cell r="B115" t="str">
            <v>ADS DIAGNOSTIC LTD</v>
          </cell>
          <cell r="C115">
            <v>523031</v>
          </cell>
          <cell r="D115" t="str">
            <v>Not Listed</v>
          </cell>
          <cell r="E115" t="str">
            <v>Healthcare Services</v>
          </cell>
        </row>
        <row r="116">
          <cell r="B116" t="str">
            <v>ADVANCE LIFESTYLES LTD</v>
          </cell>
          <cell r="C116">
            <v>521048</v>
          </cell>
          <cell r="D116" t="str">
            <v>Not Listed</v>
          </cell>
          <cell r="E116" t="str">
            <v>Textiles</v>
          </cell>
        </row>
        <row r="117">
          <cell r="B117" t="str">
            <v>ADVANCE METERING TECHNOLOGY LTD</v>
          </cell>
          <cell r="C117">
            <v>534612</v>
          </cell>
          <cell r="D117" t="str">
            <v>Not Listed</v>
          </cell>
          <cell r="E117" t="str">
            <v>Electric Utilities</v>
          </cell>
        </row>
        <row r="118">
          <cell r="B118" t="str">
            <v>ADVANCE PETROCHEMICALS LTD</v>
          </cell>
          <cell r="C118">
            <v>506947</v>
          </cell>
          <cell r="D118" t="str">
            <v>Not Listed</v>
          </cell>
          <cell r="E118" t="str">
            <v>Commodity Chemicals</v>
          </cell>
        </row>
        <row r="119">
          <cell r="B119" t="str">
            <v>ADVANCE POWERINFRA TECH LTD</v>
          </cell>
          <cell r="C119">
            <v>531047</v>
          </cell>
          <cell r="D119" t="str">
            <v>Not Listed</v>
          </cell>
          <cell r="E119" t="str">
            <v>Finance (including NBFCs)</v>
          </cell>
        </row>
        <row r="120">
          <cell r="B120" t="str">
            <v>ADVANCE SYNTEX LTD</v>
          </cell>
          <cell r="C120">
            <v>539982</v>
          </cell>
          <cell r="D120" t="str">
            <v>Not Listed</v>
          </cell>
          <cell r="E120" t="str">
            <v>Containers &amp; Packaging</v>
          </cell>
        </row>
        <row r="121">
          <cell r="B121" t="str">
            <v>ADVANCED ENZYME TECHNOLOGIES LTD</v>
          </cell>
          <cell r="C121">
            <v>540025</v>
          </cell>
          <cell r="D121" t="str">
            <v>ADVENZYMES</v>
          </cell>
          <cell r="E121" t="str">
            <v>Other Agricultural Products</v>
          </cell>
        </row>
        <row r="122">
          <cell r="B122" t="str">
            <v>ADVANI HOTELS &amp; RESORTS (INDIA) LTD</v>
          </cell>
          <cell r="C122">
            <v>523269</v>
          </cell>
          <cell r="D122" t="str">
            <v>ADVANIHOTR</v>
          </cell>
          <cell r="E122" t="str">
            <v>Hotels</v>
          </cell>
        </row>
        <row r="123">
          <cell r="B123" t="str">
            <v>ADVANI HOTELS &amp; RESORTS INDIA LTD</v>
          </cell>
          <cell r="C123">
            <v>523269</v>
          </cell>
          <cell r="D123" t="str">
            <v>ADVANIHOTR</v>
          </cell>
          <cell r="E123" t="str">
            <v>Hotels</v>
          </cell>
        </row>
        <row r="124">
          <cell r="B124" t="str">
            <v>ADVENT COMPUTER SERVICES LTD</v>
          </cell>
          <cell r="C124">
            <v>531429</v>
          </cell>
          <cell r="D124" t="str">
            <v>Not Listed</v>
          </cell>
          <cell r="E124" t="str">
            <v>IT Software Products</v>
          </cell>
        </row>
        <row r="125">
          <cell r="B125" t="str">
            <v>ADVIK CAPITAL LTD</v>
          </cell>
          <cell r="C125">
            <v>539773</v>
          </cell>
          <cell r="D125" t="str">
            <v>Not Listed</v>
          </cell>
          <cell r="E125" t="str">
            <v>Finance (including NBFCs)</v>
          </cell>
        </row>
        <row r="126">
          <cell r="B126" t="str">
            <v>ADVIK LABORATORIES LTD</v>
          </cell>
          <cell r="C126">
            <v>531686</v>
          </cell>
          <cell r="D126" t="str">
            <v>Not Listed</v>
          </cell>
          <cell r="E126" t="str">
            <v>Pharmaceuticals</v>
          </cell>
        </row>
        <row r="127">
          <cell r="B127" t="str">
            <v>ADVITIYA TRADE (INDIA) LTD</v>
          </cell>
          <cell r="C127">
            <v>541152</v>
          </cell>
          <cell r="D127" t="str">
            <v>Not Listed</v>
          </cell>
          <cell r="E127" t="str">
            <v>Comm.Trading  &amp; Distribution</v>
          </cell>
        </row>
        <row r="128">
          <cell r="B128" t="str">
            <v>ADVITIYA TRADE INDIA LTD</v>
          </cell>
          <cell r="C128">
            <v>541152</v>
          </cell>
          <cell r="D128" t="str">
            <v>Not Listed</v>
          </cell>
          <cell r="E128" t="str">
            <v>Comm.Trading  &amp; Distribution</v>
          </cell>
        </row>
        <row r="129">
          <cell r="B129" t="str">
            <v>AEGIS LOGISTICS LTD</v>
          </cell>
          <cell r="C129">
            <v>500003</v>
          </cell>
          <cell r="D129" t="str">
            <v>AEGISCHEM</v>
          </cell>
          <cell r="E129" t="str">
            <v>Oil Marketing &amp; Distribution</v>
          </cell>
        </row>
        <row r="130">
          <cell r="B130" t="str">
            <v>AFFORDABLE ROBOTIC &amp; AUTOMATION LTD</v>
          </cell>
          <cell r="C130">
            <v>541402</v>
          </cell>
          <cell r="D130" t="str">
            <v>Not Listed</v>
          </cell>
          <cell r="E130" t="str">
            <v>Industrial Machinery</v>
          </cell>
        </row>
        <row r="131">
          <cell r="B131" t="str">
            <v>AGARWAL INDUSTRIAL CORPORATION LTD</v>
          </cell>
          <cell r="C131">
            <v>531921</v>
          </cell>
          <cell r="D131" t="str">
            <v>AGARIND</v>
          </cell>
          <cell r="E131" t="str">
            <v>Petrochemicals</v>
          </cell>
        </row>
        <row r="132">
          <cell r="B132" t="str">
            <v>AGC NETWORKS LTD</v>
          </cell>
          <cell r="C132">
            <v>500463</v>
          </cell>
          <cell r="D132" t="str">
            <v>AGCNET</v>
          </cell>
          <cell r="E132" t="str">
            <v>IT Consulting &amp; Software</v>
          </cell>
        </row>
        <row r="133">
          <cell r="B133" t="str">
            <v>AGI INFRA LTD</v>
          </cell>
          <cell r="C133">
            <v>539042</v>
          </cell>
          <cell r="D133" t="str">
            <v>Not Listed</v>
          </cell>
          <cell r="E133" t="str">
            <v>Realty</v>
          </cell>
        </row>
        <row r="134">
          <cell r="B134" t="str">
            <v>AGIO PAPER &amp; INDUSTRIES LTD</v>
          </cell>
          <cell r="C134">
            <v>516020</v>
          </cell>
          <cell r="D134" t="str">
            <v>Not Listed</v>
          </cell>
          <cell r="E134" t="str">
            <v>Paper &amp; Paper Products</v>
          </cell>
        </row>
        <row r="135">
          <cell r="B135" t="str">
            <v>AGRIMONY COMMODITIES LTD</v>
          </cell>
          <cell r="C135">
            <v>537492</v>
          </cell>
          <cell r="D135" t="str">
            <v>Not Listed</v>
          </cell>
          <cell r="E135" t="str">
            <v>Comm.Trading  &amp; Distribution</v>
          </cell>
        </row>
        <row r="136">
          <cell r="B136" t="str">
            <v>AGRI-TECH (INDIA) LTD</v>
          </cell>
          <cell r="C136">
            <v>537292</v>
          </cell>
          <cell r="D136" t="str">
            <v>AGRITECH</v>
          </cell>
          <cell r="E136" t="str">
            <v>Other Agricultural Products</v>
          </cell>
        </row>
        <row r="137">
          <cell r="B137" t="str">
            <v>AGRI-TECH INDIA LTD</v>
          </cell>
          <cell r="C137">
            <v>537292</v>
          </cell>
          <cell r="D137" t="str">
            <v>AGRITECH</v>
          </cell>
          <cell r="E137" t="str">
            <v>Other Agricultural Products</v>
          </cell>
        </row>
        <row r="138">
          <cell r="B138" t="str">
            <v>AGRO PHOS (INDIA) LTD</v>
          </cell>
          <cell r="C138" t="str">
            <v>Not Listed</v>
          </cell>
          <cell r="D138" t="str">
            <v>AGROPHOS</v>
          </cell>
          <cell r="E138" t="str">
            <v>SME</v>
          </cell>
        </row>
        <row r="139">
          <cell r="B139" t="str">
            <v>AGRO PHOS INDIA LTD</v>
          </cell>
          <cell r="C139" t="str">
            <v>Not Listed</v>
          </cell>
          <cell r="D139" t="str">
            <v>AGROPHOS</v>
          </cell>
          <cell r="E139" t="str">
            <v>SME</v>
          </cell>
        </row>
        <row r="140">
          <cell r="B140" t="str">
            <v>AGRO TECH FOODS LTD</v>
          </cell>
          <cell r="C140">
            <v>500215</v>
          </cell>
          <cell r="D140" t="str">
            <v>ATFL</v>
          </cell>
          <cell r="E140" t="str">
            <v>Other Agricultural Products</v>
          </cell>
        </row>
        <row r="141">
          <cell r="B141" t="str">
            <v>AHIMSA INDUSTRIES LTD</v>
          </cell>
          <cell r="C141" t="str">
            <v>Not Listed</v>
          </cell>
          <cell r="D141" t="str">
            <v>AHIMSA</v>
          </cell>
          <cell r="E141" t="str">
            <v>SME</v>
          </cell>
        </row>
        <row r="142">
          <cell r="B142" t="str">
            <v>AHLADA ENGINEERS LTD</v>
          </cell>
          <cell r="C142" t="str">
            <v>Not Listed</v>
          </cell>
          <cell r="D142" t="str">
            <v>AHLADA</v>
          </cell>
          <cell r="E142" t="str">
            <v>SME</v>
          </cell>
        </row>
        <row r="143">
          <cell r="B143" t="str">
            <v>AHLUWALIA CONTRACTS (INDIA) LTD</v>
          </cell>
          <cell r="C143">
            <v>532811</v>
          </cell>
          <cell r="D143" t="str">
            <v>AHLUCONT</v>
          </cell>
          <cell r="E143" t="str">
            <v>Realty</v>
          </cell>
        </row>
        <row r="144">
          <cell r="B144" t="str">
            <v>AHLUWALIA CONTRACTS INDIA LTD</v>
          </cell>
          <cell r="C144">
            <v>532811</v>
          </cell>
          <cell r="D144" t="str">
            <v>AHLUCONT</v>
          </cell>
          <cell r="E144" t="str">
            <v>Realty</v>
          </cell>
        </row>
        <row r="145">
          <cell r="B145" t="str">
            <v>AHMEDABAD STEELCRAFT LTD</v>
          </cell>
          <cell r="C145">
            <v>522273</v>
          </cell>
          <cell r="D145" t="str">
            <v>Not Listed</v>
          </cell>
          <cell r="E145" t="str">
            <v>Iron &amp; Steel/Interm.Products</v>
          </cell>
        </row>
        <row r="146">
          <cell r="B146" t="str">
            <v>AI CHAMPDANY INDUSTRIES LTD</v>
          </cell>
          <cell r="C146">
            <v>532806</v>
          </cell>
          <cell r="D146" t="str">
            <v>Not Listed</v>
          </cell>
          <cell r="E146" t="str">
            <v>Jute &amp; Jute Products</v>
          </cell>
        </row>
        <row r="147">
          <cell r="B147" t="str">
            <v>AIA ENGINEERING LTD</v>
          </cell>
          <cell r="C147">
            <v>532683</v>
          </cell>
          <cell r="D147" t="str">
            <v>AIAENG</v>
          </cell>
          <cell r="E147" t="str">
            <v>Other Industrial Goods</v>
          </cell>
        </row>
        <row r="148">
          <cell r="B148" t="str">
            <v>AIMCO PESTICIDES LTD</v>
          </cell>
          <cell r="C148">
            <v>524288</v>
          </cell>
          <cell r="D148" t="str">
            <v>Not Listed</v>
          </cell>
          <cell r="E148" t="str">
            <v>Agrochemicals</v>
          </cell>
        </row>
        <row r="149">
          <cell r="B149" t="str">
            <v>AIRAN LTD</v>
          </cell>
          <cell r="C149" t="str">
            <v>Not Listed</v>
          </cell>
          <cell r="D149" t="str">
            <v>AIRAN</v>
          </cell>
          <cell r="E149" t="str">
            <v>SME</v>
          </cell>
        </row>
        <row r="150">
          <cell r="B150" t="str">
            <v>AIRO LAM LTD</v>
          </cell>
          <cell r="C150" t="str">
            <v>Not Listed</v>
          </cell>
          <cell r="D150" t="str">
            <v>AIROLAM</v>
          </cell>
          <cell r="E150" t="str">
            <v>SME</v>
          </cell>
        </row>
        <row r="151">
          <cell r="B151" t="str">
            <v>AISHWARYA TELECOM LTD</v>
          </cell>
          <cell r="C151">
            <v>532975</v>
          </cell>
          <cell r="D151" t="str">
            <v>Not Listed</v>
          </cell>
          <cell r="E151" t="str">
            <v>Telecom Equipment</v>
          </cell>
        </row>
        <row r="152">
          <cell r="B152" t="str">
            <v>AJANTA PHARMA LTD</v>
          </cell>
          <cell r="C152">
            <v>532331</v>
          </cell>
          <cell r="D152" t="str">
            <v>AJANTPHARM</v>
          </cell>
          <cell r="E152" t="str">
            <v>Pharmaceuticals</v>
          </cell>
        </row>
        <row r="153">
          <cell r="B153" t="str">
            <v>AJANTA SOYA LTD</v>
          </cell>
          <cell r="C153">
            <v>519216</v>
          </cell>
          <cell r="D153" t="str">
            <v>Not Listed</v>
          </cell>
          <cell r="E153" t="str">
            <v>Edible Oils</v>
          </cell>
        </row>
        <row r="154">
          <cell r="B154" t="str">
            <v>AJCON GLOBAL SERVICES LTD</v>
          </cell>
          <cell r="C154">
            <v>511692</v>
          </cell>
          <cell r="D154" t="str">
            <v>Not Listed</v>
          </cell>
          <cell r="E154" t="str">
            <v>Other Financial Services</v>
          </cell>
        </row>
        <row r="155">
          <cell r="B155" t="str">
            <v>AJEL LTD</v>
          </cell>
          <cell r="C155">
            <v>530713</v>
          </cell>
          <cell r="D155" t="str">
            <v>Not Listed</v>
          </cell>
          <cell r="E155" t="str">
            <v>IT Consulting &amp; Software</v>
          </cell>
        </row>
        <row r="156">
          <cell r="B156" t="str">
            <v>AJMERA REALTY &amp; INFRA (INDIA) LTD</v>
          </cell>
          <cell r="C156">
            <v>513349</v>
          </cell>
          <cell r="D156" t="str">
            <v>AJMERA</v>
          </cell>
          <cell r="E156" t="str">
            <v>Realty</v>
          </cell>
        </row>
        <row r="157">
          <cell r="B157" t="str">
            <v>AJMERA REALTY &amp; INFRA INDIA LTD</v>
          </cell>
          <cell r="C157">
            <v>513349</v>
          </cell>
          <cell r="D157" t="str">
            <v>AJMERA</v>
          </cell>
          <cell r="E157" t="str">
            <v>Realty</v>
          </cell>
        </row>
        <row r="158">
          <cell r="B158" t="str">
            <v>AJOONI BIOTECH LTD</v>
          </cell>
          <cell r="C158" t="str">
            <v>Not Listed</v>
          </cell>
          <cell r="D158" t="str">
            <v>AJOONI</v>
          </cell>
          <cell r="E158" t="str">
            <v>SME</v>
          </cell>
        </row>
        <row r="159">
          <cell r="B159" t="str">
            <v>AJWA FUN WORLD &amp; RESORT LTD</v>
          </cell>
          <cell r="C159">
            <v>526628</v>
          </cell>
          <cell r="D159" t="str">
            <v>Not Listed</v>
          </cell>
          <cell r="E159" t="str">
            <v>Other Leisure Facilities</v>
          </cell>
        </row>
        <row r="160">
          <cell r="B160" t="str">
            <v>AKAR AUTO INDUSTRIES LTD</v>
          </cell>
          <cell r="C160">
            <v>530621</v>
          </cell>
          <cell r="D160" t="str">
            <v>Not Listed</v>
          </cell>
          <cell r="E160" t="str">
            <v>Industrial Machinery</v>
          </cell>
        </row>
        <row r="161">
          <cell r="B161" t="str">
            <v>AKASH INFRA PROJECTS LTD</v>
          </cell>
          <cell r="C161" t="str">
            <v>Not Listed</v>
          </cell>
          <cell r="D161" t="str">
            <v>AKASH</v>
          </cell>
          <cell r="E161" t="str">
            <v>SME</v>
          </cell>
        </row>
        <row r="162">
          <cell r="B162" t="str">
            <v>AKASHDEEP METAL INDUSTRIES LTD</v>
          </cell>
          <cell r="C162">
            <v>538778</v>
          </cell>
          <cell r="D162" t="str">
            <v>Not Listed</v>
          </cell>
          <cell r="E162" t="str">
            <v>Finance (including NBFCs)</v>
          </cell>
        </row>
        <row r="163">
          <cell r="B163" t="str">
            <v>AKG EXIM LTD</v>
          </cell>
          <cell r="C163" t="str">
            <v>Not Listed</v>
          </cell>
          <cell r="D163" t="str">
            <v>AKG</v>
          </cell>
          <cell r="E163" t="str">
            <v>SME</v>
          </cell>
        </row>
        <row r="164">
          <cell r="B164" t="str">
            <v>AKI (INDIA) LTD</v>
          </cell>
          <cell r="C164">
            <v>542020</v>
          </cell>
          <cell r="D164" t="str">
            <v>Not Listed</v>
          </cell>
          <cell r="E164" t="str">
            <v>Other Apparels &amp; Accessories</v>
          </cell>
        </row>
        <row r="165">
          <cell r="B165" t="str">
            <v>AKI INDIA LTD</v>
          </cell>
          <cell r="C165">
            <v>542020</v>
          </cell>
          <cell r="D165" t="str">
            <v>Not Listed</v>
          </cell>
          <cell r="E165" t="str">
            <v>Other Apparels &amp; Accessories</v>
          </cell>
        </row>
        <row r="166">
          <cell r="B166" t="str">
            <v>AKM LACE AND EMBROTEX LTD</v>
          </cell>
          <cell r="C166">
            <v>540718</v>
          </cell>
          <cell r="D166" t="str">
            <v>Not Listed</v>
          </cell>
          <cell r="E166" t="str">
            <v>Textiles</v>
          </cell>
        </row>
        <row r="167">
          <cell r="B167" t="str">
            <v>AKME STAR HOUSING FINANCE LTD</v>
          </cell>
          <cell r="C167">
            <v>539017</v>
          </cell>
          <cell r="D167" t="str">
            <v>Not Listed</v>
          </cell>
          <cell r="E167" t="str">
            <v xml:space="preserve">Housing Finance </v>
          </cell>
        </row>
        <row r="168">
          <cell r="B168" t="str">
            <v>AKSH OPTIFIBRE LTD</v>
          </cell>
          <cell r="C168">
            <v>532351</v>
          </cell>
          <cell r="D168" t="str">
            <v>AKSHOPTFBR</v>
          </cell>
          <cell r="E168" t="str">
            <v>Telecom Cables</v>
          </cell>
        </row>
        <row r="169">
          <cell r="B169" t="str">
            <v>AKSHAR SPINTEX LTD</v>
          </cell>
          <cell r="C169">
            <v>541303</v>
          </cell>
          <cell r="D169" t="str">
            <v>Not Listed</v>
          </cell>
          <cell r="E169" t="str">
            <v>Textiles</v>
          </cell>
        </row>
        <row r="170">
          <cell r="B170" t="str">
            <v>AKSHARCHEM (INDIA) LTD</v>
          </cell>
          <cell r="C170">
            <v>524598</v>
          </cell>
          <cell r="D170" t="str">
            <v>AKSHARCHEM</v>
          </cell>
          <cell r="E170" t="str">
            <v>Specialty Chemicals</v>
          </cell>
        </row>
        <row r="171">
          <cell r="B171" t="str">
            <v>AKSHARCHEM INDIA LTD</v>
          </cell>
          <cell r="C171">
            <v>524598</v>
          </cell>
          <cell r="D171" t="str">
            <v>AKSHARCHEM</v>
          </cell>
          <cell r="E171" t="str">
            <v>Specialty Chemicals</v>
          </cell>
        </row>
        <row r="172">
          <cell r="B172" t="str">
            <v>AKZO NOBEL (INDIA) LTD</v>
          </cell>
          <cell r="C172">
            <v>500710</v>
          </cell>
          <cell r="D172" t="str">
            <v>AKZO(INDIA)</v>
          </cell>
          <cell r="E172" t="str">
            <v>Furniture-Furnishing-Paints</v>
          </cell>
        </row>
        <row r="173">
          <cell r="B173" t="str">
            <v>AKZO NOBEL INDIA LTD</v>
          </cell>
          <cell r="C173">
            <v>500710</v>
          </cell>
          <cell r="D173" t="str">
            <v>AKZOINDIA</v>
          </cell>
          <cell r="E173" t="str">
            <v>Furniture-Furnishing-Paints</v>
          </cell>
        </row>
        <row r="174">
          <cell r="B174" t="str">
            <v>ALACRITY SECURITIES LTD</v>
          </cell>
          <cell r="C174">
            <v>535916</v>
          </cell>
          <cell r="D174" t="str">
            <v>Not Listed</v>
          </cell>
          <cell r="E174" t="str">
            <v>Other Financial Services</v>
          </cell>
        </row>
        <row r="175">
          <cell r="B175" t="str">
            <v>ALAN SCOTT INDUSTRIES LTD</v>
          </cell>
          <cell r="C175">
            <v>539115</v>
          </cell>
          <cell r="D175" t="str">
            <v>Not Listed</v>
          </cell>
          <cell r="E175" t="str">
            <v>Movies &amp; Entertainment</v>
          </cell>
        </row>
        <row r="176">
          <cell r="B176" t="str">
            <v>ALANKIT LTD</v>
          </cell>
          <cell r="C176">
            <v>531082</v>
          </cell>
          <cell r="D176" t="str">
            <v>ALANKIT</v>
          </cell>
          <cell r="E176" t="str">
            <v>Other Financial Services</v>
          </cell>
        </row>
        <row r="177">
          <cell r="B177" t="str">
            <v>ALBERT DAVID LTD</v>
          </cell>
          <cell r="C177">
            <v>524075</v>
          </cell>
          <cell r="D177" t="str">
            <v>ALBERTDAVD</v>
          </cell>
          <cell r="E177" t="str">
            <v>Pharmaceuticals</v>
          </cell>
        </row>
        <row r="178">
          <cell r="B178" t="str">
            <v>ALCHEMIST CORPORATION LTD</v>
          </cell>
          <cell r="C178">
            <v>531409</v>
          </cell>
          <cell r="D178" t="str">
            <v>Not Listed</v>
          </cell>
          <cell r="E178" t="str">
            <v>Commodity Chemicals</v>
          </cell>
        </row>
        <row r="179">
          <cell r="B179" t="str">
            <v>ALCHEMIST LTD</v>
          </cell>
          <cell r="C179">
            <v>526707</v>
          </cell>
          <cell r="D179" t="str">
            <v>ALCHEM</v>
          </cell>
          <cell r="E179" t="str">
            <v>Comm.Trading  &amp; Distribution</v>
          </cell>
        </row>
        <row r="180">
          <cell r="B180" t="str">
            <v>ALCHEMIST REALTY LTD</v>
          </cell>
          <cell r="C180">
            <v>532114</v>
          </cell>
          <cell r="D180" t="str">
            <v>Not Listed</v>
          </cell>
          <cell r="E180" t="str">
            <v>Realty</v>
          </cell>
        </row>
        <row r="181">
          <cell r="B181" t="str">
            <v>ALEMBIC LTD</v>
          </cell>
          <cell r="C181">
            <v>506235</v>
          </cell>
          <cell r="D181" t="str">
            <v>ALEMBICLTD</v>
          </cell>
          <cell r="E181" t="str">
            <v>Pharmaceuticals</v>
          </cell>
        </row>
        <row r="182">
          <cell r="B182" t="str">
            <v>ALEMBIC PHARMACEUTICALS LTD</v>
          </cell>
          <cell r="C182">
            <v>533573</v>
          </cell>
          <cell r="D182" t="str">
            <v>APLLTD</v>
          </cell>
          <cell r="E182" t="str">
            <v>Pharmaceuticals</v>
          </cell>
        </row>
        <row r="183">
          <cell r="B183" t="str">
            <v>ALEXANDER STAMPS AND COIN LTD</v>
          </cell>
          <cell r="C183">
            <v>511463</v>
          </cell>
          <cell r="D183" t="str">
            <v>Not Listed</v>
          </cell>
          <cell r="E183" t="str">
            <v>Diversified</v>
          </cell>
        </row>
        <row r="184">
          <cell r="B184" t="str">
            <v>ALFA ICA (INDIA) LTD</v>
          </cell>
          <cell r="C184">
            <v>530973</v>
          </cell>
          <cell r="D184" t="str">
            <v>Not Listed</v>
          </cell>
          <cell r="E184" t="str">
            <v>Plastic Products</v>
          </cell>
        </row>
        <row r="185">
          <cell r="B185" t="str">
            <v>ALFA ICA INDIA LTD</v>
          </cell>
          <cell r="C185">
            <v>530973</v>
          </cell>
          <cell r="D185" t="str">
            <v>Not Listed</v>
          </cell>
          <cell r="E185" t="str">
            <v>Plastic Products</v>
          </cell>
        </row>
        <row r="186">
          <cell r="B186" t="str">
            <v>ALFA TRANSFORMERS LTD</v>
          </cell>
          <cell r="C186">
            <v>517546</v>
          </cell>
          <cell r="D186" t="str">
            <v>Not Listed</v>
          </cell>
          <cell r="E186" t="str">
            <v>Other Elect.Equip./ Prod.</v>
          </cell>
        </row>
        <row r="187">
          <cell r="B187" t="str">
            <v>ALFAVISION OVERSEAS (INDIA) LTD</v>
          </cell>
          <cell r="C187">
            <v>531156</v>
          </cell>
          <cell r="D187" t="str">
            <v>Not Listed</v>
          </cell>
          <cell r="E187" t="str">
            <v>Finance (including NBFCs)</v>
          </cell>
        </row>
        <row r="188">
          <cell r="B188" t="str">
            <v>ALFAVISION OVERSEAS INDIA LTD</v>
          </cell>
          <cell r="C188">
            <v>531156</v>
          </cell>
          <cell r="D188" t="str">
            <v>Not Listed</v>
          </cell>
          <cell r="E188" t="str">
            <v>Finance (including NBFCs)</v>
          </cell>
        </row>
        <row r="189">
          <cell r="B189" t="str">
            <v>ALFRED HERBERT (INDIA) LTD</v>
          </cell>
          <cell r="C189">
            <v>505216</v>
          </cell>
          <cell r="D189" t="str">
            <v>Not Listed</v>
          </cell>
          <cell r="E189" t="str">
            <v>Finance (including NBFCs)</v>
          </cell>
        </row>
        <row r="190">
          <cell r="B190" t="str">
            <v>ALFRED HERBERT INDIA LTD</v>
          </cell>
          <cell r="C190">
            <v>505216</v>
          </cell>
          <cell r="D190" t="str">
            <v>Not Listed</v>
          </cell>
          <cell r="E190" t="str">
            <v>Finance (including NBFCs)</v>
          </cell>
        </row>
        <row r="191">
          <cell r="B191" t="str">
            <v>ALICON CASTALLOY LTD</v>
          </cell>
          <cell r="C191">
            <v>531147</v>
          </cell>
          <cell r="D191" t="str">
            <v>ALICON</v>
          </cell>
          <cell r="E191" t="str">
            <v>Aluminium</v>
          </cell>
        </row>
        <row r="192">
          <cell r="B192" t="str">
            <v>ALKA (INDIA) LTD</v>
          </cell>
          <cell r="C192">
            <v>530889</v>
          </cell>
          <cell r="D192" t="str">
            <v>Not Listed</v>
          </cell>
          <cell r="E192" t="str">
            <v>Textiles</v>
          </cell>
        </row>
        <row r="193">
          <cell r="B193" t="str">
            <v>ALKA DIAMOND INDUSTRIES LTD</v>
          </cell>
          <cell r="C193">
            <v>531581</v>
          </cell>
          <cell r="D193" t="str">
            <v>Not Listed</v>
          </cell>
          <cell r="E193" t="str">
            <v>Other Apparels &amp; Accessories</v>
          </cell>
        </row>
        <row r="194">
          <cell r="B194" t="str">
            <v>ALKA INDIA LTD</v>
          </cell>
          <cell r="C194">
            <v>530889</v>
          </cell>
          <cell r="D194" t="str">
            <v>Not Listed</v>
          </cell>
          <cell r="E194" t="str">
            <v>Textiles</v>
          </cell>
        </row>
        <row r="195">
          <cell r="B195" t="str">
            <v>ALKA SECURITIES LTD</v>
          </cell>
          <cell r="C195">
            <v>532166</v>
          </cell>
          <cell r="D195" t="str">
            <v>Not Listed</v>
          </cell>
          <cell r="E195" t="str">
            <v>Finance (including NBFCs)</v>
          </cell>
        </row>
        <row r="196">
          <cell r="B196" t="str">
            <v>ALKALI METALS LTD</v>
          </cell>
          <cell r="C196">
            <v>533029</v>
          </cell>
          <cell r="D196" t="str">
            <v>ALKALI</v>
          </cell>
          <cell r="E196" t="str">
            <v>Specialty Chemicals</v>
          </cell>
        </row>
        <row r="197">
          <cell r="B197" t="str">
            <v>ALKEM LABORATORIES LTD</v>
          </cell>
          <cell r="C197">
            <v>539523</v>
          </cell>
          <cell r="D197" t="str">
            <v>ALKEM</v>
          </cell>
          <cell r="E197" t="str">
            <v>Pharmaceuticals</v>
          </cell>
        </row>
        <row r="198">
          <cell r="B198" t="str">
            <v>ALKYL AMINES CHEMICALS LTD</v>
          </cell>
          <cell r="C198">
            <v>506767</v>
          </cell>
          <cell r="D198" t="str">
            <v>ALKYLAMINE</v>
          </cell>
          <cell r="E198" t="str">
            <v>Specialty Chemicals</v>
          </cell>
        </row>
        <row r="199">
          <cell r="B199" t="str">
            <v>ALLAHABAD BANK</v>
          </cell>
          <cell r="C199">
            <v>532480</v>
          </cell>
          <cell r="D199" t="str">
            <v>ALBK</v>
          </cell>
          <cell r="E199" t="str">
            <v>Banks</v>
          </cell>
        </row>
        <row r="200">
          <cell r="B200" t="str">
            <v>ALLCARGO LOGISTICS LTD</v>
          </cell>
          <cell r="C200">
            <v>532749</v>
          </cell>
          <cell r="D200" t="str">
            <v>ALLCARGO</v>
          </cell>
          <cell r="E200" t="str">
            <v>Transportation - Logistics</v>
          </cell>
        </row>
        <row r="201">
          <cell r="B201" t="str">
            <v>ALLIANCE INTEGRATED METALIKS LTD</v>
          </cell>
          <cell r="C201">
            <v>534064</v>
          </cell>
          <cell r="D201" t="str">
            <v>Not Listed</v>
          </cell>
          <cell r="E201" t="str">
            <v>Iron &amp; Steel Products</v>
          </cell>
        </row>
        <row r="202">
          <cell r="B202" t="str">
            <v>ALLIED COMPUTERS INTERNATIONAL ASIA LTD</v>
          </cell>
          <cell r="C202">
            <v>532919</v>
          </cell>
          <cell r="D202" t="str">
            <v>Not Listed</v>
          </cell>
          <cell r="E202" t="str">
            <v>Computer Hardware</v>
          </cell>
        </row>
        <row r="203">
          <cell r="B203" t="str">
            <v>ALLIED DIGITAL SERVICES LTD</v>
          </cell>
          <cell r="C203">
            <v>532875</v>
          </cell>
          <cell r="D203" t="str">
            <v>ADSL</v>
          </cell>
          <cell r="E203" t="str">
            <v>IT Consulting &amp; Software</v>
          </cell>
        </row>
        <row r="204">
          <cell r="B204" t="str">
            <v>ALLSEC TECHNOLOGIES LTD</v>
          </cell>
          <cell r="C204">
            <v>532633</v>
          </cell>
          <cell r="D204" t="str">
            <v>ALLSEC</v>
          </cell>
          <cell r="E204" t="str">
            <v>BPO/KPO</v>
          </cell>
        </row>
        <row r="205">
          <cell r="B205" t="str">
            <v>ALMONDZ GLOBAL SECURITIES LTD</v>
          </cell>
          <cell r="C205">
            <v>531400</v>
          </cell>
          <cell r="D205" t="str">
            <v>ALMONDZ</v>
          </cell>
          <cell r="E205" t="str">
            <v>Other Financial Services</v>
          </cell>
        </row>
        <row r="206">
          <cell r="B206" t="str">
            <v>ALNA TRADING &amp; EXPORTS LTD</v>
          </cell>
          <cell r="C206">
            <v>506120</v>
          </cell>
          <cell r="D206" t="str">
            <v>Not Listed</v>
          </cell>
          <cell r="E206" t="str">
            <v>Comm.Trading  &amp; Distribution</v>
          </cell>
        </row>
        <row r="207">
          <cell r="B207" t="str">
            <v>ALOK INDUSTRIES LTD</v>
          </cell>
          <cell r="C207">
            <v>521070</v>
          </cell>
          <cell r="D207" t="str">
            <v>ALOKTEXT</v>
          </cell>
          <cell r="E207" t="str">
            <v>Textiles</v>
          </cell>
        </row>
        <row r="208">
          <cell r="B208" t="str">
            <v>ALPA LABORATORIES LTD</v>
          </cell>
          <cell r="C208">
            <v>532878</v>
          </cell>
          <cell r="D208" t="str">
            <v>ALPA</v>
          </cell>
          <cell r="E208" t="str">
            <v>Biotechnology</v>
          </cell>
        </row>
        <row r="209">
          <cell r="B209" t="str">
            <v>ALPHAGEO (INDIA) LTD</v>
          </cell>
          <cell r="C209">
            <v>526397</v>
          </cell>
          <cell r="D209" t="str">
            <v>ALPHAGEO</v>
          </cell>
          <cell r="E209" t="str">
            <v>Oil Equipment &amp; Services</v>
          </cell>
        </row>
        <row r="210">
          <cell r="B210" t="str">
            <v>ALPHAGEO INDIA LTD</v>
          </cell>
          <cell r="C210">
            <v>526397</v>
          </cell>
          <cell r="D210" t="str">
            <v>ALPHAGEO</v>
          </cell>
          <cell r="E210" t="str">
            <v>Oil Equipment &amp; Services</v>
          </cell>
        </row>
        <row r="211">
          <cell r="B211" t="str">
            <v>ALPINE HOUSING DEVELOPMENT CORPORATION LTD</v>
          </cell>
          <cell r="C211">
            <v>526519</v>
          </cell>
          <cell r="D211" t="str">
            <v>Not Listed</v>
          </cell>
          <cell r="E211" t="str">
            <v>Realty</v>
          </cell>
        </row>
        <row r="212">
          <cell r="B212" t="str">
            <v>ALPS INDUSTRIES LTD</v>
          </cell>
          <cell r="C212">
            <v>530715</v>
          </cell>
          <cell r="D212" t="str">
            <v>ALPSINDUS</v>
          </cell>
          <cell r="E212" t="str">
            <v>Textiles</v>
          </cell>
        </row>
        <row r="213">
          <cell r="B213" t="str">
            <v>Alps Motor Finance Ltd</v>
          </cell>
          <cell r="C213">
            <v>538423</v>
          </cell>
          <cell r="D213" t="str">
            <v>ALPSMOTOR</v>
          </cell>
          <cell r="E213" t="str">
            <v>Other Financial Services</v>
          </cell>
        </row>
        <row r="214">
          <cell r="B214" t="str">
            <v>ALSTONE TEXTILES (INDIA) LTD</v>
          </cell>
          <cell r="C214">
            <v>539277</v>
          </cell>
          <cell r="D214" t="str">
            <v>Not Listed</v>
          </cell>
          <cell r="E214" t="str">
            <v>Distributors</v>
          </cell>
        </row>
        <row r="215">
          <cell r="B215" t="str">
            <v>ALSTONE TEXTILES INDIA LTD</v>
          </cell>
          <cell r="C215">
            <v>539277</v>
          </cell>
          <cell r="D215" t="str">
            <v>Not Listed</v>
          </cell>
          <cell r="E215" t="str">
            <v>Distributors</v>
          </cell>
        </row>
        <row r="216">
          <cell r="B216" t="str">
            <v>ALUFLUORIDE LTD</v>
          </cell>
          <cell r="C216">
            <v>524634</v>
          </cell>
          <cell r="D216" t="str">
            <v>Not Listed</v>
          </cell>
          <cell r="E216" t="str">
            <v>Commodity Chemicals</v>
          </cell>
        </row>
        <row r="217">
          <cell r="B217" t="str">
            <v>AMAL LTD</v>
          </cell>
          <cell r="C217">
            <v>506597</v>
          </cell>
          <cell r="D217" t="str">
            <v>Not Listed</v>
          </cell>
          <cell r="E217" t="str">
            <v>Specialty Chemicals</v>
          </cell>
        </row>
        <row r="218">
          <cell r="B218" t="str">
            <v>AMANI TRADING &amp; EXPORTS LTD</v>
          </cell>
          <cell r="C218">
            <v>512008</v>
          </cell>
          <cell r="D218" t="str">
            <v>Not Listed</v>
          </cell>
          <cell r="E218" t="str">
            <v>Comm.Trading  &amp; Distribution</v>
          </cell>
        </row>
        <row r="219">
          <cell r="B219" t="str">
            <v>AMARA RAJA BATTERIES LTD</v>
          </cell>
          <cell r="C219">
            <v>500008</v>
          </cell>
          <cell r="D219" t="str">
            <v>AMARAJABAT</v>
          </cell>
          <cell r="E219" t="str">
            <v>Auto Parts &amp; Equipment</v>
          </cell>
        </row>
        <row r="220">
          <cell r="B220" t="str">
            <v>AMARJOTHI SPINNING MILLS LTD</v>
          </cell>
          <cell r="C220">
            <v>521097</v>
          </cell>
          <cell r="D220" t="str">
            <v>Not Listed</v>
          </cell>
          <cell r="E220" t="str">
            <v>Textiles</v>
          </cell>
        </row>
        <row r="221">
          <cell r="B221" t="str">
            <v>AMARNATH SECURITIES LTD</v>
          </cell>
          <cell r="C221">
            <v>538465</v>
          </cell>
          <cell r="D221" t="str">
            <v>Not Listed</v>
          </cell>
          <cell r="E221" t="str">
            <v>Finance (including NBFCs)</v>
          </cell>
        </row>
        <row r="222">
          <cell r="B222" t="str">
            <v>AMAZE ENTERTECH LTD</v>
          </cell>
          <cell r="C222">
            <v>531112</v>
          </cell>
          <cell r="D222" t="str">
            <v>Not Listed</v>
          </cell>
          <cell r="E222" t="str">
            <v>Industrial Machinery</v>
          </cell>
        </row>
        <row r="223">
          <cell r="B223" t="str">
            <v>AMBA ENTERPRISES LTD</v>
          </cell>
          <cell r="C223">
            <v>539196</v>
          </cell>
          <cell r="D223" t="str">
            <v>Not Listed</v>
          </cell>
          <cell r="E223" t="str">
            <v>Other Elect.Equip./ Prod.</v>
          </cell>
        </row>
        <row r="224">
          <cell r="B224" t="str">
            <v>AMBALAL SARABHAI ENTERPRISES LTD</v>
          </cell>
          <cell r="C224">
            <v>500009</v>
          </cell>
          <cell r="D224" t="str">
            <v>Not Listed</v>
          </cell>
          <cell r="E224" t="str">
            <v>Pharmaceuticals</v>
          </cell>
        </row>
        <row r="225">
          <cell r="B225" t="str">
            <v>AMBANI ORGANICS LTD</v>
          </cell>
          <cell r="C225" t="str">
            <v>Not Listed</v>
          </cell>
          <cell r="D225" t="str">
            <v>AMBANIORG</v>
          </cell>
          <cell r="E225" t="str">
            <v>SME</v>
          </cell>
        </row>
        <row r="226">
          <cell r="B226" t="str">
            <v>AMBAR PROTEIN INDUSTRIES LTD</v>
          </cell>
          <cell r="C226">
            <v>519471</v>
          </cell>
          <cell r="D226" t="str">
            <v>Not Listed</v>
          </cell>
          <cell r="E226" t="str">
            <v>Edible Oils</v>
          </cell>
        </row>
        <row r="227">
          <cell r="B227" t="str">
            <v>Ambassador Intra Holdings Ltd</v>
          </cell>
          <cell r="C227">
            <v>542524</v>
          </cell>
          <cell r="D227" t="str">
            <v>AIHL</v>
          </cell>
          <cell r="E227" t="str">
            <v>Comm.Trading  &amp;amp; Distribution</v>
          </cell>
        </row>
        <row r="228">
          <cell r="B228" t="str">
            <v>AMBER ENTERPRISES (INDIA) LTD</v>
          </cell>
          <cell r="C228">
            <v>540902</v>
          </cell>
          <cell r="D228" t="str">
            <v>AMBER</v>
          </cell>
          <cell r="E228" t="str">
            <v>Consumer Electronics</v>
          </cell>
        </row>
        <row r="229">
          <cell r="B229" t="str">
            <v>AMBER ENTERPRISES INDIA LTD</v>
          </cell>
          <cell r="C229">
            <v>540902</v>
          </cell>
          <cell r="D229" t="str">
            <v>AMBER</v>
          </cell>
          <cell r="E229" t="str">
            <v>Consumer Electronics</v>
          </cell>
        </row>
        <row r="230">
          <cell r="B230" t="str">
            <v>AMBIKA COTTON MILLS LTD</v>
          </cell>
          <cell r="C230">
            <v>531978</v>
          </cell>
          <cell r="D230" t="str">
            <v>AMBIKCO</v>
          </cell>
          <cell r="E230" t="str">
            <v>Textiles</v>
          </cell>
        </row>
        <row r="231">
          <cell r="B231" t="str">
            <v>AMBITION MICA LTD</v>
          </cell>
          <cell r="C231">
            <v>539223</v>
          </cell>
          <cell r="D231" t="str">
            <v>Not Listed</v>
          </cell>
          <cell r="E231" t="str">
            <v>Paper &amp; Paper Products</v>
          </cell>
        </row>
        <row r="232">
          <cell r="B232" t="str">
            <v>AMBUJA CEMENTS LTD</v>
          </cell>
          <cell r="C232">
            <v>500425</v>
          </cell>
          <cell r="D232" t="str">
            <v>AMBUJACEM</v>
          </cell>
          <cell r="E232" t="str">
            <v>Cement &amp; Cement Products</v>
          </cell>
        </row>
        <row r="233">
          <cell r="B233" t="str">
            <v>AMCO (INDIA) LTD</v>
          </cell>
          <cell r="C233">
            <v>530133</v>
          </cell>
          <cell r="D233" t="str">
            <v>Not Listed</v>
          </cell>
          <cell r="E233" t="str">
            <v>Fibres &amp; Plastics</v>
          </cell>
        </row>
        <row r="234">
          <cell r="B234" t="str">
            <v>AMCO INDIA LTD</v>
          </cell>
          <cell r="C234">
            <v>530133</v>
          </cell>
          <cell r="D234" t="str">
            <v>Not Listed</v>
          </cell>
          <cell r="E234" t="str">
            <v>Fibres &amp; Plastics</v>
          </cell>
        </row>
        <row r="235">
          <cell r="B235" t="str">
            <v>AMD INDUSTRIES LTD</v>
          </cell>
          <cell r="C235">
            <v>532828</v>
          </cell>
          <cell r="D235" t="str">
            <v>AMDIND</v>
          </cell>
          <cell r="E235" t="str">
            <v>Other Industrial Goods</v>
          </cell>
        </row>
        <row r="236">
          <cell r="B236" t="str">
            <v>AMFORGE INDUSTRIES LTD</v>
          </cell>
          <cell r="C236">
            <v>513117</v>
          </cell>
          <cell r="D236" t="str">
            <v>Not Listed</v>
          </cell>
          <cell r="E236" t="str">
            <v>Auto Parts &amp; Equipment</v>
          </cell>
        </row>
        <row r="237">
          <cell r="B237" t="str">
            <v>AMIN TANNERY LTD</v>
          </cell>
          <cell r="C237">
            <v>541771</v>
          </cell>
          <cell r="D237" t="str">
            <v>Not Listed</v>
          </cell>
          <cell r="E237" t="str">
            <v>Other Apparels &amp; Accessories</v>
          </cell>
        </row>
        <row r="238">
          <cell r="B238" t="str">
            <v>AMINES &amp; PLASTICIZERS LTD</v>
          </cell>
          <cell r="C238">
            <v>506248</v>
          </cell>
          <cell r="D238" t="str">
            <v>Not Listed</v>
          </cell>
          <cell r="E238" t="str">
            <v>Commodity Chemicals</v>
          </cell>
        </row>
        <row r="239">
          <cell r="B239" t="str">
            <v>AMIT INTERNATIONAL LTD</v>
          </cell>
          <cell r="C239">
            <v>531300</v>
          </cell>
          <cell r="D239" t="str">
            <v>Not Listed</v>
          </cell>
          <cell r="E239" t="str">
            <v>Textiles</v>
          </cell>
        </row>
        <row r="240">
          <cell r="B240" t="str">
            <v>AMIT SECURITIES LTD</v>
          </cell>
          <cell r="C240">
            <v>531557</v>
          </cell>
          <cell r="D240" t="str">
            <v>Not Listed</v>
          </cell>
          <cell r="E240" t="str">
            <v>Finance (including NBFCs)</v>
          </cell>
        </row>
        <row r="241">
          <cell r="B241" t="str">
            <v>AMJ LAND HOLDINGS LTD</v>
          </cell>
          <cell r="C241">
            <v>500343</v>
          </cell>
          <cell r="D241" t="str">
            <v>AMJLAND</v>
          </cell>
          <cell r="E241" t="str">
            <v>Realty</v>
          </cell>
        </row>
        <row r="242">
          <cell r="B242" t="str">
            <v>AMRADEEP INDUSTRIES LTD</v>
          </cell>
          <cell r="C242">
            <v>531681</v>
          </cell>
          <cell r="D242" t="str">
            <v>Not Listed</v>
          </cell>
          <cell r="E242" t="str">
            <v>Plastic Products</v>
          </cell>
        </row>
        <row r="243">
          <cell r="B243" t="str">
            <v>AMRAPALI CAPITAL AND FINANCE SERVICES LTD</v>
          </cell>
          <cell r="C243">
            <v>536737</v>
          </cell>
          <cell r="D243" t="str">
            <v>Not Listed</v>
          </cell>
          <cell r="E243" t="str">
            <v>Finance (including NBFCs)</v>
          </cell>
        </row>
        <row r="244">
          <cell r="B244" t="str">
            <v>AMRAPALI FINCAP LTD</v>
          </cell>
          <cell r="C244">
            <v>539265</v>
          </cell>
          <cell r="D244" t="str">
            <v>Not Listed</v>
          </cell>
          <cell r="E244" t="str">
            <v>Finance (including NBFCs)</v>
          </cell>
        </row>
        <row r="245">
          <cell r="B245" t="str">
            <v>AMRAPALI INDUSTRIES LTD</v>
          </cell>
          <cell r="C245">
            <v>526241</v>
          </cell>
          <cell r="D245" t="str">
            <v>Not Listed</v>
          </cell>
          <cell r="E245" t="str">
            <v>Comm.Trading  &amp; Distribution</v>
          </cell>
        </row>
        <row r="246">
          <cell r="B246" t="str">
            <v>AMRAWORLD AGRICO LTD</v>
          </cell>
          <cell r="C246">
            <v>531991</v>
          </cell>
          <cell r="D246" t="str">
            <v>Not Listed</v>
          </cell>
          <cell r="E246" t="str">
            <v>Textiles</v>
          </cell>
        </row>
        <row r="247">
          <cell r="B247" t="str">
            <v>AMRIT CORP LTD</v>
          </cell>
          <cell r="C247">
            <v>507525</v>
          </cell>
          <cell r="D247" t="str">
            <v>Not Listed</v>
          </cell>
          <cell r="E247" t="str">
            <v>Packaged Foods</v>
          </cell>
        </row>
        <row r="248">
          <cell r="B248" t="str">
            <v>AMRUTANJAN HEALTH CARE LTD</v>
          </cell>
          <cell r="C248">
            <v>590006</v>
          </cell>
          <cell r="D248" t="str">
            <v>AMRUTANJAN</v>
          </cell>
          <cell r="E248" t="str">
            <v>Pharmaceuticals</v>
          </cell>
        </row>
        <row r="249">
          <cell r="B249" t="str">
            <v>AMSONS APPARELS LTD</v>
          </cell>
          <cell r="C249">
            <v>538861</v>
          </cell>
          <cell r="D249" t="str">
            <v>Not Listed</v>
          </cell>
          <cell r="E249" t="str">
            <v>Comm.Trading  &amp; Distribution</v>
          </cell>
        </row>
        <row r="250">
          <cell r="B250" t="str">
            <v>ANAND PROJECTS LTD</v>
          </cell>
          <cell r="C250">
            <v>501630</v>
          </cell>
          <cell r="D250" t="str">
            <v>Not Listed</v>
          </cell>
          <cell r="E250" t="str">
            <v>Construction &amp; Engineering</v>
          </cell>
        </row>
        <row r="251">
          <cell r="B251" t="str">
            <v>ANANT RAJ LTD</v>
          </cell>
          <cell r="C251">
            <v>515055</v>
          </cell>
          <cell r="D251" t="str">
            <v>ANANTRAJ</v>
          </cell>
          <cell r="E251" t="str">
            <v>Realty</v>
          </cell>
        </row>
        <row r="252">
          <cell r="B252" t="str">
            <v>ANDHRA BANK</v>
          </cell>
          <cell r="C252">
            <v>532418</v>
          </cell>
          <cell r="D252" t="str">
            <v>ANDHRABANK</v>
          </cell>
          <cell r="E252" t="str">
            <v>Banks</v>
          </cell>
        </row>
        <row r="253">
          <cell r="B253" t="str">
            <v>ANDHRA CEMENTS LTD</v>
          </cell>
          <cell r="C253">
            <v>532141</v>
          </cell>
          <cell r="D253" t="str">
            <v>ANDHRACEMT</v>
          </cell>
          <cell r="E253" t="str">
            <v>Cement &amp; Cement Products</v>
          </cell>
        </row>
        <row r="254">
          <cell r="B254" t="str">
            <v>ANDHRA PETROCHEMICALS LTD</v>
          </cell>
          <cell r="C254">
            <v>500012</v>
          </cell>
          <cell r="D254" t="str">
            <v>Not Listed</v>
          </cell>
          <cell r="E254" t="str">
            <v>Commodity Chemicals</v>
          </cell>
        </row>
        <row r="255">
          <cell r="B255" t="str">
            <v>ANDREW YULE &amp; COMPANY LTD</v>
          </cell>
          <cell r="C255">
            <v>526173</v>
          </cell>
          <cell r="D255" t="str">
            <v>Not Listed</v>
          </cell>
          <cell r="E255" t="str">
            <v>Tea &amp; Coffee</v>
          </cell>
        </row>
        <row r="256">
          <cell r="B256" t="str">
            <v>ANERI FINCAP LTD</v>
          </cell>
          <cell r="C256">
            <v>531252</v>
          </cell>
          <cell r="D256" t="str">
            <v>Not Listed</v>
          </cell>
          <cell r="E256" t="str">
            <v>Finance (including NBFCs)</v>
          </cell>
        </row>
        <row r="257">
          <cell r="B257" t="str">
            <v>ANG INDUSTRIES LTD</v>
          </cell>
          <cell r="C257">
            <v>530721</v>
          </cell>
          <cell r="D257" t="str">
            <v>ANGIND</v>
          </cell>
          <cell r="E257" t="str">
            <v>Auto Parts &amp; Equipment</v>
          </cell>
        </row>
        <row r="258">
          <cell r="B258" t="str">
            <v>ANG LIFESCIENCES (INDIA) LTD</v>
          </cell>
          <cell r="C258">
            <v>540694</v>
          </cell>
          <cell r="D258" t="str">
            <v>Not Listed</v>
          </cell>
          <cell r="E258" t="str">
            <v>Healthcare Services</v>
          </cell>
        </row>
        <row r="259">
          <cell r="B259" t="str">
            <v>ANG LIFESCIENCES INDIA LTD</v>
          </cell>
          <cell r="C259">
            <v>540694</v>
          </cell>
          <cell r="D259" t="str">
            <v>Not Listed</v>
          </cell>
          <cell r="E259" t="str">
            <v>Healthcare Services</v>
          </cell>
        </row>
        <row r="260">
          <cell r="B260" t="str">
            <v>ANGEL FIBERS LTD</v>
          </cell>
          <cell r="C260">
            <v>541006</v>
          </cell>
          <cell r="D260" t="str">
            <v>Not Listed</v>
          </cell>
          <cell r="E260" t="str">
            <v>Textiles</v>
          </cell>
        </row>
        <row r="261">
          <cell r="B261" t="str">
            <v>ANI INTEGRATED SERVICES LTD</v>
          </cell>
          <cell r="C261" t="str">
            <v>Not Listed</v>
          </cell>
          <cell r="D261" t="str">
            <v>AISL</v>
          </cell>
          <cell r="E261" t="str">
            <v>SME</v>
          </cell>
        </row>
        <row r="262">
          <cell r="B262" t="str">
            <v>ANIK INDUSTRIES LTD</v>
          </cell>
          <cell r="C262">
            <v>519383</v>
          </cell>
          <cell r="D262" t="str">
            <v>ANIKINDS</v>
          </cell>
          <cell r="E262" t="str">
            <v>Other Agricultural Products</v>
          </cell>
        </row>
        <row r="263">
          <cell r="B263" t="str">
            <v>ANISHA IMPEX LTD</v>
          </cell>
          <cell r="C263">
            <v>537785</v>
          </cell>
          <cell r="D263" t="str">
            <v>Not Listed</v>
          </cell>
          <cell r="E263" t="str">
            <v>Distributors</v>
          </cell>
        </row>
        <row r="264">
          <cell r="B264" t="str">
            <v>ANJANI FINANCE LTD</v>
          </cell>
          <cell r="C264">
            <v>531878</v>
          </cell>
          <cell r="D264" t="str">
            <v>Not Listed</v>
          </cell>
          <cell r="E264" t="str">
            <v>Finance (including NBFCs)</v>
          </cell>
        </row>
        <row r="265">
          <cell r="B265" t="str">
            <v>ANJANI FOODS LTD</v>
          </cell>
          <cell r="C265">
            <v>511153</v>
          </cell>
          <cell r="D265" t="str">
            <v>Not Listed</v>
          </cell>
          <cell r="E265" t="str">
            <v>Misc.Commercial Services</v>
          </cell>
        </row>
        <row r="266">
          <cell r="B266" t="str">
            <v>ANJANI PORTLAND CEMENT LTD</v>
          </cell>
          <cell r="C266">
            <v>518091</v>
          </cell>
          <cell r="D266" t="str">
            <v>APCL</v>
          </cell>
          <cell r="E266" t="str">
            <v>Cement &amp; Cement Products</v>
          </cell>
        </row>
        <row r="267">
          <cell r="B267" t="str">
            <v>ANJANI SYNTHETICS LTD</v>
          </cell>
          <cell r="C267">
            <v>531223</v>
          </cell>
          <cell r="D267" t="str">
            <v>Not Listed</v>
          </cell>
          <cell r="E267" t="str">
            <v>Textiles</v>
          </cell>
        </row>
        <row r="268">
          <cell r="B268" t="str">
            <v>ANKA (INDIA) LTD</v>
          </cell>
          <cell r="C268">
            <v>531673</v>
          </cell>
          <cell r="D268" t="str">
            <v>Not Listed</v>
          </cell>
          <cell r="E268" t="str">
            <v>Footwear</v>
          </cell>
        </row>
        <row r="269">
          <cell r="B269" t="str">
            <v>ANKA INDIA LTD</v>
          </cell>
          <cell r="C269">
            <v>531673</v>
          </cell>
          <cell r="D269" t="str">
            <v>Not Listed</v>
          </cell>
          <cell r="E269" t="str">
            <v>Footwear</v>
          </cell>
        </row>
        <row r="270">
          <cell r="B270" t="str">
            <v>ANKIT METAL &amp; POWER LTD</v>
          </cell>
          <cell r="C270">
            <v>532870</v>
          </cell>
          <cell r="D270" t="str">
            <v>ANKITMETAL</v>
          </cell>
          <cell r="E270" t="str">
            <v>Iron &amp; Steel/Interm.Products</v>
          </cell>
        </row>
        <row r="271">
          <cell r="B271" t="str">
            <v>ANKUSH FINSTOCK LTD</v>
          </cell>
          <cell r="C271">
            <v>531519</v>
          </cell>
          <cell r="D271" t="str">
            <v>Not Listed</v>
          </cell>
          <cell r="E271" t="str">
            <v>Other Financial Services</v>
          </cell>
        </row>
        <row r="272">
          <cell r="B272" t="str">
            <v>Anmol India Ltd</v>
          </cell>
          <cell r="C272">
            <v>542437</v>
          </cell>
          <cell r="D272" t="str">
            <v>ANMOL</v>
          </cell>
          <cell r="E272" t="str">
            <v>Distributors</v>
          </cell>
        </row>
        <row r="273">
          <cell r="B273" t="str">
            <v>ANNA INFRASTRUCTURES LTD</v>
          </cell>
          <cell r="C273">
            <v>530799</v>
          </cell>
          <cell r="D273" t="str">
            <v>Not Listed</v>
          </cell>
          <cell r="E273" t="str">
            <v>Finance (including NBFCs)</v>
          </cell>
        </row>
        <row r="274">
          <cell r="B274" t="str">
            <v>ANS INDUSTRIES LTD</v>
          </cell>
          <cell r="C274">
            <v>531406</v>
          </cell>
          <cell r="D274" t="str">
            <v>Not Listed</v>
          </cell>
          <cell r="E274" t="str">
            <v>Non-alcoholic Beverages</v>
          </cell>
        </row>
        <row r="275">
          <cell r="B275" t="str">
            <v>ANSAL BUILDWELL LTD</v>
          </cell>
          <cell r="C275">
            <v>523007</v>
          </cell>
          <cell r="D275" t="str">
            <v>Not Listed</v>
          </cell>
          <cell r="E275" t="str">
            <v>Realty</v>
          </cell>
        </row>
        <row r="276">
          <cell r="B276" t="str">
            <v>ANSAL HOUSING AND CONSTRUCTION LTD</v>
          </cell>
          <cell r="C276">
            <v>507828</v>
          </cell>
          <cell r="D276" t="str">
            <v>ANSALHSG</v>
          </cell>
          <cell r="E276" t="str">
            <v>Realty</v>
          </cell>
        </row>
        <row r="277">
          <cell r="B277" t="str">
            <v>ANSAL PROPERTIES &amp; INFRASTRUCTURE LTD</v>
          </cell>
          <cell r="C277">
            <v>500013</v>
          </cell>
          <cell r="D277" t="str">
            <v>ANSALAPI</v>
          </cell>
          <cell r="E277" t="str">
            <v>Realty</v>
          </cell>
        </row>
        <row r="278">
          <cell r="B278" t="str">
            <v>ANSHUNI COMMERCIALS LTD</v>
          </cell>
          <cell r="C278">
            <v>512091</v>
          </cell>
          <cell r="D278" t="str">
            <v>Not Listed</v>
          </cell>
          <cell r="E278" t="str">
            <v>Other Apparels &amp; Accessories</v>
          </cell>
        </row>
        <row r="279">
          <cell r="B279" t="str">
            <v>ANTARCTICA LTD</v>
          </cell>
          <cell r="C279" t="str">
            <v>Not Listed</v>
          </cell>
          <cell r="D279" t="str">
            <v>ANTGRAPHIC</v>
          </cell>
          <cell r="E279" t="str">
            <v>Others</v>
          </cell>
        </row>
        <row r="280">
          <cell r="B280" t="str">
            <v>ANTARIKSH INDUSTRIES LTD</v>
          </cell>
          <cell r="C280">
            <v>501270</v>
          </cell>
          <cell r="D280" t="str">
            <v>Not Listed</v>
          </cell>
          <cell r="E280" t="str">
            <v>Realty</v>
          </cell>
        </row>
        <row r="281">
          <cell r="B281" t="str">
            <v>ANUBHAV INDUSTRIAL RESOURCES LTD</v>
          </cell>
          <cell r="C281">
            <v>539697</v>
          </cell>
          <cell r="D281" t="str">
            <v>Not Listed</v>
          </cell>
          <cell r="E281" t="str">
            <v>Real Estate Investment</v>
          </cell>
        </row>
        <row r="282">
          <cell r="B282" t="str">
            <v>ANUBHAV INFRASTRUCTURE LTD</v>
          </cell>
          <cell r="C282">
            <v>538833</v>
          </cell>
          <cell r="D282" t="str">
            <v>Not Listed</v>
          </cell>
          <cell r="E282" t="str">
            <v>Construction &amp; Engineering</v>
          </cell>
        </row>
        <row r="283">
          <cell r="B283" t="str">
            <v>ANUH PHARMA LTD</v>
          </cell>
          <cell r="C283">
            <v>506260</v>
          </cell>
          <cell r="D283" t="str">
            <v>Not Listed</v>
          </cell>
          <cell r="E283" t="str">
            <v>Pharmaceuticals</v>
          </cell>
        </row>
        <row r="284">
          <cell r="B284" t="str">
            <v>ANUP MALLEABLE LTD</v>
          </cell>
          <cell r="C284">
            <v>506087</v>
          </cell>
          <cell r="D284" t="str">
            <v>Not Listed</v>
          </cell>
          <cell r="E284" t="str">
            <v>Iron &amp; Steel Products</v>
          </cell>
        </row>
        <row r="285">
          <cell r="B285" t="str">
            <v>ANUPAM FINSERV LTD</v>
          </cell>
          <cell r="C285">
            <v>530109</v>
          </cell>
          <cell r="D285" t="str">
            <v>Not Listed</v>
          </cell>
          <cell r="E285" t="str">
            <v>Finance (including NBFCs)</v>
          </cell>
        </row>
        <row r="286">
          <cell r="B286" t="str">
            <v>APAR INDUSTRIES LTD</v>
          </cell>
          <cell r="C286">
            <v>532259</v>
          </cell>
          <cell r="D286" t="str">
            <v>APARINDS</v>
          </cell>
          <cell r="E286" t="str">
            <v>Other Elect.Equip./ Prod.</v>
          </cell>
        </row>
        <row r="287">
          <cell r="B287" t="str">
            <v>APCOTEX INDUSTRIES LTD</v>
          </cell>
          <cell r="C287">
            <v>523694</v>
          </cell>
          <cell r="D287" t="str">
            <v>APCOTEXIND</v>
          </cell>
          <cell r="E287" t="str">
            <v>Other Industrial Goods</v>
          </cell>
        </row>
        <row r="288">
          <cell r="B288" t="str">
            <v>APEX FROZEN FOODS LTD</v>
          </cell>
          <cell r="C288">
            <v>540692</v>
          </cell>
          <cell r="D288" t="str">
            <v>APEX</v>
          </cell>
          <cell r="E288" t="str">
            <v>Packaged Foods</v>
          </cell>
        </row>
        <row r="289">
          <cell r="B289" t="str">
            <v>APEX HOME FINANCE LTD</v>
          </cell>
          <cell r="C289">
            <v>541133</v>
          </cell>
          <cell r="D289" t="str">
            <v>Not Listed</v>
          </cell>
          <cell r="E289" t="str">
            <v>Finance (including NBFCs)</v>
          </cell>
        </row>
        <row r="290">
          <cell r="B290" t="str">
            <v>APIS (INDIA) LTD</v>
          </cell>
          <cell r="C290">
            <v>506166</v>
          </cell>
          <cell r="D290" t="str">
            <v>Not Listed</v>
          </cell>
          <cell r="E290" t="str">
            <v>Other Food Products</v>
          </cell>
        </row>
        <row r="291">
          <cell r="B291" t="str">
            <v>APIS INDIA LTD</v>
          </cell>
          <cell r="C291">
            <v>506166</v>
          </cell>
          <cell r="D291" t="str">
            <v>Not Listed</v>
          </cell>
          <cell r="E291" t="str">
            <v>Other Food Products</v>
          </cell>
        </row>
        <row r="292">
          <cell r="B292" t="str">
            <v>APL APOLLO TUBES LTD</v>
          </cell>
          <cell r="C292">
            <v>533758</v>
          </cell>
          <cell r="D292" t="str">
            <v>APLAPOLLO</v>
          </cell>
          <cell r="E292" t="str">
            <v>Iron &amp; Steel Products</v>
          </cell>
        </row>
        <row r="293">
          <cell r="B293" t="str">
            <v>APLAB LTD</v>
          </cell>
          <cell r="C293">
            <v>517096</v>
          </cell>
          <cell r="D293" t="str">
            <v>Not Listed</v>
          </cell>
          <cell r="E293" t="str">
            <v>Other Elect.Equip./ Prod.</v>
          </cell>
        </row>
        <row r="294">
          <cell r="B294" t="str">
            <v>Aplaya Creations Ltd</v>
          </cell>
          <cell r="C294">
            <v>511064</v>
          </cell>
          <cell r="D294" t="str">
            <v>APLAYA</v>
          </cell>
          <cell r="E294" t="str">
            <v>Comm.Trading  &amp;amp; Distribution</v>
          </cell>
        </row>
        <row r="295">
          <cell r="B295" t="str">
            <v>APM INDUSTRIES LTD</v>
          </cell>
          <cell r="C295">
            <v>523537</v>
          </cell>
          <cell r="D295" t="str">
            <v>Not Listed</v>
          </cell>
          <cell r="E295" t="str">
            <v>Textiles</v>
          </cell>
        </row>
        <row r="296">
          <cell r="B296" t="str">
            <v>APOLLO FINVEST (INDIA) LTD</v>
          </cell>
          <cell r="C296">
            <v>512437</v>
          </cell>
          <cell r="D296" t="str">
            <v>Not Listed</v>
          </cell>
          <cell r="E296" t="str">
            <v>Other Financial Services</v>
          </cell>
        </row>
        <row r="297">
          <cell r="B297" t="str">
            <v>APOLLO FINVEST INDIA LTD</v>
          </cell>
          <cell r="C297">
            <v>512437</v>
          </cell>
          <cell r="D297" t="str">
            <v>Not Listed</v>
          </cell>
          <cell r="E297" t="str">
            <v>Other Financial Services</v>
          </cell>
        </row>
        <row r="298">
          <cell r="B298" t="str">
            <v>APOLLO HOSPITALS ENTERPRISE LTD</v>
          </cell>
          <cell r="C298">
            <v>508869</v>
          </cell>
          <cell r="D298" t="str">
            <v>APOLLOHOSP</v>
          </cell>
          <cell r="E298" t="str">
            <v>Healthcare Facilities</v>
          </cell>
        </row>
        <row r="299">
          <cell r="B299" t="str">
            <v>APOLLO MICRO SYSTEMS LTD</v>
          </cell>
          <cell r="C299">
            <v>540879</v>
          </cell>
          <cell r="D299" t="str">
            <v>APOLLO</v>
          </cell>
          <cell r="E299" t="str">
            <v>Defence</v>
          </cell>
        </row>
        <row r="300">
          <cell r="B300" t="str">
            <v>APOLLO PIPES LTD</v>
          </cell>
          <cell r="C300">
            <v>531761</v>
          </cell>
          <cell r="D300" t="str">
            <v>Not Listed</v>
          </cell>
          <cell r="E300" t="str">
            <v>Plastic Products</v>
          </cell>
        </row>
        <row r="301">
          <cell r="B301" t="str">
            <v>APOLLO SINDOORI HOTELS LTD</v>
          </cell>
          <cell r="C301" t="str">
            <v>Not Listed</v>
          </cell>
          <cell r="D301" t="str">
            <v>APOLSINHOT</v>
          </cell>
          <cell r="E301" t="str">
            <v>Others</v>
          </cell>
        </row>
        <row r="302">
          <cell r="B302" t="str">
            <v>APOLLO TRICOAT TUBES LTD</v>
          </cell>
          <cell r="C302">
            <v>538566</v>
          </cell>
          <cell r="D302" t="str">
            <v>Not Listed</v>
          </cell>
          <cell r="E302" t="str">
            <v>Comm.Trading  &amp; Distribution</v>
          </cell>
        </row>
        <row r="303">
          <cell r="B303" t="str">
            <v>APOLLO TYRES LTD</v>
          </cell>
          <cell r="C303">
            <v>500877</v>
          </cell>
          <cell r="D303" t="str">
            <v>APOLLOTYRE</v>
          </cell>
          <cell r="E303" t="str">
            <v>Auto Tyres &amp; Rubber Products</v>
          </cell>
        </row>
        <row r="304">
          <cell r="B304" t="str">
            <v>APOORVA LEASING FINANCE AND INVESTMENT COMPANY LTD</v>
          </cell>
          <cell r="C304">
            <v>539545</v>
          </cell>
          <cell r="D304" t="str">
            <v>Not Listed</v>
          </cell>
          <cell r="E304" t="str">
            <v>Investment Companies</v>
          </cell>
        </row>
        <row r="305">
          <cell r="B305" t="str">
            <v>APPLE FINANCE LTD</v>
          </cell>
          <cell r="C305">
            <v>500014</v>
          </cell>
          <cell r="D305" t="str">
            <v>Not Listed</v>
          </cell>
          <cell r="E305" t="str">
            <v>Finance (including NBFCs)</v>
          </cell>
        </row>
        <row r="306">
          <cell r="B306" t="str">
            <v>APTECH LTD</v>
          </cell>
          <cell r="C306">
            <v>532475</v>
          </cell>
          <cell r="D306" t="str">
            <v>APTECHT</v>
          </cell>
          <cell r="E306" t="str">
            <v>IT Training Services</v>
          </cell>
        </row>
        <row r="307">
          <cell r="B307" t="str">
            <v>APUNKA INVEST COMMERCIAL LTD</v>
          </cell>
          <cell r="C307">
            <v>539469</v>
          </cell>
          <cell r="D307" t="str">
            <v>Not Listed</v>
          </cell>
          <cell r="E307" t="str">
            <v>Comm.Trading  &amp; Distribution</v>
          </cell>
        </row>
        <row r="308">
          <cell r="B308" t="str">
            <v>AQUA PUMPS INFRA VENTURES LTD</v>
          </cell>
          <cell r="C308">
            <v>531364</v>
          </cell>
          <cell r="D308" t="str">
            <v>Not Listed</v>
          </cell>
          <cell r="E308" t="str">
            <v>Construction &amp; Engineering</v>
          </cell>
        </row>
        <row r="309">
          <cell r="B309" t="str">
            <v>ARAMBHAN HOSPITALITY SERVICES LTD</v>
          </cell>
          <cell r="C309">
            <v>539403</v>
          </cell>
          <cell r="D309" t="str">
            <v>Not Listed</v>
          </cell>
          <cell r="E309" t="str">
            <v>Restaurants</v>
          </cell>
        </row>
        <row r="310">
          <cell r="B310" t="str">
            <v>ARC FINANCE LTD</v>
          </cell>
          <cell r="C310">
            <v>540135</v>
          </cell>
          <cell r="D310" t="str">
            <v>Not Listed</v>
          </cell>
          <cell r="E310" t="str">
            <v>Other Financial Services</v>
          </cell>
        </row>
        <row r="311">
          <cell r="B311" t="str">
            <v>ARCEE INDUSTRIES LTD</v>
          </cell>
          <cell r="C311">
            <v>520121</v>
          </cell>
          <cell r="D311" t="str">
            <v>Not Listed</v>
          </cell>
          <cell r="E311" t="str">
            <v>Plastic Products</v>
          </cell>
        </row>
        <row r="312">
          <cell r="B312" t="str">
            <v>ARCHANA SOFTWARE LTD</v>
          </cell>
          <cell r="C312">
            <v>530565</v>
          </cell>
          <cell r="D312" t="str">
            <v>Not Listed</v>
          </cell>
          <cell r="E312" t="str">
            <v>IT Software Products</v>
          </cell>
        </row>
        <row r="313">
          <cell r="B313" t="str">
            <v>ARCHIDPLY INDUSTRIES LTD</v>
          </cell>
          <cell r="C313">
            <v>532994</v>
          </cell>
          <cell r="D313" t="str">
            <v>ARCHIDPLY</v>
          </cell>
          <cell r="E313" t="str">
            <v>Forest Products</v>
          </cell>
        </row>
        <row r="314">
          <cell r="B314" t="str">
            <v>ARCHIES LTD</v>
          </cell>
          <cell r="C314">
            <v>532212</v>
          </cell>
          <cell r="D314" t="str">
            <v>ARCHIES</v>
          </cell>
          <cell r="E314" t="str">
            <v xml:space="preserve">Gift Articles-Toys &amp; Cards </v>
          </cell>
        </row>
        <row r="315">
          <cell r="B315" t="str">
            <v>ARCHIT ORGANOSYS LTD</v>
          </cell>
          <cell r="C315">
            <v>524640</v>
          </cell>
          <cell r="D315" t="str">
            <v>Not Listed</v>
          </cell>
          <cell r="E315" t="str">
            <v>Commodity Chemicals</v>
          </cell>
        </row>
        <row r="316">
          <cell r="B316" t="str">
            <v>ARCOTECH LTD</v>
          </cell>
          <cell r="C316">
            <v>532914</v>
          </cell>
          <cell r="D316" t="str">
            <v>ARCOTECH</v>
          </cell>
          <cell r="E316" t="str">
            <v>Copper</v>
          </cell>
        </row>
        <row r="317">
          <cell r="B317" t="str">
            <v>ARDI INVESTMENT &amp; TRADING LTD</v>
          </cell>
          <cell r="C317">
            <v>504370</v>
          </cell>
          <cell r="D317" t="str">
            <v>Not Listed</v>
          </cell>
          <cell r="E317" t="str">
            <v>Misc.Commercial Services</v>
          </cell>
        </row>
        <row r="318">
          <cell r="B318" t="str">
            <v>AREX INDUSTRIES LTD</v>
          </cell>
          <cell r="C318">
            <v>526851</v>
          </cell>
          <cell r="D318" t="str">
            <v>Not Listed</v>
          </cell>
          <cell r="E318" t="str">
            <v>Textiles</v>
          </cell>
        </row>
        <row r="319">
          <cell r="B319" t="str">
            <v>ARFIN (INDIA) LTD</v>
          </cell>
          <cell r="C319">
            <v>539151</v>
          </cell>
          <cell r="D319" t="str">
            <v>Not Listed</v>
          </cell>
          <cell r="E319" t="str">
            <v>Aluminium</v>
          </cell>
        </row>
        <row r="320">
          <cell r="B320" t="str">
            <v>ARFIN INDIA LTD</v>
          </cell>
          <cell r="C320">
            <v>539151</v>
          </cell>
          <cell r="D320" t="str">
            <v>Not Listed</v>
          </cell>
          <cell r="E320" t="str">
            <v>Aluminium</v>
          </cell>
        </row>
        <row r="321">
          <cell r="B321" t="str">
            <v>ARIES AGRO LTD</v>
          </cell>
          <cell r="C321">
            <v>532935</v>
          </cell>
          <cell r="D321" t="str">
            <v>ARIES</v>
          </cell>
          <cell r="E321" t="str">
            <v>Fertilizers</v>
          </cell>
        </row>
        <row r="322">
          <cell r="B322" t="str">
            <v>ARIHANT CAPITAL MARKETS LTD</v>
          </cell>
          <cell r="C322">
            <v>511605</v>
          </cell>
          <cell r="D322" t="str">
            <v>Not Listed</v>
          </cell>
          <cell r="E322" t="str">
            <v>Other Financial Services</v>
          </cell>
        </row>
        <row r="323">
          <cell r="B323" t="str">
            <v>ARIHANT FOUNDATIONS &amp; HOUSING LTD</v>
          </cell>
          <cell r="C323">
            <v>531381</v>
          </cell>
          <cell r="D323" t="str">
            <v>ARIHANT</v>
          </cell>
          <cell r="E323" t="str">
            <v>Realty</v>
          </cell>
        </row>
        <row r="324">
          <cell r="B324" t="str">
            <v>ARIHANT INSTITUTE LTD</v>
          </cell>
          <cell r="C324">
            <v>541401</v>
          </cell>
          <cell r="D324" t="str">
            <v>Not Listed</v>
          </cell>
          <cell r="E324" t="str">
            <v>Education</v>
          </cell>
        </row>
        <row r="325">
          <cell r="B325" t="str">
            <v>ARIHANT SUPERSTRUCTURES LTD</v>
          </cell>
          <cell r="C325">
            <v>506194</v>
          </cell>
          <cell r="D325" t="str">
            <v>ARIHANTSUP</v>
          </cell>
          <cell r="E325" t="str">
            <v>Realty</v>
          </cell>
        </row>
        <row r="326">
          <cell r="B326" t="str">
            <v>ARIHANT TOURNESOL LTD</v>
          </cell>
          <cell r="C326">
            <v>526125</v>
          </cell>
          <cell r="D326" t="str">
            <v>Not Listed</v>
          </cell>
          <cell r="E326" t="str">
            <v>Comm.Trading  &amp; Distribution</v>
          </cell>
        </row>
        <row r="327">
          <cell r="B327" t="str">
            <v>ARIHANT'S SECURITIES LTD</v>
          </cell>
          <cell r="C327">
            <v>531017</v>
          </cell>
          <cell r="D327" t="str">
            <v>Not Listed</v>
          </cell>
          <cell r="E327" t="str">
            <v>Misc.Commercial Services</v>
          </cell>
        </row>
        <row r="328">
          <cell r="B328" t="str">
            <v>ARIS INTERNATIONAL LTD</v>
          </cell>
          <cell r="C328">
            <v>531677</v>
          </cell>
          <cell r="D328" t="str">
            <v>Not Listed</v>
          </cell>
          <cell r="E328" t="str">
            <v>IT Consulting &amp; Software</v>
          </cell>
        </row>
        <row r="329">
          <cell r="B329" t="str">
            <v>ARMAN FINANCIAL SERVICES LTD</v>
          </cell>
          <cell r="C329">
            <v>531179</v>
          </cell>
          <cell r="D329" t="str">
            <v>ARMANFIN</v>
          </cell>
          <cell r="E329" t="str">
            <v>Finance (including NBFCs)</v>
          </cell>
        </row>
        <row r="330">
          <cell r="B330" t="str">
            <v>Arman Holdings Ltd</v>
          </cell>
          <cell r="C330">
            <v>538556</v>
          </cell>
          <cell r="D330" t="str">
            <v>ARMAN</v>
          </cell>
          <cell r="E330" t="str">
            <v>Investment Companies</v>
          </cell>
        </row>
        <row r="331">
          <cell r="B331" t="str">
            <v>ARMS PAPER LTD</v>
          </cell>
          <cell r="C331">
            <v>532397</v>
          </cell>
          <cell r="D331" t="str">
            <v>Not Listed</v>
          </cell>
          <cell r="E331" t="str">
            <v>Paper &amp; Paper Products</v>
          </cell>
        </row>
        <row r="332">
          <cell r="B332" t="str">
            <v>ARNAV CORPORATION LTD</v>
          </cell>
          <cell r="C332">
            <v>531467</v>
          </cell>
          <cell r="D332" t="str">
            <v>Not Listed</v>
          </cell>
          <cell r="E332" t="str">
            <v>Publishing</v>
          </cell>
        </row>
        <row r="333">
          <cell r="B333" t="str">
            <v>ARNOLD HOLDINGS LTD</v>
          </cell>
          <cell r="C333">
            <v>537069</v>
          </cell>
          <cell r="D333" t="str">
            <v>Not Listed</v>
          </cell>
          <cell r="E333" t="str">
            <v>Finance (including NBFCs)</v>
          </cell>
        </row>
        <row r="334">
          <cell r="B334" t="str">
            <v>ARO GRANITE INDUSTRIES LTD</v>
          </cell>
          <cell r="C334">
            <v>513729</v>
          </cell>
          <cell r="D334" t="str">
            <v>AROGRANITE</v>
          </cell>
          <cell r="E334" t="str">
            <v>Construction Materials</v>
          </cell>
        </row>
        <row r="335">
          <cell r="B335" t="str">
            <v>AROMA ENTERPRISES (INDIA) LTD</v>
          </cell>
          <cell r="C335">
            <v>531560</v>
          </cell>
          <cell r="D335" t="str">
            <v>Not Listed</v>
          </cell>
          <cell r="E335" t="str">
            <v>Misc.Commercial Services</v>
          </cell>
        </row>
        <row r="336">
          <cell r="B336" t="str">
            <v>AROMA ENTERPRISES INDIA LTD</v>
          </cell>
          <cell r="C336">
            <v>531560</v>
          </cell>
          <cell r="D336" t="str">
            <v>Not Listed</v>
          </cell>
          <cell r="E336" t="str">
            <v>Misc.Commercial Services</v>
          </cell>
        </row>
        <row r="337">
          <cell r="B337" t="str">
            <v>ARROW GREENTECH LTD</v>
          </cell>
          <cell r="C337">
            <v>516064</v>
          </cell>
          <cell r="D337" t="str">
            <v>ARROWGREEN</v>
          </cell>
          <cell r="E337" t="str">
            <v>Plastic Products</v>
          </cell>
        </row>
        <row r="338">
          <cell r="B338" t="str">
            <v>ARROW TEXTILES LTD</v>
          </cell>
          <cell r="C338">
            <v>533068</v>
          </cell>
          <cell r="D338" t="str">
            <v>ARROWTEX</v>
          </cell>
          <cell r="E338" t="str">
            <v>Other Apparels &amp; Accessories</v>
          </cell>
        </row>
        <row r="339">
          <cell r="B339" t="str">
            <v>ARSHIYA LTD</v>
          </cell>
          <cell r="C339">
            <v>506074</v>
          </cell>
          <cell r="D339" t="str">
            <v>ARSHIYA</v>
          </cell>
          <cell r="E339" t="str">
            <v>Transportation - Logistics</v>
          </cell>
        </row>
        <row r="340">
          <cell r="B340" t="str">
            <v>ARSS INFRASTRUCTURE PROJECTS LTD</v>
          </cell>
          <cell r="C340">
            <v>533163</v>
          </cell>
          <cell r="D340" t="str">
            <v>ARSSINFRA</v>
          </cell>
          <cell r="E340" t="str">
            <v>Construction &amp; Engineering</v>
          </cell>
        </row>
        <row r="341">
          <cell r="B341" t="str">
            <v>ART NIRMAN LTD</v>
          </cell>
          <cell r="C341" t="str">
            <v>Not Listed</v>
          </cell>
          <cell r="D341" t="str">
            <v>ARTNIRMAN</v>
          </cell>
          <cell r="E341" t="str">
            <v>SME</v>
          </cell>
        </row>
        <row r="342">
          <cell r="B342" t="str">
            <v>ARTECH POWER &amp; TRADING LTD</v>
          </cell>
          <cell r="C342">
            <v>517481</v>
          </cell>
          <cell r="D342" t="str">
            <v>Not Listed</v>
          </cell>
          <cell r="E342" t="str">
            <v>Electronic Components</v>
          </cell>
        </row>
        <row r="343">
          <cell r="B343" t="str">
            <v>ARTEFACT PROJECTS LTD</v>
          </cell>
          <cell r="C343">
            <v>531297</v>
          </cell>
          <cell r="D343" t="str">
            <v>Not Listed</v>
          </cell>
          <cell r="E343" t="str">
            <v>Consulting Services</v>
          </cell>
        </row>
        <row r="344">
          <cell r="B344" t="str">
            <v>Artemis Electricals Ltd</v>
          </cell>
          <cell r="C344">
            <v>542670</v>
          </cell>
          <cell r="D344" t="str">
            <v>ARTEMISELC</v>
          </cell>
          <cell r="E344" t="str">
            <v>Non-Durable Household Prod.</v>
          </cell>
        </row>
        <row r="345">
          <cell r="B345" t="str">
            <v>ARTEMIS GLOBAL LIFE SCIENCES LTD</v>
          </cell>
          <cell r="C345">
            <v>540616</v>
          </cell>
          <cell r="D345" t="str">
            <v>AGLSL</v>
          </cell>
          <cell r="E345" t="str">
            <v>Healthcare Facilities</v>
          </cell>
        </row>
        <row r="346">
          <cell r="B346" t="str">
            <v>ARTSON ENGINEERING LTD</v>
          </cell>
          <cell r="C346">
            <v>522134</v>
          </cell>
          <cell r="D346" t="str">
            <v>Not Listed</v>
          </cell>
          <cell r="E346" t="str">
            <v>Industrial Machinery</v>
          </cell>
        </row>
        <row r="347">
          <cell r="B347" t="str">
            <v>ARUNA HOTELS LTD</v>
          </cell>
          <cell r="C347">
            <v>500016</v>
          </cell>
          <cell r="D347" t="str">
            <v>Not Listed</v>
          </cell>
          <cell r="E347" t="str">
            <v>Hotels</v>
          </cell>
        </row>
        <row r="348">
          <cell r="B348" t="str">
            <v>ARVEE LABORATORIES (INDIA) LTD</v>
          </cell>
          <cell r="C348" t="str">
            <v>Not Listed</v>
          </cell>
          <cell r="D348" t="str">
            <v>ARVEE</v>
          </cell>
          <cell r="E348" t="str">
            <v>SME</v>
          </cell>
        </row>
        <row r="349">
          <cell r="B349" t="str">
            <v>ARVEE LABORATORIES INDIA LTD</v>
          </cell>
          <cell r="C349" t="str">
            <v>Not Listed</v>
          </cell>
          <cell r="D349" t="str">
            <v>ARVEE</v>
          </cell>
          <cell r="E349" t="str">
            <v>SME</v>
          </cell>
        </row>
        <row r="350">
          <cell r="B350" t="str">
            <v>Arvind Fashions Ltd</v>
          </cell>
          <cell r="C350">
            <v>542484</v>
          </cell>
          <cell r="D350" t="str">
            <v>ARVINDFASN</v>
          </cell>
          <cell r="E350" t="str">
            <v>Other Apparels &amp;amp; Accessories</v>
          </cell>
        </row>
        <row r="351">
          <cell r="B351" t="str">
            <v>ARVIND LTD</v>
          </cell>
          <cell r="C351">
            <v>500101</v>
          </cell>
          <cell r="D351" t="str">
            <v>ARVIND</v>
          </cell>
          <cell r="E351" t="str">
            <v>Textiles</v>
          </cell>
        </row>
        <row r="352">
          <cell r="B352" t="str">
            <v>ARVIND SMARTSPACES LTD</v>
          </cell>
          <cell r="C352">
            <v>539301</v>
          </cell>
          <cell r="D352" t="str">
            <v>ARVSMART</v>
          </cell>
          <cell r="E352" t="str">
            <v>Realty</v>
          </cell>
        </row>
        <row r="353">
          <cell r="B353" t="str">
            <v>ARYAMAN CAPITAL MARKETS LTD</v>
          </cell>
          <cell r="C353">
            <v>538716</v>
          </cell>
          <cell r="D353" t="str">
            <v>Not Listed</v>
          </cell>
          <cell r="E353" t="str">
            <v>Other Financial Services</v>
          </cell>
        </row>
        <row r="354">
          <cell r="B354" t="str">
            <v>ARYAMAN FINANCIAL SERVICES LTD</v>
          </cell>
          <cell r="C354">
            <v>530245</v>
          </cell>
          <cell r="D354" t="str">
            <v>Not Listed</v>
          </cell>
          <cell r="E354" t="str">
            <v>Finance (including NBFCs)</v>
          </cell>
        </row>
        <row r="355">
          <cell r="B355" t="str">
            <v>Aryan Share and Stock Brokers Ltd</v>
          </cell>
          <cell r="C355">
            <v>542176</v>
          </cell>
          <cell r="D355" t="str">
            <v>ARYAN</v>
          </cell>
          <cell r="E355" t="str">
            <v>Other Financial Services</v>
          </cell>
        </row>
        <row r="356">
          <cell r="B356" t="str">
            <v>ASAHI INDIA GLASS LTD</v>
          </cell>
          <cell r="C356">
            <v>515030</v>
          </cell>
          <cell r="D356" t="str">
            <v>ASAHIINDIA</v>
          </cell>
          <cell r="E356" t="str">
            <v>Auto Parts &amp; Equipment</v>
          </cell>
        </row>
        <row r="357">
          <cell r="B357" t="str">
            <v>ASAHI INDUSTRIES LTD</v>
          </cell>
          <cell r="C357">
            <v>514482</v>
          </cell>
          <cell r="D357" t="str">
            <v>Not Listed</v>
          </cell>
          <cell r="E357" t="str">
            <v>Textiles</v>
          </cell>
        </row>
        <row r="358">
          <cell r="B358" t="str">
            <v>ASAHI SONGWON COLORS LTD</v>
          </cell>
          <cell r="C358">
            <v>532853</v>
          </cell>
          <cell r="D358" t="str">
            <v>ASAHISONG</v>
          </cell>
          <cell r="E358" t="str">
            <v>Specialty Chemicals</v>
          </cell>
        </row>
        <row r="359">
          <cell r="B359" t="str">
            <v>ASHAPURA INTIMATES FASHION LTD</v>
          </cell>
          <cell r="C359">
            <v>535467</v>
          </cell>
          <cell r="D359" t="str">
            <v>AIFL</v>
          </cell>
          <cell r="E359" t="str">
            <v>Other Apparels &amp; Accessories</v>
          </cell>
        </row>
        <row r="360">
          <cell r="B360" t="str">
            <v>ASHAPURA MINECHEM LTD</v>
          </cell>
          <cell r="C360">
            <v>527001</v>
          </cell>
          <cell r="D360" t="str">
            <v>ASHAPURMIN</v>
          </cell>
          <cell r="E360" t="str">
            <v>Mining</v>
          </cell>
        </row>
        <row r="361">
          <cell r="B361" t="str">
            <v>Ashapuri Gold Ornament Ltd</v>
          </cell>
          <cell r="C361">
            <v>542579</v>
          </cell>
          <cell r="D361" t="str">
            <v>AGOL</v>
          </cell>
          <cell r="E361" t="str">
            <v>Other Apparels &amp;amp; Accessories</v>
          </cell>
        </row>
        <row r="362">
          <cell r="B362" t="str">
            <v>ASHARI AGENCIES LTD</v>
          </cell>
          <cell r="C362">
            <v>540024</v>
          </cell>
          <cell r="D362" t="str">
            <v>Not Listed</v>
          </cell>
          <cell r="E362" t="str">
            <v>Other Financial Services</v>
          </cell>
        </row>
        <row r="363">
          <cell r="B363" t="str">
            <v>ASHIANA AGRO INDUSTRIES LTD</v>
          </cell>
          <cell r="C363">
            <v>519174</v>
          </cell>
          <cell r="D363" t="str">
            <v>Not Listed</v>
          </cell>
          <cell r="E363" t="str">
            <v>Edible Oils</v>
          </cell>
        </row>
        <row r="364">
          <cell r="B364" t="str">
            <v>ASHIANA HOUSING LTD</v>
          </cell>
          <cell r="C364">
            <v>523716</v>
          </cell>
          <cell r="D364" t="str">
            <v>ASHIANA</v>
          </cell>
          <cell r="E364" t="str">
            <v>Realty</v>
          </cell>
        </row>
        <row r="365">
          <cell r="B365" t="str">
            <v>ASHIANA ISPAT LTD</v>
          </cell>
          <cell r="C365">
            <v>513401</v>
          </cell>
          <cell r="D365" t="str">
            <v>Not Listed</v>
          </cell>
          <cell r="E365" t="str">
            <v>Iron &amp; Steel/Interm.Products</v>
          </cell>
        </row>
        <row r="366">
          <cell r="B366" t="str">
            <v>ASHIKA CREDIT CAPITAL LTD.</v>
          </cell>
          <cell r="C366">
            <v>590122</v>
          </cell>
          <cell r="D366" t="str">
            <v>ASHIKACR</v>
          </cell>
          <cell r="E366" t="str">
            <v>Finance (including NBFCs)</v>
          </cell>
        </row>
        <row r="367">
          <cell r="B367" t="str">
            <v>ASHIMA LTD</v>
          </cell>
          <cell r="C367">
            <v>514286</v>
          </cell>
          <cell r="D367" t="str">
            <v>ASHIMASYN</v>
          </cell>
          <cell r="E367" t="str">
            <v>Textiles</v>
          </cell>
        </row>
        <row r="368">
          <cell r="B368" t="str">
            <v>ASHIRWAD CAPITAL LTD</v>
          </cell>
          <cell r="C368">
            <v>512247</v>
          </cell>
          <cell r="D368" t="str">
            <v>Not Listed</v>
          </cell>
          <cell r="E368" t="str">
            <v>Other Financial Services</v>
          </cell>
        </row>
        <row r="369">
          <cell r="B369" t="str">
            <v>ASHIRWAD STEELS &amp; INDUSTRIES LTD</v>
          </cell>
          <cell r="C369">
            <v>526847</v>
          </cell>
          <cell r="D369" t="str">
            <v>Not Listed</v>
          </cell>
          <cell r="E369" t="str">
            <v>Iron &amp; Steel/Interm.Products</v>
          </cell>
        </row>
        <row r="370">
          <cell r="B370" t="str">
            <v>ASHISH POLYPLAST LTD</v>
          </cell>
          <cell r="C370">
            <v>530429</v>
          </cell>
          <cell r="D370" t="str">
            <v>Not Listed</v>
          </cell>
          <cell r="E370" t="str">
            <v>Plastic Products</v>
          </cell>
        </row>
        <row r="371">
          <cell r="B371" t="str">
            <v>ASHNISHA INDUSTRIES LTD</v>
          </cell>
          <cell r="C371">
            <v>541702</v>
          </cell>
          <cell r="D371" t="str">
            <v>Not Listed</v>
          </cell>
          <cell r="E371" t="str">
            <v>Comm.Trading  &amp; Distribution</v>
          </cell>
        </row>
        <row r="372">
          <cell r="B372" t="str">
            <v>ASHNOOR TEXTILE MILLS LTD</v>
          </cell>
          <cell r="C372">
            <v>507872</v>
          </cell>
          <cell r="D372" t="str">
            <v>Not Listed</v>
          </cell>
          <cell r="E372" t="str">
            <v>Textiles</v>
          </cell>
        </row>
        <row r="373">
          <cell r="B373" t="str">
            <v>ASHOK ALCO-CHEM LTD</v>
          </cell>
          <cell r="C373">
            <v>524594</v>
          </cell>
          <cell r="D373" t="str">
            <v>Not Listed</v>
          </cell>
          <cell r="E373" t="str">
            <v>Commodity Chemicals</v>
          </cell>
        </row>
        <row r="374">
          <cell r="B374" t="str">
            <v>ASHOK LEYLAND LTD</v>
          </cell>
          <cell r="C374">
            <v>500477</v>
          </cell>
          <cell r="D374" t="str">
            <v>ASHOKLEY</v>
          </cell>
          <cell r="E374" t="str">
            <v>Commercial Vehicles</v>
          </cell>
        </row>
        <row r="375">
          <cell r="B375" t="str">
            <v>ASHOKA BUILDCON LTD</v>
          </cell>
          <cell r="C375">
            <v>533271</v>
          </cell>
          <cell r="D375" t="str">
            <v>ASHOKA</v>
          </cell>
          <cell r="E375" t="str">
            <v>Roads &amp; Highways</v>
          </cell>
        </row>
        <row r="376">
          <cell r="B376" t="str">
            <v>ASHOKA METCAST LTD</v>
          </cell>
          <cell r="C376">
            <v>540923</v>
          </cell>
          <cell r="D376" t="str">
            <v>Not Listed</v>
          </cell>
          <cell r="E376" t="str">
            <v>Construction &amp; Engineering</v>
          </cell>
        </row>
        <row r="377">
          <cell r="B377" t="str">
            <v>ASHOKA REFINERIES LTD</v>
          </cell>
          <cell r="C377">
            <v>526983</v>
          </cell>
          <cell r="D377" t="str">
            <v>Not Listed</v>
          </cell>
          <cell r="E377" t="str">
            <v>Other Agricultural Products</v>
          </cell>
        </row>
        <row r="378">
          <cell r="B378" t="str">
            <v>ASHRAM ONLINE COM LTD</v>
          </cell>
          <cell r="C378">
            <v>526187</v>
          </cell>
          <cell r="D378" t="str">
            <v>Not Listed</v>
          </cell>
          <cell r="E378" t="str">
            <v>Healthcare Services</v>
          </cell>
        </row>
        <row r="379">
          <cell r="B379" t="str">
            <v>ASHUTOSH PAPER MILLS LTD</v>
          </cell>
          <cell r="C379">
            <v>531568</v>
          </cell>
          <cell r="D379" t="str">
            <v>Not Listed</v>
          </cell>
          <cell r="E379" t="str">
            <v>Paper &amp; Paper Products</v>
          </cell>
        </row>
        <row r="380">
          <cell r="B380" t="str">
            <v>ASI INDUSTRIES LTD</v>
          </cell>
          <cell r="C380">
            <v>502015</v>
          </cell>
          <cell r="D380" t="str">
            <v>Not Listed</v>
          </cell>
          <cell r="E380" t="str">
            <v>Mining</v>
          </cell>
        </row>
        <row r="381">
          <cell r="B381" t="str">
            <v>ASIA CAPITAL LTD</v>
          </cell>
          <cell r="C381">
            <v>538777</v>
          </cell>
          <cell r="D381" t="str">
            <v>Not Listed</v>
          </cell>
          <cell r="E381" t="str">
            <v>Finance (including NBFCs)</v>
          </cell>
        </row>
        <row r="382">
          <cell r="B382" t="str">
            <v>ASIA PACK LTD</v>
          </cell>
          <cell r="C382">
            <v>530899</v>
          </cell>
          <cell r="D382" t="str">
            <v>Not Listed</v>
          </cell>
          <cell r="E382" t="str">
            <v>Textiles</v>
          </cell>
        </row>
        <row r="383">
          <cell r="B383" t="str">
            <v>ASIAN FLORA LTD</v>
          </cell>
          <cell r="C383">
            <v>531392</v>
          </cell>
          <cell r="D383" t="str">
            <v>Not Listed</v>
          </cell>
          <cell r="E383" t="str">
            <v>Other Agricultural Products</v>
          </cell>
        </row>
        <row r="384">
          <cell r="B384" t="str">
            <v>ASIAN GRANITO (INDIA) LTD</v>
          </cell>
          <cell r="C384">
            <v>532888</v>
          </cell>
          <cell r="D384" t="str">
            <v>ASIANTILES</v>
          </cell>
          <cell r="E384" t="str">
            <v>Furniture-Furnishing-Paints</v>
          </cell>
        </row>
        <row r="385">
          <cell r="B385" t="str">
            <v>ASIAN GRANITO INDIA LTD</v>
          </cell>
          <cell r="C385">
            <v>532888</v>
          </cell>
          <cell r="D385" t="str">
            <v>ASIANTILES</v>
          </cell>
          <cell r="E385" t="str">
            <v>Furniture-Furnishing-Paints</v>
          </cell>
        </row>
        <row r="386">
          <cell r="B386" t="str">
            <v>ASIAN HOTELS EAST LTD</v>
          </cell>
          <cell r="C386">
            <v>533227</v>
          </cell>
          <cell r="D386" t="str">
            <v>AHLEAST</v>
          </cell>
          <cell r="E386" t="str">
            <v>Hotels</v>
          </cell>
        </row>
        <row r="387">
          <cell r="B387" t="str">
            <v>ASIAN HOTELS NORTH LTD</v>
          </cell>
          <cell r="C387">
            <v>500023</v>
          </cell>
          <cell r="D387" t="str">
            <v>ASIANHOTNR</v>
          </cell>
          <cell r="E387" t="str">
            <v>Hotels</v>
          </cell>
        </row>
        <row r="388">
          <cell r="B388" t="str">
            <v>ASIAN HOTELS WEST LTD</v>
          </cell>
          <cell r="C388">
            <v>533221</v>
          </cell>
          <cell r="D388" t="str">
            <v>AHLWEST</v>
          </cell>
          <cell r="E388" t="str">
            <v>Hotels</v>
          </cell>
        </row>
        <row r="389">
          <cell r="B389" t="str">
            <v>ASIAN OILFIELD SERVICES LTD</v>
          </cell>
          <cell r="C389">
            <v>530355</v>
          </cell>
          <cell r="D389" t="str">
            <v>Not Listed</v>
          </cell>
          <cell r="E389" t="str">
            <v>Oil Equipment &amp; Services</v>
          </cell>
        </row>
        <row r="390">
          <cell r="B390" t="str">
            <v>ASIAN PAINTS LTD</v>
          </cell>
          <cell r="C390">
            <v>500820</v>
          </cell>
          <cell r="D390" t="str">
            <v>ASIANPAINT</v>
          </cell>
          <cell r="E390" t="str">
            <v>Furniture-Furnishing-Paints</v>
          </cell>
        </row>
        <row r="391">
          <cell r="B391" t="str">
            <v>ASIAN PETROPRODUCTS &amp; EXPORTS LTD</v>
          </cell>
          <cell r="C391">
            <v>524434</v>
          </cell>
          <cell r="D391" t="str">
            <v>Not Listed</v>
          </cell>
          <cell r="E391" t="str">
            <v>Commodity Chemicals</v>
          </cell>
        </row>
        <row r="392">
          <cell r="B392" t="str">
            <v>ASIAN STAR CO LTD</v>
          </cell>
          <cell r="C392">
            <v>531847</v>
          </cell>
          <cell r="D392" t="str">
            <v>Not Listed</v>
          </cell>
          <cell r="E392" t="str">
            <v>Other Apparels &amp; Accessories</v>
          </cell>
        </row>
        <row r="393">
          <cell r="B393" t="str">
            <v>ASIAN TEA &amp; EXPORTS LTD</v>
          </cell>
          <cell r="C393">
            <v>519532</v>
          </cell>
          <cell r="D393" t="str">
            <v>Not Listed</v>
          </cell>
          <cell r="E393" t="str">
            <v>Comm.Trading  &amp; Distribution</v>
          </cell>
        </row>
        <row r="394">
          <cell r="B394" t="str">
            <v>ASIS LOGISTICS LTD</v>
          </cell>
          <cell r="C394">
            <v>506159</v>
          </cell>
          <cell r="D394" t="str">
            <v>ASISL</v>
          </cell>
          <cell r="E394" t="str">
            <v>Transportation - Logistics</v>
          </cell>
        </row>
        <row r="395">
          <cell r="B395" t="str">
            <v>ASIT C MEHTA FINANCIAL SERVICES LTD</v>
          </cell>
          <cell r="C395">
            <v>530723</v>
          </cell>
          <cell r="D395" t="str">
            <v>Not Listed</v>
          </cell>
          <cell r="E395" t="str">
            <v>Other Financial Services</v>
          </cell>
        </row>
        <row r="396">
          <cell r="B396" t="str">
            <v>ASL INDUSTRIES LTD</v>
          </cell>
          <cell r="C396" t="str">
            <v>Not Listed</v>
          </cell>
          <cell r="D396" t="str">
            <v>ASLIND</v>
          </cell>
          <cell r="E396" t="str">
            <v>SME</v>
          </cell>
        </row>
        <row r="397">
          <cell r="B397" t="str">
            <v>ASM TECHNOLOGIES LTD</v>
          </cell>
          <cell r="C397">
            <v>526433</v>
          </cell>
          <cell r="D397" t="str">
            <v>Not Listed</v>
          </cell>
          <cell r="E397" t="str">
            <v>IT Consulting &amp; Software</v>
          </cell>
        </row>
        <row r="398">
          <cell r="B398" t="str">
            <v>ASPINWALL AND COMPANY LTD</v>
          </cell>
          <cell r="C398" t="str">
            <v>Not Listed</v>
          </cell>
          <cell r="D398" t="str">
            <v>ASPINWALL</v>
          </cell>
          <cell r="E398" t="str">
            <v>Others</v>
          </cell>
        </row>
        <row r="399">
          <cell r="B399" t="str">
            <v>ASPIRA PATHLAB &amp; DIAGNOSTICS LTD</v>
          </cell>
          <cell r="C399">
            <v>540788</v>
          </cell>
          <cell r="D399" t="str">
            <v>Not Listed</v>
          </cell>
          <cell r="E399" t="str">
            <v>Healthcare Services</v>
          </cell>
        </row>
        <row r="400">
          <cell r="B400" t="str">
            <v>ASSAM COMPANY (INDIA) LTD</v>
          </cell>
          <cell r="C400">
            <v>500024</v>
          </cell>
          <cell r="D400" t="str">
            <v>ASSAMCO</v>
          </cell>
          <cell r="E400" t="str">
            <v>Tea &amp; Coffee</v>
          </cell>
        </row>
        <row r="401">
          <cell r="B401" t="str">
            <v>ASSAM COMPANY INDIA LTD</v>
          </cell>
          <cell r="C401">
            <v>500024</v>
          </cell>
          <cell r="D401" t="str">
            <v>ASSAMCO</v>
          </cell>
          <cell r="E401" t="str">
            <v>Tea &amp; Coffee</v>
          </cell>
        </row>
        <row r="402">
          <cell r="B402" t="str">
            <v>ASSOCIATED ALCOHOLS &amp; BREWERIES LTD</v>
          </cell>
          <cell r="C402">
            <v>507526</v>
          </cell>
          <cell r="D402" t="str">
            <v>Not Listed</v>
          </cell>
          <cell r="E402" t="str">
            <v>Breweries &amp; Distilleries</v>
          </cell>
        </row>
        <row r="403">
          <cell r="B403" t="str">
            <v>ASTEC LIFESCIENCES LTD</v>
          </cell>
          <cell r="C403">
            <v>533138</v>
          </cell>
          <cell r="D403" t="str">
            <v>ASTEC</v>
          </cell>
          <cell r="E403" t="str">
            <v>Agrochemicals</v>
          </cell>
        </row>
        <row r="404">
          <cell r="B404" t="str">
            <v>ASTER DM HEALTHCARE LTD</v>
          </cell>
          <cell r="C404">
            <v>540975</v>
          </cell>
          <cell r="D404" t="str">
            <v>ASTERDM</v>
          </cell>
          <cell r="E404" t="str">
            <v>Healthcare Services</v>
          </cell>
        </row>
        <row r="405">
          <cell r="B405" t="str">
            <v>ASTRA MICROWAVE PRODUCTS LTD</v>
          </cell>
          <cell r="C405">
            <v>532493</v>
          </cell>
          <cell r="D405" t="str">
            <v>ASTRAMICRO</v>
          </cell>
          <cell r="E405" t="str">
            <v>Defence</v>
          </cell>
        </row>
        <row r="406">
          <cell r="B406" t="str">
            <v>ASTRAL POLY TECHNIK LTD</v>
          </cell>
          <cell r="C406">
            <v>532830</v>
          </cell>
          <cell r="D406" t="str">
            <v>ASTRAL</v>
          </cell>
          <cell r="E406" t="str">
            <v>Plastic Products</v>
          </cell>
        </row>
        <row r="407">
          <cell r="B407" t="str">
            <v>ASTRAZENECA PHARMA (INDIA) LTD</v>
          </cell>
          <cell r="C407">
            <v>506820</v>
          </cell>
          <cell r="D407" t="str">
            <v>ASTRAZEN</v>
          </cell>
          <cell r="E407" t="str">
            <v>Pharmaceuticals</v>
          </cell>
        </row>
        <row r="408">
          <cell r="B408" t="str">
            <v>ASTRAZENECA PHARMA INDIA LTD</v>
          </cell>
          <cell r="C408">
            <v>506820</v>
          </cell>
          <cell r="D408" t="str">
            <v>ASTRAZEN</v>
          </cell>
          <cell r="E408" t="str">
            <v>Pharmaceuticals</v>
          </cell>
        </row>
        <row r="409">
          <cell r="B409" t="str">
            <v>ASTRON PAPER &amp; BOARD MILL LTD</v>
          </cell>
          <cell r="C409">
            <v>540824</v>
          </cell>
          <cell r="D409" t="str">
            <v>ASTRON</v>
          </cell>
          <cell r="E409" t="str">
            <v>Paper &amp; Paper Products</v>
          </cell>
        </row>
        <row r="410">
          <cell r="B410" t="str">
            <v>ASUTOSH ENTERPRISES LTD</v>
          </cell>
          <cell r="C410">
            <v>512433</v>
          </cell>
          <cell r="D410" t="str">
            <v>Not Listed</v>
          </cell>
          <cell r="E410" t="str">
            <v>Comm.Trading  &amp; Distribution</v>
          </cell>
        </row>
        <row r="411">
          <cell r="B411" t="str">
            <v>ASYA INFOSOFT LTD</v>
          </cell>
          <cell r="C411">
            <v>511144</v>
          </cell>
          <cell r="D411" t="str">
            <v>Not Listed</v>
          </cell>
          <cell r="E411" t="str">
            <v>IT Consulting &amp; Software</v>
          </cell>
        </row>
        <row r="412">
          <cell r="B412" t="str">
            <v>ATHARV ENTERPRISES LTD</v>
          </cell>
          <cell r="C412">
            <v>530187</v>
          </cell>
          <cell r="D412" t="str">
            <v>Not Listed</v>
          </cell>
          <cell r="E412" t="str">
            <v>Finance (including NBFCs)</v>
          </cell>
        </row>
        <row r="413">
          <cell r="B413" t="str">
            <v>ATHENA CONSTRUCTIONS LTD</v>
          </cell>
          <cell r="C413">
            <v>539099</v>
          </cell>
          <cell r="D413" t="str">
            <v>Not Listed</v>
          </cell>
          <cell r="E413" t="str">
            <v>Realty</v>
          </cell>
        </row>
        <row r="414">
          <cell r="B414" t="str">
            <v>Athena Global Technologies Ltd-$</v>
          </cell>
          <cell r="C414">
            <v>517429</v>
          </cell>
          <cell r="D414" t="str">
            <v>ATHENAGLO</v>
          </cell>
          <cell r="E414" t="str">
            <v>IT Software Products</v>
          </cell>
        </row>
        <row r="415">
          <cell r="B415" t="str">
            <v>ATISHAY LTD</v>
          </cell>
          <cell r="C415">
            <v>538713</v>
          </cell>
          <cell r="D415" t="str">
            <v>Not Listed</v>
          </cell>
          <cell r="E415" t="str">
            <v>IT Software Products</v>
          </cell>
        </row>
        <row r="416">
          <cell r="B416" t="str">
            <v>ATLANTA DEVCON LTD</v>
          </cell>
          <cell r="C416">
            <v>526843</v>
          </cell>
          <cell r="D416" t="str">
            <v>Not Listed</v>
          </cell>
          <cell r="E416" t="str">
            <v>Comm.Trading  &amp; Distribution</v>
          </cell>
        </row>
        <row r="417">
          <cell r="B417" t="str">
            <v>ATLANTA LTD</v>
          </cell>
          <cell r="C417">
            <v>532759</v>
          </cell>
          <cell r="D417" t="str">
            <v>ATLANTA</v>
          </cell>
          <cell r="E417" t="str">
            <v>Construction &amp; Engineering</v>
          </cell>
        </row>
        <row r="418">
          <cell r="B418" t="str">
            <v>ATLAS CYCLES HARYANA LTD</v>
          </cell>
          <cell r="C418">
            <v>505029</v>
          </cell>
          <cell r="D418" t="str">
            <v>ATLASCYCLE</v>
          </cell>
          <cell r="E418" t="str">
            <v>2/3 Wheelers</v>
          </cell>
        </row>
        <row r="419">
          <cell r="B419" t="str">
            <v>ATLAS JEWELLERY (INDIA) LTD</v>
          </cell>
          <cell r="C419">
            <v>514394</v>
          </cell>
          <cell r="D419" t="str">
            <v>Not Listed</v>
          </cell>
          <cell r="E419" t="str">
            <v>Other Apparels &amp; Accessories</v>
          </cell>
        </row>
        <row r="420">
          <cell r="B420" t="str">
            <v>ATLAS JEWELLERY INDIA LTD</v>
          </cell>
          <cell r="C420">
            <v>514394</v>
          </cell>
          <cell r="D420" t="str">
            <v>Not Listed</v>
          </cell>
          <cell r="E420" t="str">
            <v>Other Apparels &amp; Accessories</v>
          </cell>
        </row>
        <row r="421">
          <cell r="B421" t="str">
            <v>ATUL AUTO LTD</v>
          </cell>
          <cell r="C421">
            <v>531795</v>
          </cell>
          <cell r="D421" t="str">
            <v>ATULAUTO</v>
          </cell>
          <cell r="E421" t="str">
            <v>2/3 Wheelers</v>
          </cell>
        </row>
        <row r="422">
          <cell r="B422" t="str">
            <v>ATUL LTD</v>
          </cell>
          <cell r="C422">
            <v>500027</v>
          </cell>
          <cell r="D422" t="str">
            <v>ATUL</v>
          </cell>
          <cell r="E422" t="str">
            <v>Agrochemicals</v>
          </cell>
        </row>
        <row r="423">
          <cell r="B423" t="str">
            <v>ATV PROJECTS (INDIA) LTD</v>
          </cell>
          <cell r="C423">
            <v>500028</v>
          </cell>
          <cell r="D423" t="str">
            <v>Not Listed</v>
          </cell>
          <cell r="E423" t="str">
            <v>Construction &amp; Engineering</v>
          </cell>
        </row>
        <row r="424">
          <cell r="B424" t="str">
            <v>ATV PROJECTS INDIA LTD</v>
          </cell>
          <cell r="C424">
            <v>500028</v>
          </cell>
          <cell r="D424" t="str">
            <v>Not Listed</v>
          </cell>
          <cell r="E424" t="str">
            <v>Construction &amp; Engineering</v>
          </cell>
        </row>
        <row r="425">
          <cell r="B425" t="str">
            <v>AU SMALL FINANCE BANK LTD</v>
          </cell>
          <cell r="C425">
            <v>540611</v>
          </cell>
          <cell r="D425" t="str">
            <v>AUBANK</v>
          </cell>
          <cell r="E425" t="str">
            <v>Banks</v>
          </cell>
        </row>
        <row r="426">
          <cell r="B426" t="str">
            <v>AUNDE FAZE THREE AUTOFAB LTD</v>
          </cell>
          <cell r="C426">
            <v>532459</v>
          </cell>
          <cell r="D426" t="str">
            <v>Not Listed</v>
          </cell>
          <cell r="E426" t="str">
            <v>Textiles</v>
          </cell>
        </row>
        <row r="427">
          <cell r="B427" t="str">
            <v>AURANGABAD DISTILLERY LTD</v>
          </cell>
          <cell r="C427" t="str">
            <v>Not Listed</v>
          </cell>
          <cell r="D427" t="str">
            <v>AURDIS</v>
          </cell>
          <cell r="E427" t="str">
            <v>SME</v>
          </cell>
        </row>
        <row r="428">
          <cell r="B428" t="str">
            <v>AURIONPRO SOLUTIONS LTD</v>
          </cell>
          <cell r="C428">
            <v>532668</v>
          </cell>
          <cell r="D428" t="str">
            <v>AURIONPRO</v>
          </cell>
          <cell r="E428" t="str">
            <v>IT Software Products</v>
          </cell>
        </row>
        <row r="429">
          <cell r="B429" t="str">
            <v>AURO LABORATORIES LTD</v>
          </cell>
          <cell r="C429">
            <v>530233</v>
          </cell>
          <cell r="D429" t="str">
            <v>Not Listed</v>
          </cell>
          <cell r="E429" t="str">
            <v>Pharmaceuticals</v>
          </cell>
        </row>
        <row r="430">
          <cell r="B430" t="str">
            <v>AUROBINDO PHARMA LTD</v>
          </cell>
          <cell r="C430">
            <v>524804</v>
          </cell>
          <cell r="D430" t="str">
            <v>AUROPHARMA</v>
          </cell>
          <cell r="E430" t="str">
            <v>Pharmaceuticals</v>
          </cell>
        </row>
        <row r="431">
          <cell r="B431" t="str">
            <v>AUROMA COKE LTD</v>
          </cell>
          <cell r="C431">
            <v>531336</v>
          </cell>
          <cell r="D431" t="str">
            <v>Not Listed</v>
          </cell>
          <cell r="E431" t="str">
            <v>Coal</v>
          </cell>
        </row>
        <row r="432">
          <cell r="B432" t="str">
            <v>AUSOM ENTERPRISE LTD</v>
          </cell>
          <cell r="C432">
            <v>509009</v>
          </cell>
          <cell r="D432" t="str">
            <v>AUSOMENT</v>
          </cell>
          <cell r="E432" t="str">
            <v>Comm.Trading  &amp; Distribution</v>
          </cell>
        </row>
        <row r="433">
          <cell r="B433" t="str">
            <v>AUSTIN ENGINEERING CO LTD</v>
          </cell>
          <cell r="C433">
            <v>522005</v>
          </cell>
          <cell r="D433" t="str">
            <v>Not Listed</v>
          </cell>
          <cell r="E433" t="str">
            <v>Industrial Machinery</v>
          </cell>
        </row>
        <row r="434">
          <cell r="B434" t="str">
            <v>AUTHUM INVESTMENT &amp; INFRASTRUCTURE LTD</v>
          </cell>
          <cell r="C434">
            <v>539177</v>
          </cell>
          <cell r="D434" t="str">
            <v>Not Listed</v>
          </cell>
          <cell r="E434" t="str">
            <v>Finance (including NBFCs)</v>
          </cell>
        </row>
        <row r="435">
          <cell r="B435" t="str">
            <v>AUTO PINS (INDIA) LTD</v>
          </cell>
          <cell r="C435">
            <v>531994</v>
          </cell>
          <cell r="D435" t="str">
            <v>Not Listed</v>
          </cell>
          <cell r="E435" t="str">
            <v>Auto Parts &amp; Equipment</v>
          </cell>
        </row>
        <row r="436">
          <cell r="B436" t="str">
            <v>AUTO PINS INDIA LTD</v>
          </cell>
          <cell r="C436">
            <v>531994</v>
          </cell>
          <cell r="D436" t="str">
            <v>Not Listed</v>
          </cell>
          <cell r="E436" t="str">
            <v>Auto Parts &amp; Equipment</v>
          </cell>
        </row>
        <row r="437">
          <cell r="B437" t="str">
            <v>AUTOLINE INDUSTRIES LTD</v>
          </cell>
          <cell r="C437">
            <v>532797</v>
          </cell>
          <cell r="D437" t="str">
            <v>AUTOIND</v>
          </cell>
          <cell r="E437" t="str">
            <v>Auto Parts &amp; Equipment</v>
          </cell>
        </row>
        <row r="438">
          <cell r="B438" t="str">
            <v>AUTOLITE (INDIA) LTD</v>
          </cell>
          <cell r="C438">
            <v>500029</v>
          </cell>
          <cell r="D438" t="str">
            <v>AUTOLITIND</v>
          </cell>
          <cell r="E438" t="str">
            <v>Auto Parts &amp; Equipment</v>
          </cell>
        </row>
        <row r="439">
          <cell r="B439" t="str">
            <v>AUTOLITE INDIA LTD</v>
          </cell>
          <cell r="C439">
            <v>500029</v>
          </cell>
          <cell r="D439" t="str">
            <v>AUTOLITIND</v>
          </cell>
          <cell r="E439" t="str">
            <v>Auto Parts &amp; Equipment</v>
          </cell>
        </row>
        <row r="440">
          <cell r="B440" t="str">
            <v>AUTOMOBILE CORPORATION OF GOA LTD</v>
          </cell>
          <cell r="C440">
            <v>505036</v>
          </cell>
          <cell r="D440" t="str">
            <v>Not Listed</v>
          </cell>
          <cell r="E440" t="str">
            <v>Auto Parts &amp; Equipment</v>
          </cell>
        </row>
        <row r="441">
          <cell r="B441" t="str">
            <v>AUTOMOTIVE AXLES LTD</v>
          </cell>
          <cell r="C441">
            <v>505010</v>
          </cell>
          <cell r="D441" t="str">
            <v>AUTOAXLES</v>
          </cell>
          <cell r="E441" t="str">
            <v>Auto Parts &amp; Equipment</v>
          </cell>
        </row>
        <row r="442">
          <cell r="B442" t="str">
            <v>AUTOMOTIVE STAMPINGS AND ASSEMBLIES LTD</v>
          </cell>
          <cell r="C442">
            <v>520119</v>
          </cell>
          <cell r="D442" t="str">
            <v>ASAL</v>
          </cell>
          <cell r="E442" t="str">
            <v>Auto Parts &amp; Equipment</v>
          </cell>
        </row>
        <row r="443">
          <cell r="B443" t="str">
            <v>AUTORIDERS INTERNATIONAL LTD</v>
          </cell>
          <cell r="C443">
            <v>512277</v>
          </cell>
          <cell r="D443" t="str">
            <v>Not Listed</v>
          </cell>
          <cell r="E443" t="str">
            <v>Transportation - Logistics</v>
          </cell>
        </row>
        <row r="444">
          <cell r="B444" t="str">
            <v>AUTUMN BUILDERS LTD</v>
          </cell>
          <cell r="C444">
            <v>780004</v>
          </cell>
          <cell r="D444" t="str">
            <v>Not Listed</v>
          </cell>
          <cell r="E444" t="str">
            <v>Others</v>
          </cell>
        </row>
        <row r="445">
          <cell r="B445" t="str">
            <v>AVADH SUGAR &amp; ENERGY LTD</v>
          </cell>
          <cell r="C445">
            <v>540649</v>
          </cell>
          <cell r="D445" t="str">
            <v>AVADHSUGAR</v>
          </cell>
          <cell r="E445" t="str">
            <v>Sugar</v>
          </cell>
        </row>
        <row r="446">
          <cell r="B446" t="str">
            <v>AVAILABLE FINANCE LTD</v>
          </cell>
          <cell r="C446">
            <v>531310</v>
          </cell>
          <cell r="D446" t="str">
            <v>Not Listed</v>
          </cell>
          <cell r="E446" t="str">
            <v>Other Financial Services</v>
          </cell>
        </row>
        <row r="447">
          <cell r="B447" t="str">
            <v>AVANCE TECHNOLOGIES LTD</v>
          </cell>
          <cell r="C447">
            <v>512149</v>
          </cell>
          <cell r="D447" t="str">
            <v>Not Listed</v>
          </cell>
          <cell r="E447" t="str">
            <v>IT Software Products</v>
          </cell>
        </row>
        <row r="448">
          <cell r="B448" t="str">
            <v>AVANTEL LTD</v>
          </cell>
          <cell r="C448">
            <v>532406</v>
          </cell>
          <cell r="D448" t="str">
            <v>Not Listed</v>
          </cell>
          <cell r="E448" t="str">
            <v>Telecom Equipment</v>
          </cell>
        </row>
        <row r="449">
          <cell r="B449" t="str">
            <v>AVANTI FEEDS LTD</v>
          </cell>
          <cell r="C449">
            <v>512573</v>
          </cell>
          <cell r="D449" t="str">
            <v>AVANTIFEED</v>
          </cell>
          <cell r="E449" t="str">
            <v>Other Food Products</v>
          </cell>
        </row>
        <row r="450">
          <cell r="B450" t="str">
            <v>ITC LTD</v>
          </cell>
          <cell r="C450">
            <v>540376</v>
          </cell>
          <cell r="D450" t="str">
            <v>ITC</v>
          </cell>
          <cell r="E450" t="str">
            <v>Department Stores</v>
          </cell>
        </row>
        <row r="451">
          <cell r="B451" t="str">
            <v>AVG LOGISTICS LTD</v>
          </cell>
          <cell r="C451" t="str">
            <v>Not Listed</v>
          </cell>
          <cell r="D451" t="str">
            <v>AVG</v>
          </cell>
          <cell r="E451" t="str">
            <v>SME</v>
          </cell>
        </row>
        <row r="452">
          <cell r="B452" t="str">
            <v>AVI POLYMERS LTD</v>
          </cell>
          <cell r="C452">
            <v>539288</v>
          </cell>
          <cell r="D452" t="str">
            <v>Not Listed</v>
          </cell>
          <cell r="E452" t="str">
            <v>Specialty Chemicals</v>
          </cell>
        </row>
        <row r="453">
          <cell r="B453" t="str">
            <v>AVI PRODUCTS (INDIA) LTD</v>
          </cell>
          <cell r="C453">
            <v>523896</v>
          </cell>
          <cell r="D453" t="str">
            <v>Not Listed</v>
          </cell>
          <cell r="E453" t="str">
            <v>Comm.Trading  &amp; Distribution</v>
          </cell>
        </row>
        <row r="454">
          <cell r="B454" t="str">
            <v>AVI PRODUCTS INDIA LTD</v>
          </cell>
          <cell r="C454">
            <v>523896</v>
          </cell>
          <cell r="D454" t="str">
            <v>Not Listed</v>
          </cell>
          <cell r="E454" t="str">
            <v>Comm.Trading  &amp; Distribution</v>
          </cell>
        </row>
        <row r="455">
          <cell r="B455" t="str">
            <v>AVIVA INDUSTRIES LTD</v>
          </cell>
          <cell r="C455">
            <v>512109</v>
          </cell>
          <cell r="D455" t="str">
            <v>Not Listed</v>
          </cell>
          <cell r="E455" t="str">
            <v>Comm.Trading  &amp; Distribution</v>
          </cell>
        </row>
        <row r="456">
          <cell r="B456" t="str">
            <v>AVON LIFESCIENCES LTD</v>
          </cell>
          <cell r="C456">
            <v>531541</v>
          </cell>
          <cell r="D456" t="str">
            <v>Not Listed</v>
          </cell>
          <cell r="E456" t="str">
            <v>Commodity Chemicals</v>
          </cell>
        </row>
        <row r="457">
          <cell r="B457" t="str">
            <v>AVON MOLDPLAST LTD</v>
          </cell>
          <cell r="C457" t="str">
            <v>Not Listed</v>
          </cell>
          <cell r="D457" t="str">
            <v>AVONMPL</v>
          </cell>
          <cell r="E457" t="str">
            <v>SME</v>
          </cell>
        </row>
        <row r="458">
          <cell r="B458" t="str">
            <v>AVONMORE CAPITAL &amp; MANAGEMENT SERVICES LTD</v>
          </cell>
          <cell r="C458">
            <v>511589</v>
          </cell>
          <cell r="D458" t="str">
            <v>Not Listed</v>
          </cell>
          <cell r="E458" t="str">
            <v>Finance (including NBFCs)</v>
          </cell>
        </row>
        <row r="459">
          <cell r="B459" t="str">
            <v>AVSL INDUSTRIES LTD</v>
          </cell>
          <cell r="C459" t="str">
            <v>Not Listed</v>
          </cell>
          <cell r="D459" t="str">
            <v>AVSL</v>
          </cell>
          <cell r="E459" t="str">
            <v>SME</v>
          </cell>
        </row>
        <row r="460">
          <cell r="B460" t="str">
            <v>AVT NATURAL PRODUCTS LTD</v>
          </cell>
          <cell r="C460">
            <v>519105</v>
          </cell>
          <cell r="D460" t="str">
            <v>AVTNPL</v>
          </cell>
          <cell r="E460" t="str">
            <v>Other Agricultural Products</v>
          </cell>
        </row>
        <row r="461">
          <cell r="B461" t="str">
            <v>AVTIL ENTERPRISE LTD</v>
          </cell>
          <cell r="C461">
            <v>504390</v>
          </cell>
          <cell r="D461" t="str">
            <v>Not Listed</v>
          </cell>
          <cell r="E461" t="str">
            <v>Other Financial Services</v>
          </cell>
        </row>
        <row r="462">
          <cell r="B462" t="str">
            <v>AXEL POLYMERS LTD</v>
          </cell>
          <cell r="C462">
            <v>513642</v>
          </cell>
          <cell r="D462" t="str">
            <v>Not Listed</v>
          </cell>
          <cell r="E462" t="str">
            <v>Plastic Products</v>
          </cell>
        </row>
        <row r="463">
          <cell r="B463" t="str">
            <v>AXIS BANK LTD</v>
          </cell>
          <cell r="C463">
            <v>532215</v>
          </cell>
          <cell r="D463" t="str">
            <v>AXISBANK</v>
          </cell>
          <cell r="E463" t="str">
            <v>Banks</v>
          </cell>
        </row>
        <row r="464">
          <cell r="B464" t="str">
            <v>AXISCADES ENGINEERING TECHNOLOGIES LTD</v>
          </cell>
          <cell r="C464">
            <v>532395</v>
          </cell>
          <cell r="D464" t="str">
            <v>AXISCADES</v>
          </cell>
          <cell r="E464" t="str">
            <v>BPO/KPO</v>
          </cell>
        </row>
        <row r="465">
          <cell r="B465" t="str">
            <v>Axita Cotton Ltd</v>
          </cell>
          <cell r="C465">
            <v>542285</v>
          </cell>
          <cell r="D465" t="str">
            <v>AXITA</v>
          </cell>
          <cell r="E465" t="str">
            <v>Textiles</v>
          </cell>
        </row>
        <row r="466">
          <cell r="B466" t="str">
            <v>AXON VENTURES LTD</v>
          </cell>
          <cell r="C466">
            <v>505506</v>
          </cell>
          <cell r="D466" t="str">
            <v>Not Listed</v>
          </cell>
          <cell r="E466" t="str">
            <v>IT Software Products</v>
          </cell>
        </row>
        <row r="467">
          <cell r="B467" t="str">
            <v>AXTEL INDUSTRIES LTD</v>
          </cell>
          <cell r="C467">
            <v>523850</v>
          </cell>
          <cell r="D467" t="str">
            <v>Not Listed</v>
          </cell>
          <cell r="E467" t="str">
            <v>Industrial Machinery</v>
          </cell>
        </row>
        <row r="468">
          <cell r="B468" t="str">
            <v>AYEPEE LAMITUBES LTD</v>
          </cell>
          <cell r="C468">
            <v>523168</v>
          </cell>
          <cell r="D468" t="str">
            <v>Not Listed</v>
          </cell>
          <cell r="E468" t="str">
            <v>Petrochemicals</v>
          </cell>
        </row>
        <row r="469">
          <cell r="B469" t="str">
            <v>AYM SYNTEX LTD</v>
          </cell>
          <cell r="C469">
            <v>508933</v>
          </cell>
          <cell r="D469" t="str">
            <v>AYMSYNTEX</v>
          </cell>
          <cell r="E469" t="str">
            <v>Textiles</v>
          </cell>
        </row>
        <row r="470">
          <cell r="B470" t="str">
            <v>AYOKI MERCANTILE LTD</v>
          </cell>
          <cell r="C470">
            <v>512063</v>
          </cell>
          <cell r="D470" t="str">
            <v>Not Listed</v>
          </cell>
          <cell r="E470" t="str">
            <v>Comm.Trading  &amp; Distribution</v>
          </cell>
        </row>
        <row r="471">
          <cell r="B471" t="str">
            <v>B  P  CAPITAL LTD</v>
          </cell>
          <cell r="C471">
            <v>536965</v>
          </cell>
          <cell r="D471" t="str">
            <v>Not Listed</v>
          </cell>
          <cell r="E471" t="str">
            <v>Finance (including NBFCs)</v>
          </cell>
        </row>
        <row r="472">
          <cell r="B472" t="str">
            <v>B &amp; A LTD</v>
          </cell>
          <cell r="C472">
            <v>508136</v>
          </cell>
          <cell r="D472" t="str">
            <v>Not Listed</v>
          </cell>
          <cell r="E472" t="str">
            <v>Tea &amp; Coffee</v>
          </cell>
        </row>
        <row r="473">
          <cell r="B473" t="str">
            <v>B A G FILMS AND MEDIA LTD</v>
          </cell>
          <cell r="C473">
            <v>532507</v>
          </cell>
          <cell r="D473" t="str">
            <v>BAGFILMS</v>
          </cell>
          <cell r="E473" t="str">
            <v>Broadcasting &amp; Cable TV</v>
          </cell>
        </row>
        <row r="474">
          <cell r="B474" t="str">
            <v>B C  POWER CONTROLS LTD</v>
          </cell>
          <cell r="C474">
            <v>537766</v>
          </cell>
          <cell r="D474" t="str">
            <v>Not Listed</v>
          </cell>
          <cell r="E474" t="str">
            <v>Other Elect.Equip./ Prod.</v>
          </cell>
        </row>
        <row r="475">
          <cell r="B475" t="str">
            <v>B L KASHYAP AND SONS LTD</v>
          </cell>
          <cell r="C475">
            <v>532719</v>
          </cell>
          <cell r="D475" t="str">
            <v>BLKASHYAP</v>
          </cell>
          <cell r="E475" t="str">
            <v>Realty</v>
          </cell>
        </row>
        <row r="476">
          <cell r="B476" t="str">
            <v>B N RATHI SECURITIES LTD</v>
          </cell>
          <cell r="C476">
            <v>523019</v>
          </cell>
          <cell r="D476" t="str">
            <v>Not Listed</v>
          </cell>
          <cell r="E476" t="str">
            <v>Other Financial Services</v>
          </cell>
        </row>
        <row r="477">
          <cell r="B477" t="str">
            <v>B&amp;A PACKAGING (INDIA) LTD</v>
          </cell>
          <cell r="C477">
            <v>523186</v>
          </cell>
          <cell r="D477" t="str">
            <v>Not Listed</v>
          </cell>
          <cell r="E477" t="str">
            <v>Paper &amp; Paper Products</v>
          </cell>
        </row>
        <row r="478">
          <cell r="B478" t="str">
            <v>B&amp;A PACKAGING INDIA LTD</v>
          </cell>
          <cell r="C478">
            <v>523186</v>
          </cell>
          <cell r="D478" t="str">
            <v>Not Listed</v>
          </cell>
          <cell r="E478" t="str">
            <v>Paper &amp; Paper Products</v>
          </cell>
        </row>
        <row r="479">
          <cell r="B479" t="str">
            <v>B&amp;B TRIPLEWALL CONTAINERS LTD</v>
          </cell>
          <cell r="C479" t="str">
            <v>Not Listed</v>
          </cell>
          <cell r="D479" t="str">
            <v>BBTCL</v>
          </cell>
          <cell r="E479" t="str">
            <v>SME</v>
          </cell>
        </row>
        <row r="480">
          <cell r="B480" t="str">
            <v>B.T. Syndicate Ltd</v>
          </cell>
          <cell r="C480">
            <v>542206</v>
          </cell>
          <cell r="D480" t="str">
            <v>BTSYN</v>
          </cell>
          <cell r="E480" t="str">
            <v>Comm.Trading  &amp;amp; Distribution</v>
          </cell>
        </row>
        <row r="481">
          <cell r="B481" t="str">
            <v>B2B SOFTWARE TECHNOLOGIES LTD</v>
          </cell>
          <cell r="C481">
            <v>531268</v>
          </cell>
          <cell r="D481" t="str">
            <v>Not Listed</v>
          </cell>
          <cell r="E481" t="str">
            <v>IT Software Products</v>
          </cell>
        </row>
        <row r="482">
          <cell r="B482" t="str">
            <v>BABA ARTS LTD</v>
          </cell>
          <cell r="C482">
            <v>532380</v>
          </cell>
          <cell r="D482" t="str">
            <v>Not Listed</v>
          </cell>
          <cell r="E482" t="str">
            <v>Movies &amp; Entertainment</v>
          </cell>
        </row>
        <row r="483">
          <cell r="B483" t="str">
            <v>BACIL PHARMA LTD</v>
          </cell>
          <cell r="C483">
            <v>524516</v>
          </cell>
          <cell r="D483" t="str">
            <v>Not Listed</v>
          </cell>
          <cell r="E483" t="str">
            <v>Pharmaceuticals</v>
          </cell>
        </row>
        <row r="484">
          <cell r="B484" t="str">
            <v>BAFNA PHARMACEUTICALS LTD</v>
          </cell>
          <cell r="C484">
            <v>532989</v>
          </cell>
          <cell r="D484" t="str">
            <v>BAFNAPHARM</v>
          </cell>
          <cell r="E484" t="str">
            <v>Pharmaceuticals</v>
          </cell>
        </row>
        <row r="485">
          <cell r="B485" t="str">
            <v>BAGADIA COLOURCHEM LTD</v>
          </cell>
          <cell r="C485">
            <v>530197</v>
          </cell>
          <cell r="D485" t="str">
            <v>Not Listed</v>
          </cell>
          <cell r="E485" t="str">
            <v>Specialty Chemicals</v>
          </cell>
        </row>
        <row r="486">
          <cell r="B486" t="str">
            <v>BAID LEASING AND FINANCE CO LTD</v>
          </cell>
          <cell r="C486">
            <v>511724</v>
          </cell>
          <cell r="D486" t="str">
            <v>Not Listed</v>
          </cell>
          <cell r="E486" t="str">
            <v>Finance (including NBFCs)</v>
          </cell>
        </row>
        <row r="487">
          <cell r="B487" t="str">
            <v>BAJAJ AUTO LTD</v>
          </cell>
          <cell r="C487">
            <v>532977</v>
          </cell>
          <cell r="D487" t="str">
            <v>BAJAJ-AUTO</v>
          </cell>
          <cell r="E487" t="str">
            <v>2/3 Wheelers</v>
          </cell>
        </row>
        <row r="488">
          <cell r="B488" t="str">
            <v>Bajaj Consumer Care LTD</v>
          </cell>
          <cell r="C488" t="str">
            <v>Not Listed</v>
          </cell>
          <cell r="D488" t="str">
            <v>BAJAJCON</v>
          </cell>
          <cell r="E488" t="str">
            <v>Personal Products</v>
          </cell>
        </row>
        <row r="489">
          <cell r="B489" t="str">
            <v>BAJAJ CORP LTD</v>
          </cell>
          <cell r="C489">
            <v>533229</v>
          </cell>
          <cell r="D489" t="str">
            <v>BAJAJCORP</v>
          </cell>
          <cell r="E489" t="str">
            <v>Personal Products</v>
          </cell>
        </row>
        <row r="490">
          <cell r="B490" t="str">
            <v>BAJAJ ELECTRICALS LTD</v>
          </cell>
          <cell r="C490">
            <v>500031</v>
          </cell>
          <cell r="D490" t="str">
            <v>BAJAJELEC</v>
          </cell>
          <cell r="E490" t="str">
            <v>Household Appliances</v>
          </cell>
        </row>
        <row r="491">
          <cell r="B491" t="str">
            <v>BAJAJ FINANCE LTD</v>
          </cell>
          <cell r="C491">
            <v>500034</v>
          </cell>
          <cell r="D491" t="str">
            <v>BAJFINANCE</v>
          </cell>
          <cell r="E491" t="str">
            <v>Finance (including NBFCs)</v>
          </cell>
        </row>
        <row r="492">
          <cell r="B492" t="str">
            <v>BAJAJ FINSERV LTD</v>
          </cell>
          <cell r="C492">
            <v>532978</v>
          </cell>
          <cell r="D492" t="str">
            <v>BAJAJFINSV</v>
          </cell>
          <cell r="E492" t="str">
            <v>Holding Companies</v>
          </cell>
        </row>
        <row r="493">
          <cell r="B493" t="str">
            <v>BAJAJ GLOBAL LTD</v>
          </cell>
          <cell r="C493">
            <v>512261</v>
          </cell>
          <cell r="D493" t="str">
            <v>Not Listed</v>
          </cell>
          <cell r="E493" t="str">
            <v>Comm.Trading  &amp; Distribution</v>
          </cell>
        </row>
        <row r="494">
          <cell r="B494" t="str">
            <v>BAJAJ HEALTHCARE LTD</v>
          </cell>
          <cell r="C494">
            <v>539872</v>
          </cell>
          <cell r="D494" t="str">
            <v>Not Listed</v>
          </cell>
          <cell r="E494" t="str">
            <v>Pharmaceuticals</v>
          </cell>
        </row>
        <row r="495">
          <cell r="B495" t="str">
            <v>BAJAJ HINDUSTHAN SUGAR LTD</v>
          </cell>
          <cell r="C495">
            <v>500032</v>
          </cell>
          <cell r="D495" t="str">
            <v>BAJAJHIND</v>
          </cell>
          <cell r="E495" t="str">
            <v>Sugar</v>
          </cell>
        </row>
        <row r="496">
          <cell r="B496" t="str">
            <v>BAJAJ HOLDINGS &amp; INVESTMENT LTD</v>
          </cell>
          <cell r="C496">
            <v>500490</v>
          </cell>
          <cell r="D496" t="str">
            <v>BAJAJHLDNG</v>
          </cell>
          <cell r="E496" t="str">
            <v>Holding Companies</v>
          </cell>
        </row>
        <row r="497">
          <cell r="B497" t="str">
            <v>BAJAJ STEEL INDUSTRIES LTD</v>
          </cell>
          <cell r="C497">
            <v>507944</v>
          </cell>
          <cell r="D497" t="str">
            <v>Not Listed</v>
          </cell>
          <cell r="E497" t="str">
            <v>Industrial Machinery</v>
          </cell>
        </row>
        <row r="498">
          <cell r="B498" t="str">
            <v>BAJRANG FINANCE LTD</v>
          </cell>
          <cell r="C498">
            <v>511139</v>
          </cell>
          <cell r="D498" t="str">
            <v>Not Listed</v>
          </cell>
          <cell r="E498" t="str">
            <v>Misc.Commercial Services</v>
          </cell>
        </row>
        <row r="499">
          <cell r="B499" t="str">
            <v>BAL PHARMA LTD</v>
          </cell>
          <cell r="C499">
            <v>524824</v>
          </cell>
          <cell r="D499" t="str">
            <v>BALPHARMA</v>
          </cell>
          <cell r="E499" t="str">
            <v>Pharmaceuticals</v>
          </cell>
        </row>
        <row r="500">
          <cell r="B500" t="str">
            <v>BALAJI AMINES LTD</v>
          </cell>
          <cell r="C500">
            <v>530999</v>
          </cell>
          <cell r="D500" t="str">
            <v>BALAMINES</v>
          </cell>
          <cell r="E500" t="str">
            <v>Commodity Chemicals</v>
          </cell>
        </row>
        <row r="501">
          <cell r="B501" t="str">
            <v>BALAJI TELEFILMS LTD</v>
          </cell>
          <cell r="C501">
            <v>532382</v>
          </cell>
          <cell r="D501" t="str">
            <v>BALAJITELE</v>
          </cell>
          <cell r="E501" t="str">
            <v>Broadcasting &amp; Cable TV</v>
          </cell>
        </row>
        <row r="502">
          <cell r="B502" t="str">
            <v>BALASORE ALLOYS LTD</v>
          </cell>
          <cell r="C502">
            <v>513142</v>
          </cell>
          <cell r="D502" t="str">
            <v>Not Listed</v>
          </cell>
          <cell r="E502" t="str">
            <v>Iron &amp; Steel/Interm.Products</v>
          </cell>
        </row>
        <row r="503">
          <cell r="B503" t="str">
            <v>Balaxi Ventures LTD</v>
          </cell>
          <cell r="C503" t="str">
            <v>Not Listed</v>
          </cell>
          <cell r="D503" t="str">
            <v>BALAXI</v>
          </cell>
          <cell r="E503" t="str">
            <v>Unknown</v>
          </cell>
        </row>
        <row r="504">
          <cell r="B504" t="str">
            <v>BALGOPAL COMMERCIAL LTD</v>
          </cell>
          <cell r="C504">
            <v>539834</v>
          </cell>
          <cell r="D504" t="str">
            <v>Not Listed</v>
          </cell>
          <cell r="E504" t="str">
            <v>Comm.Trading  &amp; Distribution</v>
          </cell>
        </row>
        <row r="505">
          <cell r="B505" t="str">
            <v>BALKRISHNA INDUSTRIES LTD</v>
          </cell>
          <cell r="C505">
            <v>502355</v>
          </cell>
          <cell r="D505" t="str">
            <v>BALKRISIND</v>
          </cell>
          <cell r="E505" t="str">
            <v>Auto Tyres &amp; Rubber Products</v>
          </cell>
        </row>
        <row r="506">
          <cell r="B506" t="str">
            <v>BALKRISHNA PAPER MILLS LTD</v>
          </cell>
          <cell r="C506">
            <v>539251</v>
          </cell>
          <cell r="D506" t="str">
            <v>BALKRISHNA</v>
          </cell>
          <cell r="E506" t="str">
            <v>Containers &amp; Packaging</v>
          </cell>
        </row>
        <row r="507">
          <cell r="B507" t="str">
            <v>BALLARPUR INDUSTRIES LTD</v>
          </cell>
          <cell r="C507">
            <v>500102</v>
          </cell>
          <cell r="D507" t="str">
            <v>BALLARPUR</v>
          </cell>
          <cell r="E507" t="str">
            <v>Paper &amp; Paper Products</v>
          </cell>
        </row>
        <row r="508">
          <cell r="B508" t="str">
            <v>BALMER LAWRIE &amp; COMPANY LTD</v>
          </cell>
          <cell r="C508">
            <v>523319</v>
          </cell>
          <cell r="D508" t="str">
            <v>BALMLAWRIE</v>
          </cell>
          <cell r="E508" t="str">
            <v>Diversified</v>
          </cell>
        </row>
        <row r="509">
          <cell r="B509" t="str">
            <v>BALMER LAWRIE INVESTMENTS LTD</v>
          </cell>
          <cell r="C509">
            <v>532485</v>
          </cell>
          <cell r="D509" t="str">
            <v>Not Listed</v>
          </cell>
          <cell r="E509" t="str">
            <v>Finance (including NBFCs)</v>
          </cell>
        </row>
        <row r="510">
          <cell r="B510" t="str">
            <v>BALRAMPUR CHINI MILLS LTD</v>
          </cell>
          <cell r="C510">
            <v>500038</v>
          </cell>
          <cell r="D510" t="str">
            <v>BALRAMCHIN</v>
          </cell>
          <cell r="E510" t="str">
            <v>Sugar</v>
          </cell>
        </row>
        <row r="511">
          <cell r="B511" t="str">
            <v>BALURGHAT TECHNOLOGIES LTD</v>
          </cell>
          <cell r="C511">
            <v>520127</v>
          </cell>
          <cell r="D511" t="str">
            <v>Not Listed</v>
          </cell>
          <cell r="E511" t="str">
            <v>Surface Transportation</v>
          </cell>
        </row>
        <row r="512">
          <cell r="B512" t="str">
            <v>BAMBINO AGRO INDUSTRIES LTD</v>
          </cell>
          <cell r="C512">
            <v>519295</v>
          </cell>
          <cell r="D512" t="str">
            <v>Not Listed</v>
          </cell>
          <cell r="E512" t="str">
            <v>Packaged Foods</v>
          </cell>
        </row>
        <row r="513">
          <cell r="B513" t="str">
            <v>BAMPSL SECURITIES LTD</v>
          </cell>
          <cell r="C513">
            <v>531591</v>
          </cell>
          <cell r="D513" t="str">
            <v>Not Listed</v>
          </cell>
          <cell r="E513" t="str">
            <v>Finance (including NBFCs)</v>
          </cell>
        </row>
        <row r="514">
          <cell r="B514" t="str">
            <v>BANARAS BEADS LTD</v>
          </cell>
          <cell r="C514">
            <v>526849</v>
          </cell>
          <cell r="D514" t="str">
            <v>BANARBEADS</v>
          </cell>
          <cell r="E514" t="str">
            <v>Other Apparels &amp; Accessories</v>
          </cell>
        </row>
        <row r="515">
          <cell r="B515" t="str">
            <v>BANAS FINANCE LTD</v>
          </cell>
          <cell r="C515">
            <v>509053</v>
          </cell>
          <cell r="D515" t="str">
            <v>Not Listed</v>
          </cell>
          <cell r="E515" t="str">
            <v>Misc.Commercial Services</v>
          </cell>
        </row>
        <row r="516">
          <cell r="B516" t="str">
            <v>BANCO PRODUCTS I LTD</v>
          </cell>
          <cell r="C516">
            <v>500039</v>
          </cell>
          <cell r="D516" t="str">
            <v>BANCOINDIA</v>
          </cell>
          <cell r="E516" t="str">
            <v>Auto Parts &amp; Equipment</v>
          </cell>
        </row>
        <row r="517">
          <cell r="B517" t="str">
            <v>BANDHAN BANK LTD</v>
          </cell>
          <cell r="C517">
            <v>541153</v>
          </cell>
          <cell r="D517" t="str">
            <v>BANDHANBNK</v>
          </cell>
          <cell r="E517" t="str">
            <v>Banks</v>
          </cell>
        </row>
        <row r="518">
          <cell r="B518" t="str">
            <v>BANG OVERSEAS LTD</v>
          </cell>
          <cell r="C518">
            <v>532946</v>
          </cell>
          <cell r="D518" t="str">
            <v>BANG</v>
          </cell>
          <cell r="E518" t="str">
            <v>Other Apparels &amp; Accessories</v>
          </cell>
        </row>
        <row r="519">
          <cell r="B519" t="str">
            <v>BANGALORE FORT FARMS LTD</v>
          </cell>
          <cell r="C519">
            <v>539120</v>
          </cell>
          <cell r="D519" t="str">
            <v>Not Listed</v>
          </cell>
          <cell r="E519" t="str">
            <v>Jute &amp; Jute Products</v>
          </cell>
        </row>
        <row r="520">
          <cell r="B520" t="str">
            <v>BANK OF BARODA</v>
          </cell>
          <cell r="C520">
            <v>532134</v>
          </cell>
          <cell r="D520" t="str">
            <v>BANKBARODA</v>
          </cell>
          <cell r="E520" t="str">
            <v>Banks</v>
          </cell>
        </row>
        <row r="521">
          <cell r="B521" t="str">
            <v>BANK OF INDIA</v>
          </cell>
          <cell r="C521">
            <v>532149</v>
          </cell>
          <cell r="D521" t="str">
            <v>BANKINDIA</v>
          </cell>
          <cell r="E521" t="str">
            <v>Banks</v>
          </cell>
        </row>
        <row r="522">
          <cell r="B522" t="str">
            <v>BANK OF MAHARASHTRA</v>
          </cell>
          <cell r="C522">
            <v>532525</v>
          </cell>
          <cell r="D522" t="str">
            <v>MAHABANK</v>
          </cell>
          <cell r="E522" t="str">
            <v>Banks</v>
          </cell>
        </row>
        <row r="523">
          <cell r="B523" t="str">
            <v>BANKA BIOLOO LTD</v>
          </cell>
          <cell r="C523" t="str">
            <v>Not Listed</v>
          </cell>
          <cell r="D523" t="str">
            <v>BANKA</v>
          </cell>
          <cell r="E523" t="str">
            <v>SME</v>
          </cell>
        </row>
        <row r="524">
          <cell r="B524" t="str">
            <v>BANNARI AMMAN SPINNING MILLS LTD</v>
          </cell>
          <cell r="C524">
            <v>532674</v>
          </cell>
          <cell r="D524" t="str">
            <v>BASML</v>
          </cell>
          <cell r="E524" t="str">
            <v>Textiles</v>
          </cell>
        </row>
        <row r="525">
          <cell r="B525" t="str">
            <v>BANNARI AMMAN SUGARS LTD</v>
          </cell>
          <cell r="C525">
            <v>500041</v>
          </cell>
          <cell r="D525" t="str">
            <v>BANARISUG</v>
          </cell>
          <cell r="E525" t="str">
            <v>Sugar</v>
          </cell>
        </row>
        <row r="526">
          <cell r="B526" t="str">
            <v>BANSAL MULTIFLEX LTD</v>
          </cell>
          <cell r="C526" t="str">
            <v>Not Listed</v>
          </cell>
          <cell r="D526" t="str">
            <v>BANSAL</v>
          </cell>
          <cell r="E526" t="str">
            <v>SME</v>
          </cell>
        </row>
        <row r="527">
          <cell r="B527" t="str">
            <v>BANSAL ROOFING PRODUCTS LTD</v>
          </cell>
          <cell r="C527">
            <v>538546</v>
          </cell>
          <cell r="D527" t="str">
            <v>Not Listed</v>
          </cell>
          <cell r="E527" t="str">
            <v>Iron &amp; Steel Products</v>
          </cell>
        </row>
        <row r="528">
          <cell r="B528" t="str">
            <v>BANSISONS TEA INDUSTRIES LTD</v>
          </cell>
          <cell r="C528">
            <v>519353</v>
          </cell>
          <cell r="D528" t="str">
            <v>Not Listed</v>
          </cell>
          <cell r="E528" t="str">
            <v>Tea &amp; Coffee</v>
          </cell>
        </row>
        <row r="529">
          <cell r="B529" t="str">
            <v>BANSWARA SYNTEX LTD</v>
          </cell>
          <cell r="C529">
            <v>503722</v>
          </cell>
          <cell r="D529" t="str">
            <v>BANSWRAS</v>
          </cell>
          <cell r="E529" t="str">
            <v>Textiles</v>
          </cell>
        </row>
        <row r="530">
          <cell r="B530" t="str">
            <v>BARAK VALLEY CEMENTS LTD</v>
          </cell>
          <cell r="C530">
            <v>532916</v>
          </cell>
          <cell r="D530" t="str">
            <v>BVCL</v>
          </cell>
          <cell r="E530" t="str">
            <v>Cement &amp; Cement Products</v>
          </cell>
        </row>
        <row r="531">
          <cell r="B531" t="str">
            <v>BARODA EXTRUSION LTD</v>
          </cell>
          <cell r="C531">
            <v>513502</v>
          </cell>
          <cell r="D531" t="str">
            <v>Not Listed</v>
          </cell>
          <cell r="E531" t="str">
            <v>Copper</v>
          </cell>
        </row>
        <row r="532">
          <cell r="B532" t="str">
            <v>BARON INFOTECH LTD</v>
          </cell>
          <cell r="C532">
            <v>532336</v>
          </cell>
          <cell r="D532" t="str">
            <v>Not Listed</v>
          </cell>
          <cell r="E532" t="str">
            <v>IT Software Products</v>
          </cell>
        </row>
        <row r="533">
          <cell r="B533" t="str">
            <v>BARTRONICS (INDIA) LTD</v>
          </cell>
          <cell r="C533">
            <v>532694</v>
          </cell>
          <cell r="D533" t="str">
            <v>BARTRONICS</v>
          </cell>
          <cell r="E533" t="str">
            <v>Misc.Commercial Services</v>
          </cell>
        </row>
        <row r="534">
          <cell r="B534" t="str">
            <v>BARTRONICS INDIA LTD</v>
          </cell>
          <cell r="C534">
            <v>532694</v>
          </cell>
          <cell r="D534" t="str">
            <v>BARTRONICS</v>
          </cell>
          <cell r="E534" t="str">
            <v>Misc.Commercial Services</v>
          </cell>
        </row>
        <row r="535">
          <cell r="B535" t="str">
            <v>BASANT AGRO TECH (INDIA) LTD</v>
          </cell>
          <cell r="C535">
            <v>524687</v>
          </cell>
          <cell r="D535" t="str">
            <v>Not Listed</v>
          </cell>
          <cell r="E535" t="str">
            <v>Fertilizers</v>
          </cell>
        </row>
        <row r="536">
          <cell r="B536" t="str">
            <v>BASANT AGRO TECH INDIA LTD</v>
          </cell>
          <cell r="C536">
            <v>524687</v>
          </cell>
          <cell r="D536" t="str">
            <v>Not Listed</v>
          </cell>
          <cell r="E536" t="str">
            <v>Fertilizers</v>
          </cell>
        </row>
        <row r="537">
          <cell r="B537" t="str">
            <v>BASF (INDIA) LTD</v>
          </cell>
          <cell r="C537">
            <v>500042</v>
          </cell>
          <cell r="D537" t="str">
            <v>BASF</v>
          </cell>
          <cell r="E537" t="str">
            <v>Specialty Chemicals</v>
          </cell>
        </row>
        <row r="538">
          <cell r="B538" t="str">
            <v>BASF INDIA LTD</v>
          </cell>
          <cell r="C538">
            <v>500042</v>
          </cell>
          <cell r="D538" t="str">
            <v>BASF</v>
          </cell>
          <cell r="E538" t="str">
            <v>Specialty Chemicals</v>
          </cell>
        </row>
        <row r="539">
          <cell r="B539" t="str">
            <v>BATA (INDIA) LTD</v>
          </cell>
          <cell r="C539">
            <v>500043</v>
          </cell>
          <cell r="D539" t="str">
            <v>BATA(INDIA)</v>
          </cell>
          <cell r="E539" t="str">
            <v>Footwear</v>
          </cell>
        </row>
        <row r="540">
          <cell r="B540" t="str">
            <v>BATA INDIA LTD</v>
          </cell>
          <cell r="C540">
            <v>500043</v>
          </cell>
          <cell r="D540" t="str">
            <v>BATAINDIA</v>
          </cell>
          <cell r="E540" t="str">
            <v>Footwear</v>
          </cell>
        </row>
        <row r="541">
          <cell r="B541" t="str">
            <v>BATLIBOI LTD</v>
          </cell>
          <cell r="C541">
            <v>522004</v>
          </cell>
          <cell r="D541" t="str">
            <v>Not Listed</v>
          </cell>
          <cell r="E541" t="str">
            <v>Industrial Machinery</v>
          </cell>
        </row>
        <row r="542">
          <cell r="B542" t="str">
            <v>BAYER CROPSCIENCE LTD</v>
          </cell>
          <cell r="C542">
            <v>506285</v>
          </cell>
          <cell r="D542" t="str">
            <v>BAYERCROP</v>
          </cell>
          <cell r="E542" t="str">
            <v>Agrochemicals</v>
          </cell>
        </row>
        <row r="543">
          <cell r="B543" t="str">
            <v>BAZEL INTERNATIONAL LTD</v>
          </cell>
          <cell r="C543">
            <v>539946</v>
          </cell>
          <cell r="D543" t="str">
            <v>Not Listed</v>
          </cell>
          <cell r="E543" t="str">
            <v>Finance (including NBFCs)</v>
          </cell>
        </row>
        <row r="544">
          <cell r="B544" t="str">
            <v>BCC FUBA (INDIA) LTD</v>
          </cell>
          <cell r="C544">
            <v>517246</v>
          </cell>
          <cell r="D544" t="str">
            <v>Not Listed</v>
          </cell>
          <cell r="E544" t="str">
            <v>Electronic Components</v>
          </cell>
        </row>
        <row r="545">
          <cell r="B545" t="str">
            <v>BCC FUBA INDIA LTD</v>
          </cell>
          <cell r="C545">
            <v>517246</v>
          </cell>
          <cell r="D545" t="str">
            <v>Not Listed</v>
          </cell>
          <cell r="E545" t="str">
            <v>Electronic Components</v>
          </cell>
        </row>
        <row r="546">
          <cell r="B546" t="str">
            <v>BCL ENTERPRISES LTD</v>
          </cell>
          <cell r="C546">
            <v>539621</v>
          </cell>
          <cell r="D546" t="str">
            <v>Not Listed</v>
          </cell>
          <cell r="E546" t="str">
            <v>Finance (including NBFCs)</v>
          </cell>
        </row>
        <row r="547">
          <cell r="B547" t="str">
            <v>BCL INDUSTRIES LTD</v>
          </cell>
          <cell r="C547">
            <v>524332</v>
          </cell>
          <cell r="D547" t="str">
            <v>Not Listed</v>
          </cell>
          <cell r="E547" t="str">
            <v>Edible Oils</v>
          </cell>
        </row>
        <row r="548">
          <cell r="B548" t="str">
            <v>BCPL RAILWAY INFRASTRUCTURE LTD</v>
          </cell>
          <cell r="C548">
            <v>542057</v>
          </cell>
          <cell r="D548" t="str">
            <v>Not Listed</v>
          </cell>
          <cell r="E548" t="str">
            <v>Construction &amp; Engineering</v>
          </cell>
        </row>
        <row r="549">
          <cell r="B549" t="str">
            <v>BDH INDUSTRIES LTD</v>
          </cell>
          <cell r="C549">
            <v>524828</v>
          </cell>
          <cell r="D549" t="str">
            <v>Not Listed</v>
          </cell>
          <cell r="E549" t="str">
            <v>Pharmaceuticals</v>
          </cell>
        </row>
        <row r="550">
          <cell r="B550" t="str">
            <v>BEARDSELL LTD</v>
          </cell>
          <cell r="C550">
            <v>539447</v>
          </cell>
          <cell r="D550" t="str">
            <v>BEARDSELL</v>
          </cell>
          <cell r="E550" t="str">
            <v>Containers &amp; Packaging</v>
          </cell>
        </row>
        <row r="551">
          <cell r="B551" t="str">
            <v>BEDMUTHA INDUSTRIES LTD</v>
          </cell>
          <cell r="C551">
            <v>533270</v>
          </cell>
          <cell r="D551" t="str">
            <v>BEDMUTHA</v>
          </cell>
          <cell r="E551" t="str">
            <v>Iron &amp; Steel Products</v>
          </cell>
        </row>
        <row r="552">
          <cell r="B552" t="str">
            <v>BEEKAY NIRYAT LTD</v>
          </cell>
          <cell r="C552">
            <v>539546</v>
          </cell>
          <cell r="D552" t="str">
            <v>Not Listed</v>
          </cell>
          <cell r="E552" t="str">
            <v>Comm.Trading  &amp; Distribution</v>
          </cell>
        </row>
        <row r="553">
          <cell r="B553" t="str">
            <v>BEEKAY STEEL INDUSTRIES LTD</v>
          </cell>
          <cell r="C553">
            <v>539018</v>
          </cell>
          <cell r="D553" t="str">
            <v>Not Listed</v>
          </cell>
          <cell r="E553" t="str">
            <v>Iron &amp; Steel/Interm.Products</v>
          </cell>
        </row>
        <row r="554">
          <cell r="B554" t="str">
            <v>BEEYU OVERSEAS LTD</v>
          </cell>
          <cell r="C554">
            <v>532645</v>
          </cell>
          <cell r="D554" t="str">
            <v>Not Listed</v>
          </cell>
          <cell r="E554" t="str">
            <v>Comm.Trading  &amp; Distribution</v>
          </cell>
        </row>
        <row r="555">
          <cell r="B555" t="str">
            <v>BELLA CASA FASHION &amp; RETAIL LTD</v>
          </cell>
          <cell r="C555">
            <v>539399</v>
          </cell>
          <cell r="D555" t="str">
            <v>Not Listed</v>
          </cell>
          <cell r="E555" t="str">
            <v>Textiles</v>
          </cell>
        </row>
        <row r="556">
          <cell r="B556" t="str">
            <v>BEMCO HYDRAULICS LTD</v>
          </cell>
          <cell r="C556">
            <v>522650</v>
          </cell>
          <cell r="D556" t="str">
            <v>Not Listed</v>
          </cell>
          <cell r="E556" t="str">
            <v>Other Industrial Goods</v>
          </cell>
        </row>
        <row r="557">
          <cell r="B557" t="str">
            <v>BEML LTD</v>
          </cell>
          <cell r="C557">
            <v>500048</v>
          </cell>
          <cell r="D557" t="str">
            <v>BEML</v>
          </cell>
          <cell r="E557" t="str">
            <v>Commercial Vehicles</v>
          </cell>
        </row>
        <row r="558">
          <cell r="B558" t="str">
            <v>BENARA BEARINGS AND PISTONS LTD</v>
          </cell>
          <cell r="C558">
            <v>541178</v>
          </cell>
          <cell r="D558" t="str">
            <v>Not Listed</v>
          </cell>
          <cell r="E558" t="str">
            <v>Other Industrial Goods</v>
          </cell>
        </row>
        <row r="559">
          <cell r="B559" t="str">
            <v>BENARES HOTELS LTD</v>
          </cell>
          <cell r="C559">
            <v>509438</v>
          </cell>
          <cell r="D559" t="str">
            <v>Not Listed</v>
          </cell>
          <cell r="E559" t="str">
            <v>Hotels</v>
          </cell>
        </row>
        <row r="560">
          <cell r="B560" t="str">
            <v>BENGAL &amp; ASSAM COMPANY LTD</v>
          </cell>
          <cell r="C560">
            <v>533095</v>
          </cell>
          <cell r="D560" t="str">
            <v>Not Listed</v>
          </cell>
          <cell r="E560" t="str">
            <v>Finance (including NBFCs)</v>
          </cell>
        </row>
        <row r="561">
          <cell r="B561" t="str">
            <v>BENGAL STEEL INDUSTRIES LTD</v>
          </cell>
          <cell r="C561">
            <v>512404</v>
          </cell>
          <cell r="D561" t="str">
            <v>Not Listed</v>
          </cell>
          <cell r="E561" t="str">
            <v>Iron &amp; Steel/Interm.Products</v>
          </cell>
        </row>
        <row r="562">
          <cell r="B562" t="str">
            <v>BENGAL TEA &amp; FABRICS LTD</v>
          </cell>
          <cell r="C562">
            <v>532230</v>
          </cell>
          <cell r="D562" t="str">
            <v>Not Listed</v>
          </cell>
          <cell r="E562" t="str">
            <v>Textiles</v>
          </cell>
        </row>
        <row r="563">
          <cell r="B563" t="str">
            <v>BENTLEY COMMERCIAL ENTERPRISES LTD</v>
          </cell>
          <cell r="C563">
            <v>512195</v>
          </cell>
          <cell r="D563" t="str">
            <v>Not Listed</v>
          </cell>
          <cell r="E563" t="str">
            <v>Misc.Commercial Services</v>
          </cell>
        </row>
        <row r="564">
          <cell r="B564" t="str">
            <v>BERGER PAINTS I LTD</v>
          </cell>
          <cell r="C564">
            <v>509480</v>
          </cell>
          <cell r="D564" t="str">
            <v>BERGEPAINT</v>
          </cell>
          <cell r="E564" t="str">
            <v>Furniture-Furnishing-Paints</v>
          </cell>
        </row>
        <row r="565">
          <cell r="B565" t="str">
            <v>BERVIN INVESTMENT &amp; LEASING LTD</v>
          </cell>
          <cell r="C565">
            <v>531340</v>
          </cell>
          <cell r="D565" t="str">
            <v>Not Listed</v>
          </cell>
          <cell r="E565" t="str">
            <v>Other Financial Services</v>
          </cell>
        </row>
        <row r="566">
          <cell r="B566" t="str">
            <v>BERYL DRUGS LTD</v>
          </cell>
          <cell r="C566">
            <v>524606</v>
          </cell>
          <cell r="D566" t="str">
            <v>Not Listed</v>
          </cell>
          <cell r="E566" t="str">
            <v>Pharmaceuticals</v>
          </cell>
        </row>
        <row r="567">
          <cell r="B567" t="str">
            <v>BERYL SECURITIES LTD</v>
          </cell>
          <cell r="C567">
            <v>531582</v>
          </cell>
          <cell r="D567" t="str">
            <v>Not Listed</v>
          </cell>
          <cell r="E567" t="str">
            <v>Finance (including NBFCs)</v>
          </cell>
        </row>
        <row r="568">
          <cell r="B568" t="str">
            <v>BEST EASTERN HOTELS LTD</v>
          </cell>
          <cell r="C568">
            <v>508664</v>
          </cell>
          <cell r="D568" t="str">
            <v>Not Listed</v>
          </cell>
          <cell r="E568" t="str">
            <v>Hotels</v>
          </cell>
        </row>
        <row r="569">
          <cell r="B569" t="str">
            <v>BETA DRUGS LTD</v>
          </cell>
          <cell r="C569" t="str">
            <v>Not Listed</v>
          </cell>
          <cell r="D569" t="str">
            <v>BETA</v>
          </cell>
          <cell r="E569" t="str">
            <v>SME</v>
          </cell>
        </row>
        <row r="570">
          <cell r="B570" t="str">
            <v>BETEX (INDIA) LTD</v>
          </cell>
          <cell r="C570">
            <v>512477</v>
          </cell>
          <cell r="D570" t="str">
            <v>Not Listed</v>
          </cell>
          <cell r="E570" t="str">
            <v>Textiles</v>
          </cell>
        </row>
        <row r="571">
          <cell r="B571" t="str">
            <v>BETEX INDIA LTD</v>
          </cell>
          <cell r="C571">
            <v>512477</v>
          </cell>
          <cell r="D571" t="str">
            <v>Not Listed</v>
          </cell>
          <cell r="E571" t="str">
            <v>Textiles</v>
          </cell>
        </row>
        <row r="572">
          <cell r="B572" t="str">
            <v>BF INVESTMENT LTD</v>
          </cell>
          <cell r="C572">
            <v>533303</v>
          </cell>
          <cell r="D572" t="str">
            <v>BFINVEST</v>
          </cell>
          <cell r="E572" t="str">
            <v>Holding Companies</v>
          </cell>
        </row>
        <row r="573">
          <cell r="B573" t="str">
            <v>BF UTILITIES LTD</v>
          </cell>
          <cell r="C573">
            <v>532430</v>
          </cell>
          <cell r="D573" t="str">
            <v>BFUTILITIE</v>
          </cell>
          <cell r="E573" t="str">
            <v>Electric Utilities</v>
          </cell>
        </row>
        <row r="574">
          <cell r="B574" t="str">
            <v>BFL ASSET FINVEST LTD</v>
          </cell>
          <cell r="C574">
            <v>539662</v>
          </cell>
          <cell r="D574" t="str">
            <v>Not Listed</v>
          </cell>
          <cell r="E574" t="str">
            <v>Finance (including NBFCs)</v>
          </cell>
        </row>
        <row r="575">
          <cell r="B575" t="str">
            <v>BGIL FILMS &amp; TECHNOLOGIES LTD</v>
          </cell>
          <cell r="C575">
            <v>511664</v>
          </cell>
          <cell r="D575" t="str">
            <v>Not Listed</v>
          </cell>
          <cell r="E575" t="str">
            <v>Movies &amp; Entertainment</v>
          </cell>
        </row>
        <row r="576">
          <cell r="B576" t="str">
            <v>BGR ENERGY SYSTEMS LTD</v>
          </cell>
          <cell r="C576">
            <v>532930</v>
          </cell>
          <cell r="D576" t="str">
            <v>BGRENERGY</v>
          </cell>
          <cell r="E576" t="str">
            <v>Heavy Electrical Equipment</v>
          </cell>
        </row>
        <row r="577">
          <cell r="B577" t="str">
            <v>BHAGERIA INDUSTRIES LTD</v>
          </cell>
          <cell r="C577">
            <v>530803</v>
          </cell>
          <cell r="D577" t="str">
            <v>BHAGERIA</v>
          </cell>
          <cell r="E577" t="str">
            <v>Commodity Chemicals</v>
          </cell>
        </row>
        <row r="578">
          <cell r="B578" t="str">
            <v>BHAGIRADHA CHEMICALS &amp; INDUSTRIES LTD</v>
          </cell>
          <cell r="C578">
            <v>531719</v>
          </cell>
          <cell r="D578" t="str">
            <v>Not Listed</v>
          </cell>
          <cell r="E578" t="str">
            <v>Agrochemicals</v>
          </cell>
        </row>
        <row r="579">
          <cell r="B579" t="str">
            <v>BHAGWATI AUTOCAST LTD</v>
          </cell>
          <cell r="C579">
            <v>504646</v>
          </cell>
          <cell r="D579" t="str">
            <v>Not Listed</v>
          </cell>
          <cell r="E579" t="str">
            <v>Auto Parts &amp; Equipment</v>
          </cell>
        </row>
        <row r="580">
          <cell r="B580" t="str">
            <v>BHAGWATI OXYGEN LTD</v>
          </cell>
          <cell r="C580">
            <v>509449</v>
          </cell>
          <cell r="D580" t="str">
            <v>Not Listed</v>
          </cell>
          <cell r="E580" t="str">
            <v>Commodity Chemicals</v>
          </cell>
        </row>
        <row r="581">
          <cell r="B581" t="str">
            <v>BHAGYANAGAR (INDIA) LTD</v>
          </cell>
          <cell r="C581">
            <v>512296</v>
          </cell>
          <cell r="D581" t="str">
            <v>BHAGYANGR</v>
          </cell>
          <cell r="E581" t="str">
            <v>Copper</v>
          </cell>
        </row>
        <row r="582">
          <cell r="B582" t="str">
            <v>BHAGYANAGAR INDIA LTD</v>
          </cell>
          <cell r="C582">
            <v>512296</v>
          </cell>
          <cell r="D582" t="str">
            <v>BHAGYANGR</v>
          </cell>
          <cell r="E582" t="str">
            <v>Copper</v>
          </cell>
        </row>
        <row r="583">
          <cell r="B583" t="str">
            <v>BHAGYANAGAR PROPERTIES LTD</v>
          </cell>
          <cell r="C583">
            <v>540621</v>
          </cell>
          <cell r="D583" t="str">
            <v>BHAGYAPROP</v>
          </cell>
          <cell r="E583" t="str">
            <v>Realty</v>
          </cell>
        </row>
        <row r="584">
          <cell r="B584" t="str">
            <v>BHAKTI GEMS AND JEWELLERY LTD</v>
          </cell>
          <cell r="C584">
            <v>540545</v>
          </cell>
          <cell r="D584" t="str">
            <v>Not Listed</v>
          </cell>
          <cell r="E584" t="str">
            <v>Other Apparels &amp; Accessories</v>
          </cell>
        </row>
        <row r="585">
          <cell r="B585" t="str">
            <v>BHANDARI HOSIERY EXPORTS LTD</v>
          </cell>
          <cell r="C585">
            <v>512608</v>
          </cell>
          <cell r="D585" t="str">
            <v>BHANDARI</v>
          </cell>
          <cell r="E585" t="str">
            <v>Other Apparels &amp; Accessories</v>
          </cell>
        </row>
        <row r="586">
          <cell r="B586" t="str">
            <v>BHANDERI INFRACON LTD</v>
          </cell>
          <cell r="C586">
            <v>538576</v>
          </cell>
          <cell r="D586" t="str">
            <v>Not Listed</v>
          </cell>
          <cell r="E586" t="str">
            <v>Realty</v>
          </cell>
        </row>
        <row r="587">
          <cell r="B587" t="str">
            <v>BHANSALI ENGINEERING POLYMERS LTD</v>
          </cell>
          <cell r="C587">
            <v>500052</v>
          </cell>
          <cell r="D587" t="str">
            <v>BEPL</v>
          </cell>
          <cell r="E587" t="str">
            <v>Specialty Chemicals</v>
          </cell>
        </row>
        <row r="588">
          <cell r="B588" t="str">
            <v>BHARAT AGRI FERT &amp; REALTY LTD</v>
          </cell>
          <cell r="C588">
            <v>531862</v>
          </cell>
          <cell r="D588" t="str">
            <v>Not Listed</v>
          </cell>
          <cell r="E588" t="str">
            <v>Fertilizers</v>
          </cell>
        </row>
        <row r="589">
          <cell r="B589" t="str">
            <v>BHARAT BHUSHAN SHARE &amp; COMMODITY BROKERS LTD</v>
          </cell>
          <cell r="C589">
            <v>511501</v>
          </cell>
          <cell r="D589" t="str">
            <v>Not Listed</v>
          </cell>
          <cell r="E589" t="str">
            <v>Other Financial Services</v>
          </cell>
        </row>
        <row r="590">
          <cell r="B590" t="str">
            <v>BHARAT BIJLEE LTD</v>
          </cell>
          <cell r="C590">
            <v>503960</v>
          </cell>
          <cell r="D590" t="str">
            <v>BBL</v>
          </cell>
          <cell r="E590" t="str">
            <v>Other Elect.Equip./ Prod.</v>
          </cell>
        </row>
        <row r="591">
          <cell r="B591" t="str">
            <v>BHARAT DYNAMICS LTD</v>
          </cell>
          <cell r="C591">
            <v>541143</v>
          </cell>
          <cell r="D591" t="str">
            <v>BDL</v>
          </cell>
          <cell r="E591" t="str">
            <v>Defence</v>
          </cell>
        </row>
        <row r="592">
          <cell r="B592" t="str">
            <v>BHARAT ELECTRONICS LTD</v>
          </cell>
          <cell r="C592">
            <v>500049</v>
          </cell>
          <cell r="D592" t="str">
            <v>BEL</v>
          </cell>
          <cell r="E592" t="str">
            <v>Defence</v>
          </cell>
        </row>
        <row r="593">
          <cell r="B593" t="str">
            <v>BHARAT FINANCIAL INCLUSION LTD</v>
          </cell>
          <cell r="C593">
            <v>533228</v>
          </cell>
          <cell r="D593" t="str">
            <v>BHARATFIN</v>
          </cell>
          <cell r="E593" t="str">
            <v>Finance (including NBFCs)</v>
          </cell>
        </row>
        <row r="594">
          <cell r="B594" t="str">
            <v>BHARAT FORGE LTD</v>
          </cell>
          <cell r="C594">
            <v>500493</v>
          </cell>
          <cell r="D594" t="str">
            <v>BHARATFORG</v>
          </cell>
          <cell r="E594" t="str">
            <v>Other Industrial Products</v>
          </cell>
        </row>
        <row r="595">
          <cell r="B595" t="str">
            <v>BHARAT GEARS LTD</v>
          </cell>
          <cell r="C595">
            <v>505688</v>
          </cell>
          <cell r="D595" t="str">
            <v>BHARATGEAR</v>
          </cell>
          <cell r="E595" t="str">
            <v>Auto Parts &amp; Equipment</v>
          </cell>
        </row>
        <row r="596">
          <cell r="B596" t="str">
            <v>BHARAT HEAVY ELECTRICALS LTD</v>
          </cell>
          <cell r="C596">
            <v>500103</v>
          </cell>
          <cell r="D596" t="str">
            <v>BHEL</v>
          </cell>
          <cell r="E596" t="str">
            <v>Heavy Electrical Equipment</v>
          </cell>
        </row>
        <row r="597">
          <cell r="B597" t="str">
            <v>BHARAT IMMUNOLOGICALS &amp; BIOLOGICALS CORPORATION LTD</v>
          </cell>
          <cell r="C597">
            <v>524663</v>
          </cell>
          <cell r="D597" t="str">
            <v>Not Listed</v>
          </cell>
          <cell r="E597" t="str">
            <v>Pharmaceuticals</v>
          </cell>
        </row>
        <row r="598">
          <cell r="B598" t="str">
            <v>BHARAT PARENTERALS LTD</v>
          </cell>
          <cell r="C598">
            <v>541096</v>
          </cell>
          <cell r="D598" t="str">
            <v>Not Listed</v>
          </cell>
          <cell r="E598" t="str">
            <v>Pharmaceuticals</v>
          </cell>
        </row>
        <row r="599">
          <cell r="B599" t="str">
            <v>BHARAT PETROLEUM CORPORATION LTD</v>
          </cell>
          <cell r="C599">
            <v>500547</v>
          </cell>
          <cell r="D599" t="str">
            <v>BPCL</v>
          </cell>
          <cell r="E599" t="str">
            <v>Refineries/ Petro-Products</v>
          </cell>
        </row>
        <row r="600">
          <cell r="B600" t="str">
            <v>BHARAT RASAYAN LTD</v>
          </cell>
          <cell r="C600">
            <v>590021</v>
          </cell>
          <cell r="D600" t="str">
            <v>BHARATRAS</v>
          </cell>
          <cell r="E600" t="str">
            <v>Agrochemicals</v>
          </cell>
        </row>
        <row r="601">
          <cell r="B601" t="str">
            <v>BHARAT ROAD NETWORK LTD</v>
          </cell>
          <cell r="C601">
            <v>540700</v>
          </cell>
          <cell r="D601" t="str">
            <v>BRNL</v>
          </cell>
          <cell r="E601" t="str">
            <v>Roads &amp; Highways</v>
          </cell>
        </row>
        <row r="602">
          <cell r="B602" t="str">
            <v>BHARAT SEATS LTD</v>
          </cell>
          <cell r="C602">
            <v>523229</v>
          </cell>
          <cell r="D602" t="str">
            <v>Not Listed</v>
          </cell>
          <cell r="E602" t="str">
            <v>Auto Parts &amp; Equipment</v>
          </cell>
        </row>
        <row r="603">
          <cell r="B603" t="str">
            <v>BHARAT TEXTILES &amp; PROOFING INDUSTRIES LTD</v>
          </cell>
          <cell r="C603">
            <v>531029</v>
          </cell>
          <cell r="D603" t="str">
            <v>Not Listed</v>
          </cell>
          <cell r="E603" t="str">
            <v>Comm.Trading  &amp; Distribution</v>
          </cell>
        </row>
        <row r="604">
          <cell r="B604" t="str">
            <v>BHARAT WIRE ROPES LTD</v>
          </cell>
          <cell r="C604">
            <v>539799</v>
          </cell>
          <cell r="D604" t="str">
            <v>BHARATWIRE</v>
          </cell>
          <cell r="E604" t="str">
            <v>Iron &amp; Steel Products</v>
          </cell>
        </row>
        <row r="605">
          <cell r="B605" t="str">
            <v>BHARATI DEFENCE AND INFRASTRUCTURE LTD</v>
          </cell>
          <cell r="C605">
            <v>532609</v>
          </cell>
          <cell r="D605" t="str">
            <v>BHARATIDIL</v>
          </cell>
          <cell r="E605" t="str">
            <v>Commercial Vehicles</v>
          </cell>
        </row>
        <row r="606">
          <cell r="B606" t="str">
            <v>BHARATIYA GLOBAL INFOMEDIA LTD</v>
          </cell>
          <cell r="C606">
            <v>533499</v>
          </cell>
          <cell r="D606" t="str">
            <v>BGLOBAL</v>
          </cell>
          <cell r="E606" t="str">
            <v>IT Consulting &amp; Software</v>
          </cell>
        </row>
        <row r="607">
          <cell r="B607" t="str">
            <v>BHARTI AIRTEL LTD</v>
          </cell>
          <cell r="C607">
            <v>532454</v>
          </cell>
          <cell r="D607" t="str">
            <v>BHARTIARTL</v>
          </cell>
          <cell r="E607" t="str">
            <v>Telecom Services</v>
          </cell>
        </row>
        <row r="608">
          <cell r="B608" t="str">
            <v>BHARTI INFRATEL LTD</v>
          </cell>
          <cell r="C608">
            <v>534816</v>
          </cell>
          <cell r="D608" t="str">
            <v>INFRATEL</v>
          </cell>
          <cell r="E608" t="str">
            <v>Other Telecom Services</v>
          </cell>
        </row>
        <row r="609">
          <cell r="B609" t="str">
            <v>BHARTIYA INTERNATIONAL LTD</v>
          </cell>
          <cell r="C609">
            <v>526666</v>
          </cell>
          <cell r="D609" t="str">
            <v>BIL</v>
          </cell>
          <cell r="E609" t="str">
            <v>Other Apparels &amp; Accessories</v>
          </cell>
        </row>
        <row r="610">
          <cell r="B610" t="str">
            <v>BHASKAR AGROCHEMICALS LTD</v>
          </cell>
          <cell r="C610">
            <v>524534</v>
          </cell>
          <cell r="D610" t="str">
            <v>Not Listed</v>
          </cell>
          <cell r="E610" t="str">
            <v>Agrochemicals</v>
          </cell>
        </row>
        <row r="611">
          <cell r="B611" t="str">
            <v>BHATIA COMMUNICATIONS &amp; RETAIL (INDIA) LTD</v>
          </cell>
          <cell r="C611">
            <v>540956</v>
          </cell>
          <cell r="D611" t="str">
            <v>Not Listed</v>
          </cell>
          <cell r="E611" t="str">
            <v>Specialty Retail</v>
          </cell>
        </row>
        <row r="612">
          <cell r="B612" t="str">
            <v>BHATIA COMMUNICATIONS &amp; RETAIL INDIA LTD</v>
          </cell>
          <cell r="C612">
            <v>540956</v>
          </cell>
          <cell r="D612" t="str">
            <v>Not Listed</v>
          </cell>
          <cell r="E612" t="str">
            <v>Specialty Retail</v>
          </cell>
        </row>
        <row r="613">
          <cell r="B613" t="str">
            <v>BHILWARA SPINNERS LTD</v>
          </cell>
          <cell r="C613">
            <v>514272</v>
          </cell>
          <cell r="D613" t="str">
            <v>Not Listed</v>
          </cell>
          <cell r="E613" t="str">
            <v>Textiles</v>
          </cell>
        </row>
        <row r="614">
          <cell r="B614" t="str">
            <v>BHILWARA TECHNICAL TEXTILES LTD</v>
          </cell>
          <cell r="C614">
            <v>533108</v>
          </cell>
          <cell r="D614" t="str">
            <v>Not Listed</v>
          </cell>
          <cell r="E614" t="str">
            <v>Textiles</v>
          </cell>
        </row>
        <row r="615">
          <cell r="B615" t="str">
            <v>BHORUKA ALUMINIUM LTD</v>
          </cell>
          <cell r="C615">
            <v>506027</v>
          </cell>
          <cell r="D615" t="str">
            <v>Not Listed</v>
          </cell>
          <cell r="E615" t="str">
            <v>Aluminium</v>
          </cell>
        </row>
        <row r="616">
          <cell r="B616" t="str">
            <v>BHUSHAN STEEL LTD</v>
          </cell>
          <cell r="C616">
            <v>500055</v>
          </cell>
          <cell r="D616" t="str">
            <v>BHUSANSTL</v>
          </cell>
          <cell r="E616" t="str">
            <v>Iron &amp; Steel/Interm.Products</v>
          </cell>
        </row>
        <row r="617">
          <cell r="B617" t="str">
            <v>BIGBLOC CONSTRUCTION LTD</v>
          </cell>
          <cell r="C617">
            <v>540061</v>
          </cell>
          <cell r="D617" t="str">
            <v>BIGBLOC</v>
          </cell>
          <cell r="E617" t="str">
            <v>Cement &amp; Cement Products</v>
          </cell>
        </row>
        <row r="618">
          <cell r="B618" t="str">
            <v>BIHAR SPONGE IRON LTD</v>
          </cell>
          <cell r="C618">
            <v>500058</v>
          </cell>
          <cell r="D618" t="str">
            <v>Not Listed</v>
          </cell>
          <cell r="E618" t="str">
            <v>Iron &amp; Steel/Interm.Products</v>
          </cell>
        </row>
        <row r="619">
          <cell r="B619" t="str">
            <v>BIJOY HANS LTD</v>
          </cell>
          <cell r="C619">
            <v>524723</v>
          </cell>
          <cell r="D619" t="str">
            <v>Not Listed</v>
          </cell>
          <cell r="E619" t="str">
            <v>Comm.Trading  &amp; Distribution</v>
          </cell>
        </row>
        <row r="620">
          <cell r="B620" t="str">
            <v>BIL ENERGY SYSTEMS LTD</v>
          </cell>
          <cell r="C620">
            <v>533321</v>
          </cell>
          <cell r="D620" t="str">
            <v>BILENERGY</v>
          </cell>
          <cell r="E620" t="str">
            <v>Other Elect.Equip./ Prod.</v>
          </cell>
        </row>
        <row r="621">
          <cell r="B621" t="str">
            <v>BILCARE LTD</v>
          </cell>
          <cell r="C621">
            <v>526853</v>
          </cell>
          <cell r="D621" t="str">
            <v>Not Listed</v>
          </cell>
          <cell r="E621" t="str">
            <v>Healthcare Supplies</v>
          </cell>
        </row>
        <row r="622">
          <cell r="B622" t="str">
            <v>BIMETAL BEARINGS LTD</v>
          </cell>
          <cell r="C622">
            <v>505681</v>
          </cell>
          <cell r="D622" t="str">
            <v>Not Listed</v>
          </cell>
          <cell r="E622" t="str">
            <v>Auto Parts &amp; Equipment</v>
          </cell>
        </row>
        <row r="623">
          <cell r="B623" t="str">
            <v>BINANI INDUSTRIES LTD</v>
          </cell>
          <cell r="C623">
            <v>500059</v>
          </cell>
          <cell r="D623" t="str">
            <v>BINANIIND</v>
          </cell>
          <cell r="E623" t="str">
            <v>Holding Companies</v>
          </cell>
        </row>
        <row r="624">
          <cell r="B624" t="str">
            <v>BINAYAK TEX PROCESSORS LTD</v>
          </cell>
          <cell r="C624">
            <v>523054</v>
          </cell>
          <cell r="D624" t="str">
            <v>Not Listed</v>
          </cell>
          <cell r="E624" t="str">
            <v>Textiles</v>
          </cell>
        </row>
        <row r="625">
          <cell r="B625" t="str">
            <v>BINDAL EXPORTS LTD</v>
          </cell>
          <cell r="C625">
            <v>540148</v>
          </cell>
          <cell r="D625" t="str">
            <v>Not Listed</v>
          </cell>
          <cell r="E625" t="str">
            <v>Other Apparels &amp; Accessories</v>
          </cell>
        </row>
        <row r="626">
          <cell r="B626" t="str">
            <v>BINNY LTD</v>
          </cell>
          <cell r="C626">
            <v>514215</v>
          </cell>
          <cell r="D626" t="str">
            <v>Not Listed</v>
          </cell>
          <cell r="E626" t="str">
            <v>Textiles</v>
          </cell>
        </row>
        <row r="627">
          <cell r="B627" t="str">
            <v>BINNY MILLS LTD</v>
          </cell>
          <cell r="C627">
            <v>535620</v>
          </cell>
          <cell r="D627" t="str">
            <v>Not Listed</v>
          </cell>
          <cell r="E627" t="str">
            <v>Comm.Trading  &amp; Distribution</v>
          </cell>
        </row>
        <row r="628">
          <cell r="B628" t="str">
            <v>BIO GREEN PAPERS LTD</v>
          </cell>
          <cell r="C628">
            <v>534535</v>
          </cell>
          <cell r="D628" t="str">
            <v>Not Listed</v>
          </cell>
          <cell r="E628" t="str">
            <v>Paper &amp; Paper Products</v>
          </cell>
        </row>
        <row r="629">
          <cell r="B629" t="str">
            <v>BIOCON LTD</v>
          </cell>
          <cell r="C629">
            <v>532523</v>
          </cell>
          <cell r="D629" t="str">
            <v>BIOCON</v>
          </cell>
          <cell r="E629" t="str">
            <v>Biotechnology</v>
          </cell>
        </row>
        <row r="630">
          <cell r="B630" t="str">
            <v>BIOFIL CHEMICALS &amp; PHARMACEUTICALS LTD</v>
          </cell>
          <cell r="C630">
            <v>524396</v>
          </cell>
          <cell r="D630" t="str">
            <v>BIOFILCHEM</v>
          </cell>
          <cell r="E630" t="str">
            <v>Pharmaceuticals</v>
          </cell>
        </row>
        <row r="631">
          <cell r="B631" t="str">
            <v>BIOPAC INDIA CORPORATION LTD</v>
          </cell>
          <cell r="C631">
            <v>532330</v>
          </cell>
          <cell r="D631" t="str">
            <v>Not Listed</v>
          </cell>
          <cell r="E631" t="str">
            <v>Plastic Products</v>
          </cell>
        </row>
        <row r="632">
          <cell r="B632" t="str">
            <v>BIRDHI CHAND PANNALAL AGENCIES LTD</v>
          </cell>
          <cell r="C632">
            <v>538364</v>
          </cell>
          <cell r="D632" t="str">
            <v>Not Listed</v>
          </cell>
          <cell r="E632" t="str">
            <v>Textiles</v>
          </cell>
        </row>
        <row r="633">
          <cell r="B633" t="str">
            <v>BIRLA CABLE LTD</v>
          </cell>
          <cell r="C633">
            <v>500060</v>
          </cell>
          <cell r="D633" t="str">
            <v>BIRLACABLE</v>
          </cell>
          <cell r="E633" t="str">
            <v>Other Elect.Equip./ Prod.</v>
          </cell>
        </row>
        <row r="634">
          <cell r="B634" t="str">
            <v>BIRLA CORPORATION LTD</v>
          </cell>
          <cell r="C634">
            <v>500335</v>
          </cell>
          <cell r="D634" t="str">
            <v>BIRLACORPN</v>
          </cell>
          <cell r="E634" t="str">
            <v>Cement &amp; Cement Products</v>
          </cell>
        </row>
        <row r="635">
          <cell r="B635" t="str">
            <v>BIRLA COTSYN (INDIA) LTD</v>
          </cell>
          <cell r="C635">
            <v>533006</v>
          </cell>
          <cell r="D635" t="str">
            <v>Not Listed</v>
          </cell>
          <cell r="E635" t="str">
            <v>Textiles</v>
          </cell>
        </row>
        <row r="636">
          <cell r="B636" t="str">
            <v>BIRLA COTSYN INDIA LTD</v>
          </cell>
          <cell r="C636">
            <v>533006</v>
          </cell>
          <cell r="D636" t="str">
            <v>Not Listed</v>
          </cell>
          <cell r="E636" t="str">
            <v>Textiles</v>
          </cell>
        </row>
        <row r="637">
          <cell r="B637" t="str">
            <v>BIRLA PRECISION TECHNOLOGIES LTD</v>
          </cell>
          <cell r="C637">
            <v>522105</v>
          </cell>
          <cell r="D637" t="str">
            <v>Not Listed</v>
          </cell>
          <cell r="E637" t="str">
            <v>Industrial Machinery</v>
          </cell>
        </row>
        <row r="638">
          <cell r="B638" t="str">
            <v>Birla Sun Life Mutual Fund - Birla Sun Life Gold ETF</v>
          </cell>
          <cell r="C638">
            <v>533408</v>
          </cell>
          <cell r="D638" t="str">
            <v>BSLGOLDETF</v>
          </cell>
          <cell r="E638" t="str">
            <v>Other Financial Services</v>
          </cell>
        </row>
        <row r="639">
          <cell r="B639" t="str">
            <v>BIRLASOFT LTD</v>
          </cell>
          <cell r="C639" t="str">
            <v>Not Listed</v>
          </cell>
          <cell r="D639" t="str">
            <v>BSOFT</v>
          </cell>
          <cell r="E639" t="str">
            <v>IT Consulting &amp; Software</v>
          </cell>
        </row>
        <row r="640">
          <cell r="B640" t="str">
            <v>BKM INDUSTRIES LTD</v>
          </cell>
          <cell r="C640">
            <v>539043</v>
          </cell>
          <cell r="D640" t="str">
            <v>BKMINDST</v>
          </cell>
          <cell r="E640" t="str">
            <v>Containers &amp; Packaging</v>
          </cell>
        </row>
        <row r="641">
          <cell r="B641" t="str">
            <v>BLACK ROSE INDUSTRIES LTD</v>
          </cell>
          <cell r="C641">
            <v>514183</v>
          </cell>
          <cell r="D641" t="str">
            <v>Not Listed</v>
          </cell>
          <cell r="E641" t="str">
            <v>Specialty Chemicals</v>
          </cell>
        </row>
        <row r="642">
          <cell r="B642" t="str">
            <v>BLB LTD</v>
          </cell>
          <cell r="C642">
            <v>532290</v>
          </cell>
          <cell r="D642" t="str">
            <v>BLBLIMITED</v>
          </cell>
          <cell r="E642" t="str">
            <v>Other Financial Services</v>
          </cell>
        </row>
        <row r="643">
          <cell r="B643" t="str">
            <v>BLISS GVS PHARMA LTD</v>
          </cell>
          <cell r="C643">
            <v>506197</v>
          </cell>
          <cell r="D643" t="str">
            <v>BLISSGVS</v>
          </cell>
          <cell r="E643" t="str">
            <v>Pharmaceuticals</v>
          </cell>
        </row>
        <row r="644">
          <cell r="B644" t="str">
            <v>BLOOM DEKOR LTD</v>
          </cell>
          <cell r="C644">
            <v>526225</v>
          </cell>
          <cell r="D644" t="str">
            <v>Not Listed</v>
          </cell>
          <cell r="E644" t="str">
            <v>Plastic Products</v>
          </cell>
        </row>
        <row r="645">
          <cell r="B645" t="str">
            <v>BLOOM INDUSTRIES LTD</v>
          </cell>
          <cell r="C645">
            <v>513422</v>
          </cell>
          <cell r="D645" t="str">
            <v>Not Listed</v>
          </cell>
          <cell r="E645" t="str">
            <v>Iron &amp; Steel/Interm.Products</v>
          </cell>
        </row>
        <row r="646">
          <cell r="B646" t="str">
            <v>BLS INFOTECH LTD</v>
          </cell>
          <cell r="C646">
            <v>531175</v>
          </cell>
          <cell r="D646" t="str">
            <v>Not Listed</v>
          </cell>
          <cell r="E646" t="str">
            <v>IT Software Products</v>
          </cell>
        </row>
        <row r="647">
          <cell r="B647" t="str">
            <v>BLS INTERNATIONAL SERVICES LTD</v>
          </cell>
          <cell r="C647">
            <v>540073</v>
          </cell>
          <cell r="D647" t="str">
            <v>BLS</v>
          </cell>
          <cell r="E647" t="str">
            <v>Travel Support Services</v>
          </cell>
        </row>
        <row r="648">
          <cell r="B648" t="str">
            <v>BLUE BLENDS (INDIA) LTD</v>
          </cell>
          <cell r="C648">
            <v>502761</v>
          </cell>
          <cell r="D648" t="str">
            <v>Not Listed</v>
          </cell>
          <cell r="E648" t="str">
            <v>Textiles</v>
          </cell>
        </row>
        <row r="649">
          <cell r="B649" t="str">
            <v>BLUE BLENDS I LTD</v>
          </cell>
          <cell r="C649" t="str">
            <v>Not Listed</v>
          </cell>
          <cell r="D649" t="str">
            <v>BLUEBLENDS</v>
          </cell>
          <cell r="E649" t="str">
            <v>Others</v>
          </cell>
        </row>
        <row r="650">
          <cell r="B650" t="str">
            <v>BLUE BLENDS INDIA LTD</v>
          </cell>
          <cell r="C650">
            <v>502761</v>
          </cell>
          <cell r="D650" t="str">
            <v>Not Listed</v>
          </cell>
          <cell r="E650" t="str">
            <v>Textiles</v>
          </cell>
        </row>
        <row r="651">
          <cell r="B651" t="str">
            <v>BLUE CHIP TEX INDUSTRIES LTD</v>
          </cell>
          <cell r="C651">
            <v>506981</v>
          </cell>
          <cell r="D651" t="str">
            <v>Not Listed</v>
          </cell>
          <cell r="E651" t="str">
            <v>Textiles</v>
          </cell>
        </row>
        <row r="652">
          <cell r="B652" t="str">
            <v>BLUE CIRCLE SERVICES LTD</v>
          </cell>
          <cell r="C652">
            <v>508939</v>
          </cell>
          <cell r="D652" t="str">
            <v>Not Listed</v>
          </cell>
          <cell r="E652" t="str">
            <v>Finance (including NBFCs)</v>
          </cell>
        </row>
        <row r="653">
          <cell r="B653" t="str">
            <v>BLUE CLOUD SOFTECH SOLUTIONS LTD</v>
          </cell>
          <cell r="C653">
            <v>539607</v>
          </cell>
          <cell r="D653" t="str">
            <v>Not Listed</v>
          </cell>
          <cell r="E653" t="str">
            <v>IT Software Products</v>
          </cell>
        </row>
        <row r="654">
          <cell r="B654" t="str">
            <v>BLUE COAST HOTELS LTD</v>
          </cell>
          <cell r="C654">
            <v>531495</v>
          </cell>
          <cell r="D654" t="str">
            <v>BLUECOAST</v>
          </cell>
          <cell r="E654" t="str">
            <v>Hotels</v>
          </cell>
        </row>
        <row r="655">
          <cell r="B655" t="str">
            <v>BLUE DART EXPRESS LTD</v>
          </cell>
          <cell r="C655">
            <v>526612</v>
          </cell>
          <cell r="D655" t="str">
            <v>BLUEDART</v>
          </cell>
          <cell r="E655" t="str">
            <v>Transportation - Logistics</v>
          </cell>
        </row>
        <row r="656">
          <cell r="B656" t="str">
            <v>BLUE PEARL TEXSPIN LTD</v>
          </cell>
          <cell r="C656">
            <v>514440</v>
          </cell>
          <cell r="D656" t="str">
            <v>Not Listed</v>
          </cell>
          <cell r="E656" t="str">
            <v>Commodity Chemicals</v>
          </cell>
        </row>
        <row r="657">
          <cell r="B657" t="str">
            <v>BLUE STAR LTD</v>
          </cell>
          <cell r="C657">
            <v>500067</v>
          </cell>
          <cell r="D657" t="str">
            <v>BLUESTARCO</v>
          </cell>
          <cell r="E657" t="str">
            <v>Consumer Electronics</v>
          </cell>
        </row>
        <row r="658">
          <cell r="B658" t="str">
            <v>BLUEBLOOD VENTURES LTD</v>
          </cell>
          <cell r="C658">
            <v>539637</v>
          </cell>
          <cell r="D658" t="str">
            <v>Not Listed</v>
          </cell>
          <cell r="E658" t="str">
            <v>Other Financial Services</v>
          </cell>
        </row>
        <row r="659">
          <cell r="B659" t="str">
            <v>BLUECHIP STOCKSPIN LTD</v>
          </cell>
          <cell r="C659">
            <v>531713</v>
          </cell>
          <cell r="D659" t="str">
            <v>Not Listed</v>
          </cell>
          <cell r="E659" t="str">
            <v>Misc.Commercial Services</v>
          </cell>
        </row>
        <row r="660">
          <cell r="B660" t="str">
            <v>BMB MUSIC &amp; MAGNETICS LTD</v>
          </cell>
          <cell r="C660">
            <v>531420</v>
          </cell>
          <cell r="D660" t="str">
            <v>Not Listed</v>
          </cell>
          <cell r="E660" t="str">
            <v>Movies &amp; Entertainment</v>
          </cell>
        </row>
        <row r="661">
          <cell r="B661" t="str">
            <v>BMW Industries Ltd</v>
          </cell>
          <cell r="C661">
            <v>542669</v>
          </cell>
          <cell r="D661" t="str">
            <v>BMW</v>
          </cell>
          <cell r="E661" t="str">
            <v>Iron &amp;amp; Steel Products</v>
          </cell>
        </row>
        <row r="662">
          <cell r="B662" t="str">
            <v>BNK CAPITAL MARKETS LTD</v>
          </cell>
          <cell r="C662">
            <v>500069</v>
          </cell>
          <cell r="D662" t="str">
            <v>Not Listed</v>
          </cell>
          <cell r="E662" t="str">
            <v>Other Financial Services</v>
          </cell>
        </row>
        <row r="663">
          <cell r="B663" t="str">
            <v>BNR UDYOG LTD</v>
          </cell>
          <cell r="C663">
            <v>530809</v>
          </cell>
          <cell r="D663" t="str">
            <v>Not Listed</v>
          </cell>
          <cell r="E663" t="str">
            <v>BPO/KPO</v>
          </cell>
        </row>
        <row r="664">
          <cell r="B664" t="str">
            <v>BODAL CHEMICALS LTD</v>
          </cell>
          <cell r="C664">
            <v>524370</v>
          </cell>
          <cell r="D664" t="str">
            <v>BODALCHEM</v>
          </cell>
          <cell r="E664" t="str">
            <v>Specialty Chemicals</v>
          </cell>
        </row>
        <row r="665">
          <cell r="B665" t="str">
            <v>BODHTREE CONSULTING LTD</v>
          </cell>
          <cell r="C665">
            <v>539122</v>
          </cell>
          <cell r="D665" t="str">
            <v>Not Listed</v>
          </cell>
          <cell r="E665" t="str">
            <v>IT Consulting &amp; Software</v>
          </cell>
        </row>
        <row r="666">
          <cell r="B666" t="str">
            <v>BOHRA INDUSTRIES LTD</v>
          </cell>
          <cell r="C666" t="str">
            <v>Not Listed</v>
          </cell>
          <cell r="D666" t="str">
            <v>BOHRA</v>
          </cell>
          <cell r="E666" t="str">
            <v>SME</v>
          </cell>
        </row>
        <row r="667">
          <cell r="B667" t="str">
            <v>BOMBAY BURMAH TRADING CORPORATION LTD</v>
          </cell>
          <cell r="C667">
            <v>501425</v>
          </cell>
          <cell r="D667" t="str">
            <v>BBTC</v>
          </cell>
          <cell r="E667" t="str">
            <v>Tea &amp; Coffee</v>
          </cell>
        </row>
        <row r="668">
          <cell r="B668" t="str">
            <v>BOMBAY CYCLE &amp; MOTOR AGENCY LTD</v>
          </cell>
          <cell r="C668">
            <v>501430</v>
          </cell>
          <cell r="D668" t="str">
            <v>Not Listed</v>
          </cell>
          <cell r="E668" t="str">
            <v>Comm.Trading  &amp; Distribution</v>
          </cell>
        </row>
        <row r="669">
          <cell r="B669" t="str">
            <v>BOMBAY DYEING &amp; MFG COMPANY LTD</v>
          </cell>
          <cell r="C669">
            <v>500020</v>
          </cell>
          <cell r="D669" t="str">
            <v>BOMDYEING</v>
          </cell>
          <cell r="E669" t="str">
            <v>Textiles</v>
          </cell>
        </row>
        <row r="670">
          <cell r="B670" t="str">
            <v>BOMBAY OXYGEN INVESTMENTS LTD</v>
          </cell>
          <cell r="C670">
            <v>509470</v>
          </cell>
          <cell r="D670" t="str">
            <v>Not Listed</v>
          </cell>
          <cell r="E670" t="str">
            <v>Industrial Gases</v>
          </cell>
        </row>
        <row r="671">
          <cell r="B671" t="str">
            <v>BOMBAY POTTERIES &amp; TILES LTD</v>
          </cell>
          <cell r="C671">
            <v>502216</v>
          </cell>
          <cell r="D671" t="str">
            <v>Not Listed</v>
          </cell>
          <cell r="E671" t="str">
            <v>Realty</v>
          </cell>
        </row>
        <row r="672">
          <cell r="B672" t="str">
            <v>BOMBAY RAYON FASHIONS LTD</v>
          </cell>
          <cell r="C672">
            <v>532678</v>
          </cell>
          <cell r="D672" t="str">
            <v>BRFL</v>
          </cell>
          <cell r="E672" t="str">
            <v>Textiles</v>
          </cell>
        </row>
        <row r="673">
          <cell r="B673" t="str">
            <v>BOMBAY SUPER HYBRID SEEDS LTD</v>
          </cell>
          <cell r="C673" t="str">
            <v>Not Listed</v>
          </cell>
          <cell r="D673" t="str">
            <v>BSHSL</v>
          </cell>
          <cell r="E673" t="str">
            <v>SME</v>
          </cell>
        </row>
        <row r="674">
          <cell r="B674" t="str">
            <v>BOMBAY WIRE ROPES LTD</v>
          </cell>
          <cell r="C674">
            <v>504648</v>
          </cell>
          <cell r="D674" t="str">
            <v>Not Listed</v>
          </cell>
          <cell r="E674" t="str">
            <v>Iron &amp; Steel Products</v>
          </cell>
        </row>
        <row r="675">
          <cell r="B675" t="str">
            <v>BONANZA INDUSTRIES LTD</v>
          </cell>
          <cell r="C675">
            <v>523133</v>
          </cell>
          <cell r="D675" t="str">
            <v>Not Listed</v>
          </cell>
          <cell r="E675" t="str">
            <v>Textiles</v>
          </cell>
        </row>
        <row r="676">
          <cell r="B676" t="str">
            <v>BOROSIL GLASS WORKS LTD</v>
          </cell>
          <cell r="C676">
            <v>502219</v>
          </cell>
          <cell r="D676" t="str">
            <v>BOROSIL</v>
          </cell>
          <cell r="E676" t="str">
            <v>Houseware</v>
          </cell>
        </row>
        <row r="677">
          <cell r="B677" t="str">
            <v>BOSCH LTD</v>
          </cell>
          <cell r="C677">
            <v>500530</v>
          </cell>
          <cell r="D677" t="str">
            <v>BOSCHLTD</v>
          </cell>
          <cell r="E677" t="str">
            <v>Auto Parts &amp; Equipment</v>
          </cell>
        </row>
        <row r="678">
          <cell r="B678" t="str">
            <v>BOSTON TEKNOWSYS (INDIA) LTD</v>
          </cell>
          <cell r="C678">
            <v>536820</v>
          </cell>
          <cell r="D678" t="str">
            <v>Not Listed</v>
          </cell>
          <cell r="E678" t="str">
            <v>IT Software Products</v>
          </cell>
        </row>
        <row r="679">
          <cell r="B679" t="str">
            <v>BOSTON TEKNOWSYS INDIA LTD</v>
          </cell>
          <cell r="C679">
            <v>536820</v>
          </cell>
          <cell r="D679" t="str">
            <v>Not Listed</v>
          </cell>
          <cell r="E679" t="str">
            <v>IT Software Products</v>
          </cell>
        </row>
        <row r="680">
          <cell r="B680" t="str">
            <v>BOTHRA METALS &amp; ALLOYS LTD</v>
          </cell>
          <cell r="C680">
            <v>535279</v>
          </cell>
          <cell r="D680" t="str">
            <v>Not Listed</v>
          </cell>
          <cell r="E680" t="str">
            <v>Aluminium</v>
          </cell>
        </row>
        <row r="681">
          <cell r="B681" t="str">
            <v>BPL LTD</v>
          </cell>
          <cell r="C681">
            <v>500074</v>
          </cell>
          <cell r="D681" t="str">
            <v>BPL</v>
          </cell>
          <cell r="E681" t="str">
            <v>Consumer Electronics</v>
          </cell>
        </row>
        <row r="682">
          <cell r="B682" t="str">
            <v>BRADY &amp; MORRIS ENGINEERING CO LTD</v>
          </cell>
          <cell r="C682">
            <v>505690</v>
          </cell>
          <cell r="D682" t="str">
            <v>Not Listed</v>
          </cell>
          <cell r="E682" t="str">
            <v>Commercial Vehicles</v>
          </cell>
        </row>
        <row r="683">
          <cell r="B683" t="str">
            <v>BRAHMAPUTRA INFRASTRUCTURE LTD</v>
          </cell>
          <cell r="C683">
            <v>535693</v>
          </cell>
          <cell r="D683" t="str">
            <v>Not Listed</v>
          </cell>
          <cell r="E683" t="str">
            <v>Construction &amp; Engineering</v>
          </cell>
        </row>
        <row r="684">
          <cell r="B684" t="str">
            <v>BRAND CONCEPTS LTD</v>
          </cell>
          <cell r="C684" t="str">
            <v>Not Listed</v>
          </cell>
          <cell r="D684" t="str">
            <v>BCONCEPTS</v>
          </cell>
          <cell r="E684" t="str">
            <v>SME</v>
          </cell>
        </row>
        <row r="685">
          <cell r="B685" t="str">
            <v>BRAND REALTY SERVICES LTD</v>
          </cell>
          <cell r="C685">
            <v>531203</v>
          </cell>
          <cell r="D685" t="str">
            <v>Not Listed</v>
          </cell>
          <cell r="E685" t="str">
            <v>Consulting Services</v>
          </cell>
        </row>
        <row r="686">
          <cell r="B686" t="str">
            <v>BRAWN BIOTECH LTD</v>
          </cell>
          <cell r="C686">
            <v>530207</v>
          </cell>
          <cell r="D686" t="str">
            <v>Not Listed</v>
          </cell>
          <cell r="E686" t="str">
            <v>Pharmaceuticals</v>
          </cell>
        </row>
        <row r="687">
          <cell r="B687" t="str">
            <v>BRIDGE SECURITIES LTD</v>
          </cell>
          <cell r="C687">
            <v>530249</v>
          </cell>
          <cell r="D687" t="str">
            <v>Not Listed</v>
          </cell>
          <cell r="E687" t="str">
            <v>Other Financial Services</v>
          </cell>
        </row>
        <row r="688">
          <cell r="B688" t="str">
            <v>BRIGADE ENTERPRISES LTD</v>
          </cell>
          <cell r="C688">
            <v>532929</v>
          </cell>
          <cell r="D688" t="str">
            <v>BRIGADE</v>
          </cell>
          <cell r="E688" t="str">
            <v>Realty</v>
          </cell>
        </row>
        <row r="689">
          <cell r="B689" t="str">
            <v>BRIGHT BROTHERS LTD</v>
          </cell>
          <cell r="C689">
            <v>526731</v>
          </cell>
          <cell r="D689" t="str">
            <v>Not Listed</v>
          </cell>
          <cell r="E689" t="str">
            <v>Containers &amp; Packaging</v>
          </cell>
        </row>
        <row r="690">
          <cell r="B690" t="str">
            <v>BRIGHT SOLAR LTD</v>
          </cell>
          <cell r="C690" t="str">
            <v>Not Listed</v>
          </cell>
          <cell r="D690" t="str">
            <v>BRIGHT</v>
          </cell>
          <cell r="E690" t="str">
            <v>SME</v>
          </cell>
        </row>
        <row r="691">
          <cell r="B691" t="str">
            <v>BRIGHTCOM GROUP LTD</v>
          </cell>
          <cell r="C691">
            <v>532368</v>
          </cell>
          <cell r="D691" t="str">
            <v>BCG</v>
          </cell>
          <cell r="E691" t="str">
            <v>IT Software Products</v>
          </cell>
        </row>
        <row r="692">
          <cell r="B692" t="str">
            <v>BRIJLAXMI LEASING &amp;amp; FINANCE LTD.</v>
          </cell>
          <cell r="C692">
            <v>532113</v>
          </cell>
          <cell r="D692" t="str">
            <v>BRIJLEAS</v>
          </cell>
          <cell r="E692" t="str">
            <v>Finance (including NBFCs)</v>
          </cell>
        </row>
        <row r="693">
          <cell r="B693" t="str">
            <v>BRILLIANT PORTFOLIOS LTD</v>
          </cell>
          <cell r="C693">
            <v>539434</v>
          </cell>
          <cell r="D693" t="str">
            <v>Not Listed</v>
          </cell>
          <cell r="E693" t="str">
            <v>Finance (including NBFCs)</v>
          </cell>
        </row>
        <row r="694">
          <cell r="B694" t="str">
            <v>BRITANNIA INDUSTRIES LTD</v>
          </cell>
          <cell r="C694">
            <v>500825</v>
          </cell>
          <cell r="D694" t="str">
            <v>BRITANNIA</v>
          </cell>
          <cell r="E694" t="str">
            <v>Packaged Foods</v>
          </cell>
        </row>
        <row r="695">
          <cell r="B695" t="str">
            <v>BRONZE INFRA-TECH LTD</v>
          </cell>
          <cell r="C695">
            <v>534731</v>
          </cell>
          <cell r="D695" t="str">
            <v>Not Listed</v>
          </cell>
          <cell r="E695" t="str">
            <v>Construction &amp; Engineering</v>
          </cell>
        </row>
        <row r="696">
          <cell r="B696" t="str">
            <v>BROOKS LABORATORIES LTD</v>
          </cell>
          <cell r="C696">
            <v>533543</v>
          </cell>
          <cell r="D696" t="str">
            <v>BROOKS</v>
          </cell>
          <cell r="E696" t="str">
            <v>Pharmaceuticals</v>
          </cell>
        </row>
        <row r="697">
          <cell r="B697" t="str">
            <v>BSE LTD</v>
          </cell>
          <cell r="C697" t="str">
            <v>Not Listed</v>
          </cell>
          <cell r="D697" t="str">
            <v>BSE</v>
          </cell>
          <cell r="E697" t="str">
            <v>Others</v>
          </cell>
        </row>
        <row r="698">
          <cell r="B698" t="str">
            <v>BSEL INFRASTRUCTURE REALTY LTD</v>
          </cell>
          <cell r="C698">
            <v>532123</v>
          </cell>
          <cell r="D698" t="str">
            <v>BSELINFRA</v>
          </cell>
          <cell r="E698" t="str">
            <v>Realty</v>
          </cell>
        </row>
        <row r="699">
          <cell r="B699" t="str">
            <v>BSL LTD</v>
          </cell>
          <cell r="C699">
            <v>514045</v>
          </cell>
          <cell r="D699" t="str">
            <v>BSL</v>
          </cell>
          <cell r="E699" t="str">
            <v>Textiles</v>
          </cell>
        </row>
        <row r="700">
          <cell r="B700" t="str">
            <v>BUDGE BUDGE COMPANY LTD</v>
          </cell>
          <cell r="C700">
            <v>538789</v>
          </cell>
          <cell r="D700" t="str">
            <v>Not Listed</v>
          </cell>
          <cell r="E700" t="str">
            <v>Jute &amp; Jute Products</v>
          </cell>
        </row>
        <row r="701">
          <cell r="B701" t="str">
            <v>BULLISH BONDS &amp; HOLDINGS LTD</v>
          </cell>
          <cell r="C701">
            <v>540006</v>
          </cell>
          <cell r="D701" t="str">
            <v>Not Listed</v>
          </cell>
          <cell r="E701" t="str">
            <v>Other Financial Services</v>
          </cell>
        </row>
        <row r="702">
          <cell r="B702" t="str">
            <v>BURNPUR CEMENT LTD</v>
          </cell>
          <cell r="C702">
            <v>532931</v>
          </cell>
          <cell r="D702" t="str">
            <v>BURNPUR</v>
          </cell>
          <cell r="E702" t="str">
            <v>Cement &amp; Cement Products</v>
          </cell>
        </row>
        <row r="703">
          <cell r="B703" t="str">
            <v>BUTTERFLY GANDHIMATHI APPLIANCES LTD</v>
          </cell>
          <cell r="C703">
            <v>517421</v>
          </cell>
          <cell r="D703" t="str">
            <v>BUTTERFLY</v>
          </cell>
          <cell r="E703" t="str">
            <v>Household Appliances</v>
          </cell>
        </row>
        <row r="704">
          <cell r="B704" t="str">
            <v>BWL LTD</v>
          </cell>
          <cell r="C704">
            <v>504643</v>
          </cell>
          <cell r="D704" t="str">
            <v>Not Listed</v>
          </cell>
          <cell r="E704" t="str">
            <v>Iron &amp; Steel Products</v>
          </cell>
        </row>
        <row r="705">
          <cell r="B705" t="str">
            <v>C &amp; C CONSTRUCTIONS LTD</v>
          </cell>
          <cell r="C705">
            <v>532813</v>
          </cell>
          <cell r="D705" t="str">
            <v>CANDC</v>
          </cell>
          <cell r="E705" t="str">
            <v>Construction &amp; Engineering</v>
          </cell>
        </row>
        <row r="706">
          <cell r="B706" t="str">
            <v>C J GELATINE PRODUCTS LTD</v>
          </cell>
          <cell r="C706">
            <v>507515</v>
          </cell>
          <cell r="D706" t="str">
            <v>Not Listed</v>
          </cell>
          <cell r="E706" t="str">
            <v>Specialty Chemicals</v>
          </cell>
        </row>
        <row r="707">
          <cell r="B707" t="str">
            <v>CADILA HEALTHCARE LTD</v>
          </cell>
          <cell r="C707">
            <v>532321</v>
          </cell>
          <cell r="D707" t="str">
            <v>CADILAHC</v>
          </cell>
          <cell r="E707" t="str">
            <v>Pharmaceuticals</v>
          </cell>
        </row>
        <row r="708">
          <cell r="B708" t="str">
            <v>CADSYS (INDIA) LTD</v>
          </cell>
          <cell r="C708" t="str">
            <v>Not Listed</v>
          </cell>
          <cell r="D708" t="str">
            <v>CADSYS</v>
          </cell>
          <cell r="E708" t="str">
            <v>SME</v>
          </cell>
        </row>
        <row r="709">
          <cell r="B709" t="str">
            <v>CADSYS INDIA LTD</v>
          </cell>
          <cell r="C709" t="str">
            <v>Not Listed</v>
          </cell>
          <cell r="D709" t="str">
            <v>CADSYS</v>
          </cell>
          <cell r="E709" t="str">
            <v>SME</v>
          </cell>
        </row>
        <row r="710">
          <cell r="B710" t="str">
            <v>CALCOM VISION LTD</v>
          </cell>
          <cell r="C710">
            <v>517236</v>
          </cell>
          <cell r="D710" t="str">
            <v>Not Listed</v>
          </cell>
          <cell r="E710" t="str">
            <v>Consumer Electronics</v>
          </cell>
        </row>
        <row r="711">
          <cell r="B711" t="str">
            <v>CALIFORNIA SOFTWARE COMPANY LTD</v>
          </cell>
          <cell r="C711">
            <v>532386</v>
          </cell>
          <cell r="D711" t="str">
            <v>CALSOFT</v>
          </cell>
          <cell r="E711" t="str">
            <v>IT Software Products</v>
          </cell>
        </row>
        <row r="712">
          <cell r="B712" t="str">
            <v>CAMBRIDGE TECHNOLOGY ENTERPRISES LTD</v>
          </cell>
          <cell r="C712">
            <v>532801</v>
          </cell>
          <cell r="D712" t="str">
            <v>CTE</v>
          </cell>
          <cell r="E712" t="str">
            <v>IT Software Products</v>
          </cell>
        </row>
        <row r="713">
          <cell r="B713" t="str">
            <v>CAMEX LTD</v>
          </cell>
          <cell r="C713">
            <v>524440</v>
          </cell>
          <cell r="D713" t="str">
            <v>Not Listed</v>
          </cell>
          <cell r="E713" t="str">
            <v>Commodity Chemicals</v>
          </cell>
        </row>
        <row r="714">
          <cell r="B714" t="str">
            <v>CAMLIN FINE SCIENCES LTD</v>
          </cell>
          <cell r="C714">
            <v>532834</v>
          </cell>
          <cell r="D714" t="str">
            <v>CAMLINFINE</v>
          </cell>
          <cell r="E714" t="str">
            <v>Specialty Chemicals</v>
          </cell>
        </row>
        <row r="715">
          <cell r="B715" t="str">
            <v>CAMSON BIO TECHNOLOGIES LTD</v>
          </cell>
          <cell r="C715">
            <v>538858</v>
          </cell>
          <cell r="D715" t="str">
            <v>Not Listed</v>
          </cell>
          <cell r="E715" t="str">
            <v>Biotechnology</v>
          </cell>
        </row>
        <row r="716">
          <cell r="B716" t="str">
            <v>CAMSON SEEDS LTD</v>
          </cell>
          <cell r="C716">
            <v>540071</v>
          </cell>
          <cell r="D716" t="str">
            <v>Not Listed</v>
          </cell>
          <cell r="E716" t="str">
            <v>Other Agricultural Products</v>
          </cell>
        </row>
        <row r="717">
          <cell r="B717" t="str">
            <v>CAN FIN HOMES LTD</v>
          </cell>
          <cell r="C717">
            <v>511196</v>
          </cell>
          <cell r="D717" t="str">
            <v>CANFINHOME</v>
          </cell>
          <cell r="E717" t="str">
            <v xml:space="preserve">Housing Finance </v>
          </cell>
        </row>
        <row r="718">
          <cell r="B718" t="str">
            <v>CANARA BANK</v>
          </cell>
          <cell r="C718">
            <v>532483</v>
          </cell>
          <cell r="D718" t="str">
            <v>CANBK</v>
          </cell>
          <cell r="E718" t="str">
            <v>Banks</v>
          </cell>
        </row>
        <row r="719">
          <cell r="B719" t="str">
            <v>CANOPY FINANCE LTD</v>
          </cell>
          <cell r="C719">
            <v>539304</v>
          </cell>
          <cell r="D719" t="str">
            <v>Not Listed</v>
          </cell>
          <cell r="E719" t="str">
            <v>Other Financial Services</v>
          </cell>
        </row>
        <row r="720">
          <cell r="B720" t="str">
            <v>CANTABIL RETAIL (INDIA) LTD</v>
          </cell>
          <cell r="C720">
            <v>533267</v>
          </cell>
          <cell r="D720" t="str">
            <v>CANTABIL</v>
          </cell>
          <cell r="E720" t="str">
            <v>Other Apparels &amp; Accessories</v>
          </cell>
        </row>
        <row r="721">
          <cell r="B721" t="str">
            <v>CANTABIL RETAIL INDIA LTD</v>
          </cell>
          <cell r="C721">
            <v>533267</v>
          </cell>
          <cell r="D721" t="str">
            <v>CANTABIL</v>
          </cell>
          <cell r="E721" t="str">
            <v>Other Apparels &amp; Accessories</v>
          </cell>
        </row>
        <row r="722">
          <cell r="B722" t="str">
            <v>CAPACIT'E INFRAPROJECTS LTD</v>
          </cell>
          <cell r="C722">
            <v>540710</v>
          </cell>
          <cell r="D722" t="str">
            <v>CAPACITE</v>
          </cell>
          <cell r="E722" t="str">
            <v>Realty</v>
          </cell>
        </row>
        <row r="723">
          <cell r="B723" t="str">
            <v>CAPFIN (INDIA) LTD</v>
          </cell>
          <cell r="C723">
            <v>539198</v>
          </cell>
          <cell r="D723" t="str">
            <v>Not Listed</v>
          </cell>
          <cell r="E723" t="str">
            <v>Other Financial Services</v>
          </cell>
        </row>
        <row r="724">
          <cell r="B724" t="str">
            <v>CAPFIN INDIA LTD</v>
          </cell>
          <cell r="C724">
            <v>539198</v>
          </cell>
          <cell r="D724" t="str">
            <v>Not Listed</v>
          </cell>
          <cell r="E724" t="str">
            <v>Other Financial Services</v>
          </cell>
        </row>
        <row r="725">
          <cell r="B725" t="str">
            <v>CAPITAL FIRST LTD</v>
          </cell>
          <cell r="C725">
            <v>532938</v>
          </cell>
          <cell r="D725" t="str">
            <v>CAPF</v>
          </cell>
          <cell r="E725" t="str">
            <v>Other Financial Services</v>
          </cell>
        </row>
        <row r="726">
          <cell r="B726" t="str">
            <v>CAPITAL INDIA FINANCE LTD</v>
          </cell>
          <cell r="C726">
            <v>530879</v>
          </cell>
          <cell r="D726" t="str">
            <v>Not Listed</v>
          </cell>
          <cell r="E726" t="str">
            <v>Other Financial Services</v>
          </cell>
        </row>
        <row r="727">
          <cell r="B727" t="str">
            <v>CAPITAL TRADE LINKS LTD</v>
          </cell>
          <cell r="C727">
            <v>538476</v>
          </cell>
          <cell r="D727" t="str">
            <v>Not Listed</v>
          </cell>
          <cell r="E727" t="str">
            <v>Finance (including NBFCs)</v>
          </cell>
        </row>
        <row r="728">
          <cell r="B728" t="str">
            <v>CAPITAL TRUST LTD</v>
          </cell>
          <cell r="C728">
            <v>511505</v>
          </cell>
          <cell r="D728" t="str">
            <v>CAPTRUST</v>
          </cell>
          <cell r="E728" t="str">
            <v>Finance (including NBFCs)</v>
          </cell>
        </row>
        <row r="729">
          <cell r="B729" t="str">
            <v>CAPLIN POINT LABORATORIES LTD</v>
          </cell>
          <cell r="C729">
            <v>524742</v>
          </cell>
          <cell r="D729" t="str">
            <v>CAPLIPOINT</v>
          </cell>
          <cell r="E729" t="str">
            <v>Pharmaceuticals</v>
          </cell>
        </row>
        <row r="730">
          <cell r="B730" t="str">
            <v>CAPRI GLOBAL CAPITAL LTD</v>
          </cell>
          <cell r="C730">
            <v>531595</v>
          </cell>
          <cell r="D730" t="str">
            <v>CGCL</v>
          </cell>
          <cell r="E730" t="str">
            <v>Finance (including NBFCs)</v>
          </cell>
        </row>
        <row r="731">
          <cell r="B731" t="str">
            <v>CAPRICORN SYSTEMS GLOBAL SOLUTIONS LTD</v>
          </cell>
          <cell r="C731">
            <v>512169</v>
          </cell>
          <cell r="D731" t="str">
            <v>Not Listed</v>
          </cell>
          <cell r="E731" t="str">
            <v>Misc.Commercial Services</v>
          </cell>
        </row>
        <row r="732">
          <cell r="B732" t="str">
            <v>CAPRIHANS (INDIA) LTD</v>
          </cell>
          <cell r="C732">
            <v>509486</v>
          </cell>
          <cell r="D732" t="str">
            <v>Not Listed</v>
          </cell>
          <cell r="E732" t="str">
            <v>Plastic Products</v>
          </cell>
        </row>
        <row r="733">
          <cell r="B733" t="str">
            <v>CAPRIHANS INDIA LTD</v>
          </cell>
          <cell r="C733">
            <v>509486</v>
          </cell>
          <cell r="D733" t="str">
            <v>Not Listed</v>
          </cell>
          <cell r="E733" t="str">
            <v>Plastic Products</v>
          </cell>
        </row>
        <row r="734">
          <cell r="B734" t="str">
            <v>CAPROLACTAM CHEMICALS LTD</v>
          </cell>
          <cell r="C734">
            <v>507486</v>
          </cell>
          <cell r="D734" t="str">
            <v>Not Listed</v>
          </cell>
          <cell r="E734" t="str">
            <v>Commodity Chemicals</v>
          </cell>
        </row>
        <row r="735">
          <cell r="B735" t="str">
            <v>CAPTAIN PIPES LTD</v>
          </cell>
          <cell r="C735">
            <v>538817</v>
          </cell>
          <cell r="D735" t="str">
            <v>Not Listed</v>
          </cell>
          <cell r="E735" t="str">
            <v>Plastic Products</v>
          </cell>
        </row>
        <row r="736">
          <cell r="B736" t="str">
            <v>CAPTAIN POLYPLAST LTD</v>
          </cell>
          <cell r="C736">
            <v>536974</v>
          </cell>
          <cell r="D736" t="str">
            <v>Not Listed</v>
          </cell>
          <cell r="E736" t="str">
            <v>Plastic Products</v>
          </cell>
        </row>
        <row r="737">
          <cell r="B737" t="str">
            <v>CAPTAIN TECHNOCAST LTD</v>
          </cell>
          <cell r="C737">
            <v>540652</v>
          </cell>
          <cell r="D737" t="str">
            <v>Not Listed</v>
          </cell>
          <cell r="E737" t="str">
            <v>Other Industrial Goods</v>
          </cell>
        </row>
        <row r="738">
          <cell r="B738" t="str">
            <v>CARBORUNDUM UNIVERSAL LTD</v>
          </cell>
          <cell r="C738">
            <v>513375</v>
          </cell>
          <cell r="D738" t="str">
            <v>CARBORUNIV</v>
          </cell>
          <cell r="E738" t="str">
            <v>Other Industrial Products</v>
          </cell>
        </row>
        <row r="739">
          <cell r="B739" t="str">
            <v>CARE RATINGS LTD</v>
          </cell>
          <cell r="C739">
            <v>534804</v>
          </cell>
          <cell r="D739" t="str">
            <v>CARERATING</v>
          </cell>
          <cell r="E739" t="str">
            <v>Other Financial Services</v>
          </cell>
        </row>
        <row r="740">
          <cell r="B740" t="str">
            <v>CAREER POINT LTD</v>
          </cell>
          <cell r="C740">
            <v>533260</v>
          </cell>
          <cell r="D740" t="str">
            <v>CAREERP</v>
          </cell>
          <cell r="E740" t="str">
            <v>Education</v>
          </cell>
        </row>
        <row r="741">
          <cell r="B741" t="str">
            <v>CARNATION INDUSTRIES LTD</v>
          </cell>
          <cell r="C741">
            <v>530609</v>
          </cell>
          <cell r="D741" t="str">
            <v>Not Listed</v>
          </cell>
          <cell r="E741" t="str">
            <v>Other Industrial Products</v>
          </cell>
        </row>
        <row r="742">
          <cell r="B742" t="str">
            <v>CASTEX TECHNOLOGIES LTD</v>
          </cell>
          <cell r="C742">
            <v>532282</v>
          </cell>
          <cell r="D742" t="str">
            <v>CASTEXTECH</v>
          </cell>
          <cell r="E742" t="str">
            <v>Auto Parts &amp; Equipment</v>
          </cell>
        </row>
        <row r="743">
          <cell r="B743" t="str">
            <v>CASTROL (INDIA) LTD</v>
          </cell>
          <cell r="C743">
            <v>500870</v>
          </cell>
          <cell r="D743" t="str">
            <v>CASTROLIND</v>
          </cell>
          <cell r="E743" t="str">
            <v>Oil Marketing &amp; Distribution</v>
          </cell>
        </row>
        <row r="744">
          <cell r="B744" t="str">
            <v>CASTROL INDIA LTD</v>
          </cell>
          <cell r="C744">
            <v>500870</v>
          </cell>
          <cell r="D744" t="str">
            <v>CASTROLIND</v>
          </cell>
          <cell r="E744" t="str">
            <v>Oil Marketing &amp; Distribution</v>
          </cell>
        </row>
        <row r="745">
          <cell r="B745" t="str">
            <v>CAT TECHNOLOGIES LTD</v>
          </cell>
          <cell r="C745">
            <v>531682</v>
          </cell>
          <cell r="D745" t="str">
            <v>Not Listed</v>
          </cell>
          <cell r="E745" t="str">
            <v>IT Consulting &amp; Software</v>
          </cell>
        </row>
        <row r="746">
          <cell r="B746" t="str">
            <v>CATVISION LTD</v>
          </cell>
          <cell r="C746">
            <v>531158</v>
          </cell>
          <cell r="D746" t="str">
            <v>Not Listed</v>
          </cell>
          <cell r="E746" t="str">
            <v>Comm.Trading  &amp; Distribution</v>
          </cell>
        </row>
        <row r="747">
          <cell r="B747" t="str">
            <v>CCL INTERNATIONAL LTD</v>
          </cell>
          <cell r="C747">
            <v>531900</v>
          </cell>
          <cell r="D747" t="str">
            <v>Not Listed</v>
          </cell>
          <cell r="E747" t="str">
            <v>Comm.Trading  &amp; Distribution</v>
          </cell>
        </row>
        <row r="748">
          <cell r="B748" t="str">
            <v>CCL PRODUCTS (INDIA) LTD</v>
          </cell>
          <cell r="C748">
            <v>519600</v>
          </cell>
          <cell r="D748" t="str">
            <v>CCL</v>
          </cell>
          <cell r="E748" t="str">
            <v>Tea &amp; Coffee</v>
          </cell>
        </row>
        <row r="749">
          <cell r="B749" t="str">
            <v>CCL PRODUCTS INDIA LTD</v>
          </cell>
          <cell r="C749">
            <v>519600</v>
          </cell>
          <cell r="D749" t="str">
            <v>CCL</v>
          </cell>
          <cell r="E749" t="str">
            <v>Tea &amp; Coffee</v>
          </cell>
        </row>
        <row r="750">
          <cell r="B750" t="str">
            <v>CEAT LTD</v>
          </cell>
          <cell r="C750">
            <v>500878</v>
          </cell>
          <cell r="D750" t="str">
            <v>CEATLTD</v>
          </cell>
          <cell r="E750" t="str">
            <v>Auto Tyres &amp; Rubber Products</v>
          </cell>
        </row>
        <row r="751">
          <cell r="B751" t="str">
            <v>CEEJAY FINANCE LTD</v>
          </cell>
          <cell r="C751">
            <v>530789</v>
          </cell>
          <cell r="D751" t="str">
            <v>Not Listed</v>
          </cell>
          <cell r="E751" t="str">
            <v>Plastic Products</v>
          </cell>
        </row>
        <row r="752">
          <cell r="B752" t="str">
            <v>CEENIK EXPORTS (INDIA) LTD</v>
          </cell>
          <cell r="C752">
            <v>531119</v>
          </cell>
          <cell r="D752" t="str">
            <v>Not Listed</v>
          </cell>
          <cell r="E752" t="str">
            <v>Other Apparels &amp; Accessories</v>
          </cell>
        </row>
        <row r="753">
          <cell r="B753" t="str">
            <v>CEENIK EXPORTS INDIA LTD</v>
          </cell>
          <cell r="C753">
            <v>531119</v>
          </cell>
          <cell r="D753" t="str">
            <v>Not Listed</v>
          </cell>
          <cell r="E753" t="str">
            <v>Other Apparels &amp; Accessories</v>
          </cell>
        </row>
        <row r="754">
          <cell r="B754" t="str">
            <v>CEETA INDUSTRIES LTD</v>
          </cell>
          <cell r="C754">
            <v>514171</v>
          </cell>
          <cell r="D754" t="str">
            <v>Not Listed</v>
          </cell>
          <cell r="E754" t="str">
            <v>Construction Materials</v>
          </cell>
        </row>
        <row r="755">
          <cell r="B755" t="str">
            <v>CEINSYS TECH LTD</v>
          </cell>
          <cell r="C755">
            <v>538734</v>
          </cell>
          <cell r="D755" t="str">
            <v>Not Listed</v>
          </cell>
          <cell r="E755" t="str">
            <v>IT Consulting &amp; Software</v>
          </cell>
        </row>
        <row r="756">
          <cell r="B756" t="str">
            <v>CELEBRITY FASHIONS LTD</v>
          </cell>
          <cell r="C756">
            <v>532695</v>
          </cell>
          <cell r="D756" t="str">
            <v>CELEBRITY</v>
          </cell>
          <cell r="E756" t="str">
            <v>Other Apparels &amp; Accessories</v>
          </cell>
        </row>
        <row r="757">
          <cell r="B757" t="str">
            <v>CELESTIAL BIOLABS LTD</v>
          </cell>
          <cell r="C757">
            <v>532871</v>
          </cell>
          <cell r="D757" t="str">
            <v>CELESTIAL</v>
          </cell>
          <cell r="E757" t="str">
            <v>Biotechnology</v>
          </cell>
        </row>
        <row r="758">
          <cell r="B758" t="str">
            <v>CELLA SPACE LTD</v>
          </cell>
          <cell r="C758">
            <v>532701</v>
          </cell>
          <cell r="D758" t="str">
            <v>Not Listed</v>
          </cell>
          <cell r="E758" t="str">
            <v>Paper &amp; Paper Products</v>
          </cell>
        </row>
        <row r="759">
          <cell r="B759" t="str">
            <v>CENLUB INDUSTRIES LTD</v>
          </cell>
          <cell r="C759">
            <v>522251</v>
          </cell>
          <cell r="D759" t="str">
            <v>Not Listed</v>
          </cell>
          <cell r="E759" t="str">
            <v>Industrial Machinery</v>
          </cell>
        </row>
        <row r="760">
          <cell r="B760" t="str">
            <v>CENTENIAL SURGICAL SUTURE LTD</v>
          </cell>
          <cell r="C760">
            <v>531380</v>
          </cell>
          <cell r="D760" t="str">
            <v>Not Listed</v>
          </cell>
          <cell r="E760" t="str">
            <v>Medical Equipment</v>
          </cell>
        </row>
        <row r="761">
          <cell r="B761" t="str">
            <v>CENTRAL BANK OF INDIA</v>
          </cell>
          <cell r="C761">
            <v>532885</v>
          </cell>
          <cell r="D761" t="str">
            <v>CENTRALBK</v>
          </cell>
          <cell r="E761" t="str">
            <v>Banks</v>
          </cell>
        </row>
        <row r="762">
          <cell r="B762" t="str">
            <v>CENTRAL DEPOSITORY SERVICES (INDIA) LTD</v>
          </cell>
          <cell r="C762" t="str">
            <v>Not Listed</v>
          </cell>
          <cell r="D762" t="str">
            <v>CDSL</v>
          </cell>
          <cell r="E762" t="str">
            <v>Others</v>
          </cell>
        </row>
        <row r="763">
          <cell r="B763" t="str">
            <v>CENTRAL DEPOSITORY SERVICES INDIA LTD</v>
          </cell>
          <cell r="C763" t="str">
            <v>Not Listed</v>
          </cell>
          <cell r="D763" t="str">
            <v>CDSL</v>
          </cell>
          <cell r="E763" t="str">
            <v>Others</v>
          </cell>
        </row>
        <row r="764">
          <cell r="B764" t="str">
            <v>CENTRAL PROVINCES RAILWAYS CO LTD</v>
          </cell>
          <cell r="C764">
            <v>501827</v>
          </cell>
          <cell r="D764" t="str">
            <v>Not Listed</v>
          </cell>
          <cell r="E764" t="str">
            <v>Surface Transportation</v>
          </cell>
        </row>
        <row r="765">
          <cell r="B765" t="str">
            <v>CENTRUM CAPITAL LTD</v>
          </cell>
          <cell r="C765">
            <v>501150</v>
          </cell>
          <cell r="D765" t="str">
            <v>CENTRUM</v>
          </cell>
          <cell r="E765" t="str">
            <v>Other Financial Services</v>
          </cell>
        </row>
        <row r="766">
          <cell r="B766" t="str">
            <v>CENTUM ELECTRONICS LTD</v>
          </cell>
          <cell r="C766">
            <v>517544</v>
          </cell>
          <cell r="D766" t="str">
            <v>CENTUM</v>
          </cell>
          <cell r="E766" t="str">
            <v>Misc.Commercial Services</v>
          </cell>
        </row>
        <row r="767">
          <cell r="B767" t="str">
            <v>CENTURY ENKA LTD</v>
          </cell>
          <cell r="C767">
            <v>500280</v>
          </cell>
          <cell r="D767" t="str">
            <v>CENTENKA</v>
          </cell>
          <cell r="E767" t="str">
            <v>Textiles</v>
          </cell>
        </row>
        <row r="768">
          <cell r="B768" t="str">
            <v>CENTURY EXTRUSIONS LTD</v>
          </cell>
          <cell r="C768">
            <v>500083</v>
          </cell>
          <cell r="D768" t="str">
            <v>CENTEXT</v>
          </cell>
          <cell r="E768" t="str">
            <v>Aluminium</v>
          </cell>
        </row>
        <row r="769">
          <cell r="B769" t="str">
            <v>CENTURY PLYBOARDS (INDIA) LTD</v>
          </cell>
          <cell r="C769">
            <v>532548</v>
          </cell>
          <cell r="D769" t="str">
            <v>CENTURYPLY</v>
          </cell>
          <cell r="E769" t="str">
            <v>Forest Products</v>
          </cell>
        </row>
        <row r="770">
          <cell r="B770" t="str">
            <v>CENTURY PLYBOARDS INDIA LTD</v>
          </cell>
          <cell r="C770">
            <v>532548</v>
          </cell>
          <cell r="D770" t="str">
            <v>CENTURYPLY</v>
          </cell>
          <cell r="E770" t="str">
            <v>Forest Products</v>
          </cell>
        </row>
        <row r="771">
          <cell r="B771" t="str">
            <v>CENTURY TEXTILES &amp; INDUSTRIES LTD</v>
          </cell>
          <cell r="C771">
            <v>500040</v>
          </cell>
          <cell r="D771" t="str">
            <v>CENTURYTEX</v>
          </cell>
          <cell r="E771" t="str">
            <v>Cement &amp; Cement Products</v>
          </cell>
        </row>
        <row r="772">
          <cell r="B772" t="str">
            <v>CENTURY TWENTYFIRST PORTFOLIO LTD</v>
          </cell>
          <cell r="C772">
            <v>530881</v>
          </cell>
          <cell r="D772" t="str">
            <v>Not Listed</v>
          </cell>
          <cell r="E772" t="str">
            <v>Other Financial Services</v>
          </cell>
        </row>
        <row r="773">
          <cell r="B773" t="str">
            <v>CERA SANITARYWARE LTD</v>
          </cell>
          <cell r="C773">
            <v>532443</v>
          </cell>
          <cell r="D773" t="str">
            <v>CERA</v>
          </cell>
          <cell r="E773" t="str">
            <v>Furniture-Furnishing-Paints</v>
          </cell>
        </row>
        <row r="774">
          <cell r="B774" t="str">
            <v>CEREBRA INTEGRATED TECHNOLOGIES LTD</v>
          </cell>
          <cell r="C774">
            <v>532413</v>
          </cell>
          <cell r="D774" t="str">
            <v>CEREBRAINT</v>
          </cell>
          <cell r="E774" t="str">
            <v>Computer Hardware</v>
          </cell>
        </row>
        <row r="775">
          <cell r="B775" t="str">
            <v>CES LTD</v>
          </cell>
          <cell r="C775">
            <v>512341</v>
          </cell>
          <cell r="D775" t="str">
            <v>Not Listed</v>
          </cell>
          <cell r="E775" t="str">
            <v>BPO/KPO</v>
          </cell>
        </row>
        <row r="776">
          <cell r="B776" t="str">
            <v>CESC LTD</v>
          </cell>
          <cell r="C776">
            <v>500084</v>
          </cell>
          <cell r="D776" t="str">
            <v>CESC</v>
          </cell>
          <cell r="E776" t="str">
            <v>Electric Utilities</v>
          </cell>
        </row>
        <row r="777">
          <cell r="B777" t="str">
            <v>CESC Ventures LTD</v>
          </cell>
          <cell r="C777" t="str">
            <v>Not Listed</v>
          </cell>
          <cell r="D777" t="str">
            <v>CESCVENT</v>
          </cell>
          <cell r="E777" t="str">
            <v>IT Consulting &amp;amp; Software</v>
          </cell>
        </row>
        <row r="778">
          <cell r="B778" t="str">
            <v>CESC Ventures Ltd</v>
          </cell>
          <cell r="C778">
            <v>542333</v>
          </cell>
          <cell r="D778" t="str">
            <v>CESCVENTURE</v>
          </cell>
          <cell r="E778" t="str">
            <v>IT Consulting &amp;amp; Software</v>
          </cell>
        </row>
        <row r="779">
          <cell r="B779" t="str">
            <v>CG POWER AND INDUSTRIAL SOLUTIONS LTD</v>
          </cell>
          <cell r="C779">
            <v>500093</v>
          </cell>
          <cell r="D779" t="str">
            <v>CGPOWER</v>
          </cell>
          <cell r="E779" t="str">
            <v>Heavy Electrical Equipment</v>
          </cell>
        </row>
        <row r="780">
          <cell r="B780" t="str">
            <v>CG-VAK SOFTWARE &amp; EXPORTS LTD</v>
          </cell>
          <cell r="C780">
            <v>531489</v>
          </cell>
          <cell r="D780" t="str">
            <v>Not Listed</v>
          </cell>
          <cell r="E780" t="str">
            <v>IT Software Products</v>
          </cell>
        </row>
        <row r="781">
          <cell r="B781" t="str">
            <v>CHADHA PAPERS LTD</v>
          </cell>
          <cell r="C781">
            <v>531946</v>
          </cell>
          <cell r="D781" t="str">
            <v>Not Listed</v>
          </cell>
          <cell r="E781" t="str">
            <v>Paper &amp; Paper Products</v>
          </cell>
        </row>
        <row r="782">
          <cell r="B782" t="str">
            <v>Chalet Hotels Ltd</v>
          </cell>
          <cell r="C782">
            <v>542399</v>
          </cell>
          <cell r="D782" t="str">
            <v>CHALET</v>
          </cell>
          <cell r="E782" t="str">
            <v>Hotels</v>
          </cell>
        </row>
        <row r="783">
          <cell r="B783" t="str">
            <v>CHAMAK HOLDINGS LTD</v>
          </cell>
          <cell r="C783">
            <v>539600</v>
          </cell>
          <cell r="D783" t="str">
            <v>Not Listed</v>
          </cell>
          <cell r="E783" t="str">
            <v>Comm.Trading  &amp; Distribution</v>
          </cell>
        </row>
        <row r="784">
          <cell r="B784" t="str">
            <v>CHAMAN LAL SETIA EXPORTS LTD</v>
          </cell>
          <cell r="C784">
            <v>530307</v>
          </cell>
          <cell r="D784" t="str">
            <v>Not Listed</v>
          </cell>
          <cell r="E784" t="str">
            <v>Other Agricultural Products</v>
          </cell>
        </row>
        <row r="785">
          <cell r="B785" t="str">
            <v>CHAMBAL BREWERIES &amp; DISTILLERIES LTD</v>
          </cell>
          <cell r="C785">
            <v>512301</v>
          </cell>
          <cell r="D785" t="str">
            <v>Not Listed</v>
          </cell>
          <cell r="E785" t="str">
            <v>Comm.Trading  &amp; Distribution</v>
          </cell>
        </row>
        <row r="786">
          <cell r="B786" t="str">
            <v>CHAMBAL FERTILIZERS &amp; CHEMICALS LTD</v>
          </cell>
          <cell r="C786">
            <v>500085</v>
          </cell>
          <cell r="D786" t="str">
            <v>CHAMBLFERT</v>
          </cell>
          <cell r="E786" t="str">
            <v>Fertilizers</v>
          </cell>
        </row>
        <row r="787">
          <cell r="B787" t="str">
            <v>Chandni Machines Ltd</v>
          </cell>
          <cell r="C787">
            <v>542627</v>
          </cell>
          <cell r="D787" t="str">
            <v>CHANDNIMACH</v>
          </cell>
          <cell r="E787" t="str">
            <v>Comm.Trading  &amp;amp; Distribution</v>
          </cell>
        </row>
        <row r="788">
          <cell r="B788" t="str">
            <v>CHANDNI TEXTILES ENGINEERING IND  LTD</v>
          </cell>
          <cell r="C788">
            <v>522292</v>
          </cell>
          <cell r="D788" t="str">
            <v>Not Listed</v>
          </cell>
          <cell r="E788" t="str">
            <v>Textiles</v>
          </cell>
        </row>
        <row r="789">
          <cell r="B789" t="str">
            <v>CHANDRA PRABHU INTERNATIONAL LTD</v>
          </cell>
          <cell r="C789">
            <v>530309</v>
          </cell>
          <cell r="D789" t="str">
            <v>Not Listed</v>
          </cell>
          <cell r="E789" t="str">
            <v>Comm.Trading  &amp; Distribution</v>
          </cell>
        </row>
        <row r="790">
          <cell r="B790" t="str">
            <v>CHANDRIMA MERCANTILES LTD</v>
          </cell>
          <cell r="C790">
            <v>540829</v>
          </cell>
          <cell r="D790" t="str">
            <v>Not Listed</v>
          </cell>
          <cell r="E790" t="str">
            <v>Comm.Trading  &amp; Distribution</v>
          </cell>
        </row>
        <row r="791">
          <cell r="B791" t="str">
            <v>CHANNEL NINE ENTERTAINMENT LTD</v>
          </cell>
          <cell r="C791">
            <v>535142</v>
          </cell>
          <cell r="D791" t="str">
            <v>Not Listed</v>
          </cell>
          <cell r="E791" t="str">
            <v>Movies &amp; Entertainment</v>
          </cell>
        </row>
        <row r="792">
          <cell r="B792" t="str">
            <v>CHARMS INDUSTRIES LTD</v>
          </cell>
          <cell r="C792">
            <v>531327</v>
          </cell>
          <cell r="D792" t="str">
            <v>Not Listed</v>
          </cell>
          <cell r="E792" t="str">
            <v>Other Financial Services</v>
          </cell>
        </row>
        <row r="793">
          <cell r="B793" t="str">
            <v>CHARTERED CAPITAL &amp; INVESTMENT LTD</v>
          </cell>
          <cell r="C793">
            <v>511696</v>
          </cell>
          <cell r="D793" t="str">
            <v>Not Listed</v>
          </cell>
          <cell r="E793" t="str">
            <v>Other Financial Services</v>
          </cell>
        </row>
        <row r="794">
          <cell r="B794" t="str">
            <v>CHARTERED LOGISTICS LTD</v>
          </cell>
          <cell r="C794">
            <v>531977</v>
          </cell>
          <cell r="D794" t="str">
            <v>Not Listed</v>
          </cell>
          <cell r="E794" t="str">
            <v>Surface Transportation</v>
          </cell>
        </row>
        <row r="795">
          <cell r="B795" t="str">
            <v>CHASE BRIGHT STEEL LTD</v>
          </cell>
          <cell r="C795">
            <v>504671</v>
          </cell>
          <cell r="D795" t="str">
            <v>Not Listed</v>
          </cell>
          <cell r="E795" t="str">
            <v>Iron &amp; Steel/Interm.Products</v>
          </cell>
        </row>
        <row r="796">
          <cell r="B796" t="str">
            <v>CHD CHEMICALS LTD</v>
          </cell>
          <cell r="C796">
            <v>539800</v>
          </cell>
          <cell r="D796" t="str">
            <v>Not Listed</v>
          </cell>
          <cell r="E796" t="str">
            <v>Comm.Trading  &amp; Distribution</v>
          </cell>
        </row>
        <row r="797">
          <cell r="B797" t="str">
            <v>CHD DEVELOPERS LTD</v>
          </cell>
          <cell r="C797">
            <v>526917</v>
          </cell>
          <cell r="D797" t="str">
            <v>Not Listed</v>
          </cell>
          <cell r="E797" t="str">
            <v>Realty</v>
          </cell>
        </row>
        <row r="798">
          <cell r="B798" t="str">
            <v>CHEMBOND CHEMICALS LTD</v>
          </cell>
          <cell r="C798">
            <v>530871</v>
          </cell>
          <cell r="D798" t="str">
            <v>Not Listed</v>
          </cell>
          <cell r="E798" t="str">
            <v>Specialty Chemicals</v>
          </cell>
        </row>
        <row r="799">
          <cell r="B799" t="str">
            <v>CHEMCRUX ENTERPRISES LTD</v>
          </cell>
          <cell r="C799">
            <v>540395</v>
          </cell>
          <cell r="D799" t="str">
            <v>Not Listed</v>
          </cell>
          <cell r="E799" t="str">
            <v>Specialty Chemicals</v>
          </cell>
        </row>
        <row r="800">
          <cell r="B800" t="str">
            <v>CHEMFAB ALKALIS LTD</v>
          </cell>
          <cell r="C800">
            <v>541269</v>
          </cell>
          <cell r="D800" t="str">
            <v>CHEMFAB</v>
          </cell>
          <cell r="E800" t="str">
            <v>Commodity Chemicals</v>
          </cell>
        </row>
        <row r="801">
          <cell r="B801" t="str">
            <v>CHEMIESYNTH VAPI LTD</v>
          </cell>
          <cell r="C801">
            <v>539230</v>
          </cell>
          <cell r="D801" t="str">
            <v>Not Listed</v>
          </cell>
          <cell r="E801" t="str">
            <v>Specialty Chemicals</v>
          </cell>
        </row>
        <row r="802">
          <cell r="B802" t="str">
            <v>CHEMO PHARMA LABORATORIES LTD</v>
          </cell>
          <cell r="C802">
            <v>506365</v>
          </cell>
          <cell r="D802" t="str">
            <v>Not Listed</v>
          </cell>
          <cell r="E802" t="str">
            <v>Pharmaceuticals</v>
          </cell>
        </row>
        <row r="803">
          <cell r="B803" t="str">
            <v>CHEMTECH INDUSTRIAL VALVES LTD</v>
          </cell>
          <cell r="C803">
            <v>537326</v>
          </cell>
          <cell r="D803" t="str">
            <v>Not Listed</v>
          </cell>
          <cell r="E803" t="str">
            <v>Industrial Machinery</v>
          </cell>
        </row>
        <row r="804">
          <cell r="B804" t="str">
            <v>CHENNAI FERROUS INDUSTRIES LTD</v>
          </cell>
          <cell r="C804">
            <v>539011</v>
          </cell>
          <cell r="D804" t="str">
            <v>Not Listed</v>
          </cell>
          <cell r="E804" t="str">
            <v>Iron &amp; Steel/Interm.Products</v>
          </cell>
        </row>
        <row r="805">
          <cell r="B805" t="str">
            <v>CHENNAI MEENAKSHI MULTISPECIALITY HOSPITAL LTD</v>
          </cell>
          <cell r="C805">
            <v>523489</v>
          </cell>
          <cell r="D805" t="str">
            <v>Not Listed</v>
          </cell>
          <cell r="E805" t="str">
            <v>Healthcare Services</v>
          </cell>
        </row>
        <row r="806">
          <cell r="B806" t="str">
            <v>CHENNAI PETROLEUM CORPORATION LTD</v>
          </cell>
          <cell r="C806">
            <v>500110</v>
          </cell>
          <cell r="D806" t="str">
            <v>CHENNPETRO</v>
          </cell>
          <cell r="E806" t="str">
            <v>Refineries/ Petro-Products</v>
          </cell>
        </row>
        <row r="807">
          <cell r="B807" t="str">
            <v>CHEVIOT CO LTD</v>
          </cell>
          <cell r="C807">
            <v>526817</v>
          </cell>
          <cell r="D807" t="str">
            <v>Not Listed</v>
          </cell>
          <cell r="E807" t="str">
            <v>Jute &amp; Jute Products</v>
          </cell>
        </row>
        <row r="808">
          <cell r="B808" t="str">
            <v>CHITRADURGA SPINTEX LTD</v>
          </cell>
          <cell r="C808">
            <v>521244</v>
          </cell>
          <cell r="D808" t="str">
            <v>Not Listed</v>
          </cell>
          <cell r="E808" t="str">
            <v>Textiles</v>
          </cell>
        </row>
        <row r="809">
          <cell r="B809" t="str">
            <v>CHL LTD</v>
          </cell>
          <cell r="C809">
            <v>532992</v>
          </cell>
          <cell r="D809" t="str">
            <v>Not Listed</v>
          </cell>
          <cell r="E809" t="str">
            <v>Hotels</v>
          </cell>
        </row>
        <row r="810">
          <cell r="B810" t="str">
            <v>CHOICE INTERNATIONAL LTD</v>
          </cell>
          <cell r="C810">
            <v>531358</v>
          </cell>
          <cell r="D810" t="str">
            <v>Not Listed</v>
          </cell>
          <cell r="E810" t="str">
            <v>Finance (including NBFCs)</v>
          </cell>
        </row>
        <row r="811">
          <cell r="B811" t="str">
            <v>CHOKSI IMAGING LTD</v>
          </cell>
          <cell r="C811">
            <v>530427</v>
          </cell>
          <cell r="D811" t="str">
            <v>Not Listed</v>
          </cell>
          <cell r="E811" t="str">
            <v>Photographic Products</v>
          </cell>
        </row>
        <row r="812">
          <cell r="B812" t="str">
            <v>CHOKSI LABORATORIES LTD</v>
          </cell>
          <cell r="C812">
            <v>526546</v>
          </cell>
          <cell r="D812" t="str">
            <v>Not Listed</v>
          </cell>
          <cell r="E812" t="str">
            <v>Healthcare Services</v>
          </cell>
        </row>
        <row r="813">
          <cell r="B813" t="str">
            <v>Cholamandalam Financial Holdings LTD</v>
          </cell>
          <cell r="C813">
            <v>511243</v>
          </cell>
          <cell r="D813" t="str">
            <v>CHOLAHLDNG</v>
          </cell>
          <cell r="E813" t="str">
            <v>Finance (including NBFCs)</v>
          </cell>
        </row>
        <row r="814">
          <cell r="B814" t="str">
            <v>CHOLAMANDALAM INVESTMENT AND FINANCE COMPANY LTD</v>
          </cell>
          <cell r="C814">
            <v>511243</v>
          </cell>
          <cell r="D814" t="str">
            <v>CHOLAFIN</v>
          </cell>
          <cell r="E814" t="str">
            <v>Finance (including NBFCs)</v>
          </cell>
        </row>
        <row r="815">
          <cell r="B815" t="str">
            <v>CHORDIA FOOD PRODUCTS LTD</v>
          </cell>
          <cell r="C815">
            <v>519475</v>
          </cell>
          <cell r="D815" t="str">
            <v>Not Listed</v>
          </cell>
          <cell r="E815" t="str">
            <v>Other Food Products</v>
          </cell>
        </row>
        <row r="816">
          <cell r="B816" t="str">
            <v>CHOTHANI FOODS LTD</v>
          </cell>
          <cell r="C816">
            <v>540681</v>
          </cell>
          <cell r="D816" t="str">
            <v>Not Listed</v>
          </cell>
          <cell r="E816" t="str">
            <v>Packaged Foods</v>
          </cell>
        </row>
        <row r="817">
          <cell r="B817" t="str">
            <v>CHOWGULE STEAMSHIPS LTD</v>
          </cell>
          <cell r="C817">
            <v>501833</v>
          </cell>
          <cell r="D817" t="str">
            <v>Not Listed</v>
          </cell>
          <cell r="E817" t="str">
            <v>Shipping</v>
          </cell>
        </row>
        <row r="818">
          <cell r="B818" t="str">
            <v>CHPL INDUSTRIES LTD</v>
          </cell>
          <cell r="C818">
            <v>539335</v>
          </cell>
          <cell r="D818" t="str">
            <v>Not Listed</v>
          </cell>
          <cell r="E818" t="str">
            <v>Comm.Trading  &amp; Distribution</v>
          </cell>
        </row>
        <row r="819">
          <cell r="B819" t="str">
            <v>CHROMATIC (INDIA) LTD</v>
          </cell>
          <cell r="C819">
            <v>530191</v>
          </cell>
          <cell r="D819" t="str">
            <v>CHROMATIC</v>
          </cell>
          <cell r="E819" t="str">
            <v>Specialty Chemicals</v>
          </cell>
        </row>
        <row r="820">
          <cell r="B820" t="str">
            <v>CHROMATIC INDIA LTD</v>
          </cell>
          <cell r="C820">
            <v>530191</v>
          </cell>
          <cell r="D820" t="str">
            <v>CHROMATIC</v>
          </cell>
          <cell r="E820" t="str">
            <v>Specialty Chemicals</v>
          </cell>
        </row>
        <row r="821">
          <cell r="B821" t="str">
            <v>CIAN AGRO INDUSTRIES &amp; INFRASTRUCTURE LTD</v>
          </cell>
          <cell r="C821">
            <v>519477</v>
          </cell>
          <cell r="D821" t="str">
            <v>Not Listed</v>
          </cell>
          <cell r="E821" t="str">
            <v>Edible Oils</v>
          </cell>
        </row>
        <row r="822">
          <cell r="B822" t="str">
            <v>Cian Healthcare Ltd</v>
          </cell>
          <cell r="C822">
            <v>542678</v>
          </cell>
          <cell r="D822" t="str">
            <v>CHCL</v>
          </cell>
          <cell r="E822" t="str">
            <v>Pharmaceuticals</v>
          </cell>
        </row>
        <row r="823">
          <cell r="B823" t="str">
            <v>CIGNITI TECHNOLOGIES LTD</v>
          </cell>
          <cell r="C823">
            <v>534758</v>
          </cell>
          <cell r="D823" t="str">
            <v>CIGNITITEC</v>
          </cell>
          <cell r="E823" t="str">
            <v>IT Consulting &amp; Software</v>
          </cell>
        </row>
        <row r="824">
          <cell r="B824" t="str">
            <v>CIL NOVA PETROCHEMICALS LTD</v>
          </cell>
          <cell r="C824">
            <v>533407</v>
          </cell>
          <cell r="D824" t="str">
            <v>CNOVAPETRO</v>
          </cell>
          <cell r="E824" t="str">
            <v>Textiles</v>
          </cell>
        </row>
        <row r="825">
          <cell r="B825" t="str">
            <v>CIL SECURITIES LTD</v>
          </cell>
          <cell r="C825">
            <v>530829</v>
          </cell>
          <cell r="D825" t="str">
            <v>Not Listed</v>
          </cell>
          <cell r="E825" t="str">
            <v>Finance (including NBFCs)</v>
          </cell>
        </row>
        <row r="826">
          <cell r="B826" t="str">
            <v>CIMMCO LTD</v>
          </cell>
          <cell r="C826">
            <v>505230</v>
          </cell>
          <cell r="D826" t="str">
            <v>CIMMCO</v>
          </cell>
          <cell r="E826" t="str">
            <v>Diversified</v>
          </cell>
        </row>
        <row r="827">
          <cell r="B827" t="str">
            <v>CINDRELLA FINANCIAL SERVICES LTD</v>
          </cell>
          <cell r="C827">
            <v>531283</v>
          </cell>
          <cell r="D827" t="str">
            <v>Not Listed</v>
          </cell>
          <cell r="E827" t="str">
            <v>Finance (including NBFCs)</v>
          </cell>
        </row>
        <row r="828">
          <cell r="B828" t="str">
            <v>CINDRELLA HOTELS LTD</v>
          </cell>
          <cell r="C828">
            <v>526373</v>
          </cell>
          <cell r="D828" t="str">
            <v>Not Listed</v>
          </cell>
          <cell r="E828" t="str">
            <v>Hotels</v>
          </cell>
        </row>
        <row r="829">
          <cell r="B829" t="str">
            <v>CINELINE (INDIA) LTD</v>
          </cell>
          <cell r="C829">
            <v>532807</v>
          </cell>
          <cell r="D829" t="str">
            <v>CINELINE</v>
          </cell>
          <cell r="E829" t="str">
            <v>Specialty Retail</v>
          </cell>
        </row>
        <row r="830">
          <cell r="B830" t="str">
            <v>CINELINE INDIA LTD</v>
          </cell>
          <cell r="C830">
            <v>532807</v>
          </cell>
          <cell r="D830" t="str">
            <v>CINELINE</v>
          </cell>
          <cell r="E830" t="str">
            <v>Specialty Retail</v>
          </cell>
        </row>
        <row r="831">
          <cell r="B831" t="str">
            <v>CINERAD COMMUNICATIONS LTD</v>
          </cell>
          <cell r="C831">
            <v>530457</v>
          </cell>
          <cell r="D831" t="str">
            <v>Not Listed</v>
          </cell>
          <cell r="E831" t="str">
            <v>Movies &amp; Entertainment</v>
          </cell>
        </row>
        <row r="832">
          <cell r="B832" t="str">
            <v>CINEVISTA LTD</v>
          </cell>
          <cell r="C832">
            <v>532324</v>
          </cell>
          <cell r="D832" t="str">
            <v>CINEVISTA</v>
          </cell>
          <cell r="E832" t="str">
            <v>Movies &amp; Entertainment</v>
          </cell>
        </row>
        <row r="833">
          <cell r="B833" t="str">
            <v>CIPLA LTD</v>
          </cell>
          <cell r="C833">
            <v>500087</v>
          </cell>
          <cell r="D833" t="str">
            <v>CIPLA</v>
          </cell>
          <cell r="E833" t="str">
            <v>Pharmaceuticals</v>
          </cell>
        </row>
        <row r="834">
          <cell r="B834" t="str">
            <v>CISTRO TELELINK LTD</v>
          </cell>
          <cell r="C834">
            <v>531775</v>
          </cell>
          <cell r="D834" t="str">
            <v>Not Listed</v>
          </cell>
          <cell r="E834" t="str">
            <v>Comm.Trading  &amp; Distribution</v>
          </cell>
        </row>
        <row r="835">
          <cell r="B835" t="str">
            <v>CITADEL REALTY AND DEVELOPERS LTD</v>
          </cell>
          <cell r="C835">
            <v>502445</v>
          </cell>
          <cell r="D835" t="str">
            <v>Not Listed</v>
          </cell>
          <cell r="E835" t="str">
            <v>Realty</v>
          </cell>
        </row>
        <row r="836">
          <cell r="B836" t="str">
            <v>CITIPORT FINANCIAL SERVICES LTD</v>
          </cell>
          <cell r="C836">
            <v>531235</v>
          </cell>
          <cell r="D836" t="str">
            <v>Not Listed</v>
          </cell>
          <cell r="E836" t="str">
            <v>Finance (including NBFCs)</v>
          </cell>
        </row>
        <row r="837">
          <cell r="B837" t="str">
            <v>CITIZEN INFOLINE LTD</v>
          </cell>
          <cell r="C837">
            <v>538786</v>
          </cell>
          <cell r="D837" t="str">
            <v>Not Listed</v>
          </cell>
          <cell r="E837" t="str">
            <v>Publishing</v>
          </cell>
        </row>
        <row r="838">
          <cell r="B838" t="str">
            <v>CITY ONLINE SERVICES LTD</v>
          </cell>
          <cell r="C838">
            <v>538674</v>
          </cell>
          <cell r="D838" t="str">
            <v>Not Listed</v>
          </cell>
          <cell r="E838" t="str">
            <v>Telecom Services</v>
          </cell>
        </row>
        <row r="839">
          <cell r="B839" t="str">
            <v>CITY UNION BANK LTD</v>
          </cell>
          <cell r="C839">
            <v>532210</v>
          </cell>
          <cell r="D839" t="str">
            <v>CUB</v>
          </cell>
          <cell r="E839" t="str">
            <v>Banks</v>
          </cell>
        </row>
        <row r="840">
          <cell r="B840" t="str">
            <v>CITYMAN LTD</v>
          </cell>
          <cell r="C840">
            <v>521210</v>
          </cell>
          <cell r="D840" t="str">
            <v>Not Listed</v>
          </cell>
          <cell r="E840" t="str">
            <v>Other Apparels &amp; Accessories</v>
          </cell>
        </row>
        <row r="841">
          <cell r="B841" t="str">
            <v>CITYON SYSTEMS (INDIA) LTD</v>
          </cell>
          <cell r="C841">
            <v>780013</v>
          </cell>
          <cell r="D841" t="str">
            <v>Not Listed</v>
          </cell>
          <cell r="E841" t="str">
            <v>Others</v>
          </cell>
        </row>
        <row r="842">
          <cell r="B842" t="str">
            <v>CITYON SYSTEMS INDIA LTD</v>
          </cell>
          <cell r="C842">
            <v>780013</v>
          </cell>
          <cell r="D842" t="str">
            <v>Not Listed</v>
          </cell>
          <cell r="E842" t="str">
            <v>Others</v>
          </cell>
        </row>
        <row r="843">
          <cell r="B843" t="str">
            <v>CKP LEISURE LTD</v>
          </cell>
          <cell r="C843" t="str">
            <v>Not Listed</v>
          </cell>
          <cell r="D843" t="str">
            <v>CKPLEISURE</v>
          </cell>
          <cell r="E843" t="str">
            <v>SME</v>
          </cell>
        </row>
        <row r="844">
          <cell r="B844" t="str">
            <v>CKP PRODUCTS LTD</v>
          </cell>
          <cell r="C844" t="str">
            <v>Not Listed</v>
          </cell>
          <cell r="D844" t="str">
            <v>CKPPRODUCT</v>
          </cell>
          <cell r="E844" t="str">
            <v>SME</v>
          </cell>
        </row>
        <row r="845">
          <cell r="B845" t="str">
            <v>CL EDUCATE LTD</v>
          </cell>
          <cell r="C845">
            <v>540403</v>
          </cell>
          <cell r="D845" t="str">
            <v>CLEDUCATE</v>
          </cell>
          <cell r="E845" t="str">
            <v>Education</v>
          </cell>
        </row>
        <row r="846">
          <cell r="B846" t="str">
            <v>CLARIANT CHEMICALS (INDIA) LTD</v>
          </cell>
          <cell r="C846">
            <v>506390</v>
          </cell>
          <cell r="D846" t="str">
            <v>CLN(INDIA)</v>
          </cell>
          <cell r="E846" t="str">
            <v>Specialty Chemicals</v>
          </cell>
        </row>
        <row r="847">
          <cell r="B847" t="str">
            <v>CLARIANT CHEMICALS INDIA LTD</v>
          </cell>
          <cell r="C847">
            <v>506390</v>
          </cell>
          <cell r="D847" t="str">
            <v>CLNINDIA</v>
          </cell>
          <cell r="E847" t="str">
            <v>Specialty Chemicals</v>
          </cell>
        </row>
        <row r="848">
          <cell r="B848" t="str">
            <v>CLASSIC ELECTRICALS LTD</v>
          </cell>
          <cell r="C848">
            <v>512213</v>
          </cell>
          <cell r="D848" t="str">
            <v>Not Listed</v>
          </cell>
          <cell r="E848" t="str">
            <v>Comm.Trading  &amp; Distribution</v>
          </cell>
        </row>
        <row r="849">
          <cell r="B849" t="str">
            <v>CLASSIC FILAMENTS LTD</v>
          </cell>
          <cell r="C849">
            <v>540310</v>
          </cell>
          <cell r="D849" t="str">
            <v>Not Listed</v>
          </cell>
          <cell r="E849" t="str">
            <v>Textiles</v>
          </cell>
        </row>
        <row r="850">
          <cell r="B850" t="str">
            <v>CLASSIC GLOBAL FINANCE &amp; CAPITAL LTD</v>
          </cell>
          <cell r="C850">
            <v>538433</v>
          </cell>
          <cell r="D850" t="str">
            <v>Not Listed</v>
          </cell>
          <cell r="E850" t="str">
            <v>Other Financial Services</v>
          </cell>
        </row>
        <row r="851">
          <cell r="B851" t="str">
            <v>CLASSIC LEASING &amp; FINANCE LTD</v>
          </cell>
          <cell r="C851">
            <v>540481</v>
          </cell>
          <cell r="D851" t="str">
            <v>Not Listed</v>
          </cell>
          <cell r="E851" t="str">
            <v>Other Financial Services</v>
          </cell>
        </row>
        <row r="852">
          <cell r="B852" t="str">
            <v>CLIO INFOTECH LTD</v>
          </cell>
          <cell r="C852">
            <v>530839</v>
          </cell>
          <cell r="D852" t="str">
            <v>Not Listed</v>
          </cell>
          <cell r="E852" t="str">
            <v>IT Software Products</v>
          </cell>
        </row>
        <row r="853">
          <cell r="B853" t="str">
            <v>CMI FPE LTD</v>
          </cell>
          <cell r="C853">
            <v>500147</v>
          </cell>
          <cell r="D853" t="str">
            <v>Not Listed</v>
          </cell>
          <cell r="E853" t="str">
            <v>Industrial Machinery</v>
          </cell>
        </row>
        <row r="854">
          <cell r="B854" t="str">
            <v>CMI LTD</v>
          </cell>
          <cell r="C854">
            <v>517330</v>
          </cell>
          <cell r="D854" t="str">
            <v>CMICABLES</v>
          </cell>
          <cell r="E854" t="str">
            <v>Other Elect.Equip./ Prod.</v>
          </cell>
        </row>
        <row r="855">
          <cell r="B855" t="str">
            <v>CMM INFRAPROJECTS LTD</v>
          </cell>
          <cell r="C855" t="str">
            <v>Not Listed</v>
          </cell>
          <cell r="D855" t="str">
            <v>CMMIPL</v>
          </cell>
          <cell r="E855" t="str">
            <v>SME</v>
          </cell>
        </row>
        <row r="856">
          <cell r="B856" t="str">
            <v>CNI RESEARCH LTD</v>
          </cell>
          <cell r="C856">
            <v>512018</v>
          </cell>
          <cell r="D856" t="str">
            <v>Not Listed</v>
          </cell>
          <cell r="E856" t="str">
            <v>Internet Software &amp; Services</v>
          </cell>
        </row>
        <row r="857">
          <cell r="B857" t="str">
            <v>COAL (INDIA) LTD</v>
          </cell>
          <cell r="C857">
            <v>533278</v>
          </cell>
          <cell r="D857" t="str">
            <v>COAL(INDIA)</v>
          </cell>
          <cell r="E857" t="str">
            <v>Coal</v>
          </cell>
        </row>
        <row r="858">
          <cell r="B858" t="str">
            <v>COAL INDIA LTD</v>
          </cell>
          <cell r="C858">
            <v>533278</v>
          </cell>
          <cell r="D858" t="str">
            <v>COALINDIA</v>
          </cell>
          <cell r="E858" t="str">
            <v>Coal</v>
          </cell>
        </row>
        <row r="859">
          <cell r="B859" t="str">
            <v>COASTAL CORPORATION LTD</v>
          </cell>
          <cell r="C859">
            <v>501831</v>
          </cell>
          <cell r="D859" t="str">
            <v>Not Listed</v>
          </cell>
          <cell r="E859" t="str">
            <v>Packaged Foods</v>
          </cell>
        </row>
        <row r="860">
          <cell r="B860" t="str">
            <v>COASTAL ROADWAYS LTD</v>
          </cell>
          <cell r="C860">
            <v>520131</v>
          </cell>
          <cell r="D860" t="str">
            <v>Not Listed</v>
          </cell>
          <cell r="E860" t="str">
            <v>Surface Transportation</v>
          </cell>
        </row>
        <row r="861">
          <cell r="B861" t="str">
            <v>COCHIN MALABAR ESTATES &amp; INDUSTRIES LTD</v>
          </cell>
          <cell r="C861">
            <v>508571</v>
          </cell>
          <cell r="D861" t="str">
            <v>Not Listed</v>
          </cell>
          <cell r="E861" t="str">
            <v>Auto Tyres &amp; Rubber Products</v>
          </cell>
        </row>
        <row r="862">
          <cell r="B862" t="str">
            <v>COCHIN MINERALS &amp; RUTILE LTD</v>
          </cell>
          <cell r="C862">
            <v>513353</v>
          </cell>
          <cell r="D862" t="str">
            <v>Not Listed</v>
          </cell>
          <cell r="E862" t="str">
            <v>Specialty Chemicals</v>
          </cell>
        </row>
        <row r="863">
          <cell r="B863" t="str">
            <v>COCHIN SHIPYARD LTD</v>
          </cell>
          <cell r="C863">
            <v>540678</v>
          </cell>
          <cell r="D863" t="str">
            <v>COCHINSHIP</v>
          </cell>
          <cell r="E863" t="str">
            <v>Shipping</v>
          </cell>
        </row>
        <row r="864">
          <cell r="B864" t="str">
            <v>COFFEE DAY ENTERPRISES LTD</v>
          </cell>
          <cell r="C864">
            <v>539436</v>
          </cell>
          <cell r="D864" t="str">
            <v>COFFEEDAY</v>
          </cell>
          <cell r="E864" t="str">
            <v>Restaurants</v>
          </cell>
        </row>
        <row r="865">
          <cell r="B865" t="str">
            <v>COLGATE PALMOLIVE (INDIA) LTD</v>
          </cell>
          <cell r="C865">
            <v>500830</v>
          </cell>
          <cell r="D865" t="str">
            <v>COLPAL</v>
          </cell>
          <cell r="E865" t="str">
            <v>Personal Products</v>
          </cell>
        </row>
        <row r="866">
          <cell r="B866" t="str">
            <v>COLGATE PALMOLIVE INDIA LTD</v>
          </cell>
          <cell r="C866">
            <v>500830</v>
          </cell>
          <cell r="D866" t="str">
            <v>COLPAL</v>
          </cell>
          <cell r="E866" t="str">
            <v>Personal Products</v>
          </cell>
        </row>
        <row r="867">
          <cell r="B867" t="str">
            <v>COLINZ LABORATORIES LTD</v>
          </cell>
          <cell r="C867">
            <v>531210</v>
          </cell>
          <cell r="D867" t="str">
            <v>Not Listed</v>
          </cell>
          <cell r="E867" t="str">
            <v>Pharmaceuticals</v>
          </cell>
        </row>
        <row r="868">
          <cell r="B868" t="str">
            <v>COLORCHIPS NEW MEDIA LTD</v>
          </cell>
          <cell r="C868">
            <v>540023</v>
          </cell>
          <cell r="D868" t="str">
            <v>Not Listed</v>
          </cell>
          <cell r="E868" t="str">
            <v>Broadcasting &amp; Cable TV</v>
          </cell>
        </row>
        <row r="869">
          <cell r="B869" t="str">
            <v>COMBAT DRUGS LTD</v>
          </cell>
          <cell r="C869">
            <v>524752</v>
          </cell>
          <cell r="D869" t="str">
            <v>Not Listed</v>
          </cell>
          <cell r="E869" t="str">
            <v>Pharmaceuticals</v>
          </cell>
        </row>
        <row r="870">
          <cell r="B870" t="str">
            <v>COMFORT COMMOTRADE LTD</v>
          </cell>
          <cell r="C870">
            <v>534691</v>
          </cell>
          <cell r="D870" t="str">
            <v>Not Listed</v>
          </cell>
          <cell r="E870" t="str">
            <v>Other Financial Services</v>
          </cell>
        </row>
        <row r="871">
          <cell r="B871" t="str">
            <v>COMFORT FINCAP LTD</v>
          </cell>
          <cell r="C871">
            <v>535267</v>
          </cell>
          <cell r="D871" t="str">
            <v>Not Listed</v>
          </cell>
          <cell r="E871" t="str">
            <v>Finance (including NBFCs)</v>
          </cell>
        </row>
        <row r="872">
          <cell r="B872" t="str">
            <v>COMFORT INTECH LTD</v>
          </cell>
          <cell r="C872">
            <v>531216</v>
          </cell>
          <cell r="D872" t="str">
            <v>Not Listed</v>
          </cell>
          <cell r="E872" t="str">
            <v>Finance (including NBFCs)</v>
          </cell>
        </row>
        <row r="873">
          <cell r="B873" t="str">
            <v>COMMERCIAL ENGINEERS &amp; BODY BUILDERS CO LTD</v>
          </cell>
          <cell r="C873">
            <v>533272</v>
          </cell>
          <cell r="D873" t="str">
            <v>CEBBCO</v>
          </cell>
          <cell r="E873" t="str">
            <v>Commercial Vehicles</v>
          </cell>
        </row>
        <row r="874">
          <cell r="B874" t="str">
            <v>COMMERCIAL SYN BAGS LTD</v>
          </cell>
          <cell r="C874">
            <v>539986</v>
          </cell>
          <cell r="D874" t="str">
            <v>Not Listed</v>
          </cell>
          <cell r="E874" t="str">
            <v>Containers &amp; Packaging</v>
          </cell>
        </row>
        <row r="875">
          <cell r="B875" t="str">
            <v>COMMEX TECHNOLOGY LTD</v>
          </cell>
          <cell r="C875">
            <v>532342</v>
          </cell>
          <cell r="D875" t="str">
            <v>Not Listed</v>
          </cell>
          <cell r="E875" t="str">
            <v>IT Consulting &amp; Software</v>
          </cell>
        </row>
        <row r="876">
          <cell r="B876" t="str">
            <v>COMPETENT AUTOMOBILES CO LTD</v>
          </cell>
          <cell r="C876">
            <v>531041</v>
          </cell>
          <cell r="D876" t="str">
            <v>Not Listed</v>
          </cell>
          <cell r="E876" t="str">
            <v>Comm.Trading  &amp; Distribution</v>
          </cell>
        </row>
        <row r="877">
          <cell r="B877" t="str">
            <v>COMPUAGE INFOCOM LTD</v>
          </cell>
          <cell r="C877">
            <v>532456</v>
          </cell>
          <cell r="D877" t="str">
            <v>COMPINFO</v>
          </cell>
          <cell r="E877" t="str">
            <v>Storage Media &amp; Peripherals</v>
          </cell>
        </row>
        <row r="878">
          <cell r="B878" t="str">
            <v>COMPUCOM SOFTWARE LTD</v>
          </cell>
          <cell r="C878">
            <v>532339</v>
          </cell>
          <cell r="D878" t="str">
            <v>COMPUSOFT</v>
          </cell>
          <cell r="E878" t="str">
            <v>IT Training Services</v>
          </cell>
        </row>
        <row r="879">
          <cell r="B879" t="str">
            <v>COMPUTER POINT LTD</v>
          </cell>
          <cell r="C879">
            <v>507833</v>
          </cell>
          <cell r="D879" t="str">
            <v>Not Listed</v>
          </cell>
          <cell r="E879" t="str">
            <v>Computer Hardware</v>
          </cell>
        </row>
        <row r="880">
          <cell r="B880" t="str">
            <v>CONART ENGINEERS LTD</v>
          </cell>
          <cell r="C880">
            <v>522231</v>
          </cell>
          <cell r="D880" t="str">
            <v>Not Listed</v>
          </cell>
          <cell r="E880" t="str">
            <v>Construction &amp; Engineering</v>
          </cell>
        </row>
        <row r="881">
          <cell r="B881" t="str">
            <v>CONCORD DRUGS LTD</v>
          </cell>
          <cell r="C881">
            <v>538965</v>
          </cell>
          <cell r="D881" t="str">
            <v>Not Listed</v>
          </cell>
          <cell r="E881" t="str">
            <v>Pharmaceuticals</v>
          </cell>
        </row>
        <row r="882">
          <cell r="B882" t="str">
            <v>CONCRETE CREDIT LTD</v>
          </cell>
          <cell r="C882">
            <v>539266</v>
          </cell>
          <cell r="D882" t="str">
            <v>Not Listed</v>
          </cell>
          <cell r="E882" t="str">
            <v>Investment Companies</v>
          </cell>
        </row>
        <row r="883">
          <cell r="B883" t="str">
            <v>CONFIDENCE FINANCE AND TRADING LTD</v>
          </cell>
          <cell r="C883">
            <v>504340</v>
          </cell>
          <cell r="D883" t="str">
            <v>Not Listed</v>
          </cell>
          <cell r="E883" t="str">
            <v>Other Financial Services</v>
          </cell>
        </row>
        <row r="884">
          <cell r="B884" t="str">
            <v>Confidence Futuristic Energetech Ltd</v>
          </cell>
          <cell r="C884">
            <v>539991</v>
          </cell>
          <cell r="D884" t="str">
            <v>CFEL</v>
          </cell>
          <cell r="E884" t="str">
            <v>Comm.Trading  &amp;amp; Distribution</v>
          </cell>
        </row>
        <row r="885">
          <cell r="B885" t="str">
            <v>CONFIDENCE PETROLEUM (INDIA) LTD</v>
          </cell>
          <cell r="C885">
            <v>526829</v>
          </cell>
          <cell r="D885" t="str">
            <v>Not Listed</v>
          </cell>
          <cell r="E885" t="str">
            <v>Oil Marketing &amp; Distribution</v>
          </cell>
        </row>
        <row r="886">
          <cell r="B886" t="str">
            <v>Confidence Petroleum India LTD</v>
          </cell>
          <cell r="C886">
            <v>526829</v>
          </cell>
          <cell r="D886" t="str">
            <v>CONFIPET</v>
          </cell>
          <cell r="E886" t="str">
            <v>Oil Marketing &amp; Distribution</v>
          </cell>
        </row>
        <row r="887">
          <cell r="B887" t="str">
            <v>CONFIDENCE PETROLEUM INDIA LTD</v>
          </cell>
          <cell r="C887">
            <v>526829</v>
          </cell>
          <cell r="D887" t="str">
            <v>Not Listed</v>
          </cell>
          <cell r="E887" t="str">
            <v>Oil Marketing &amp; Distribution</v>
          </cell>
        </row>
        <row r="888">
          <cell r="B888" t="str">
            <v>CONSECUTIVE INVESTMENT &amp; TRADING COMPANY LTD</v>
          </cell>
          <cell r="C888">
            <v>539091</v>
          </cell>
          <cell r="D888" t="str">
            <v>Not Listed</v>
          </cell>
          <cell r="E888" t="str">
            <v>Investment Companies</v>
          </cell>
        </row>
        <row r="889">
          <cell r="B889" t="str">
            <v>CONSOLIDATED CONSTRUCTION CONSORTIUM LTD</v>
          </cell>
          <cell r="C889">
            <v>532902</v>
          </cell>
          <cell r="D889" t="str">
            <v>CCCL</v>
          </cell>
          <cell r="E889" t="str">
            <v>Realty</v>
          </cell>
        </row>
        <row r="890">
          <cell r="B890" t="str">
            <v>CONSOLIDATED FINVEST &amp; HOLDINGS LTD</v>
          </cell>
          <cell r="C890" t="str">
            <v>Not Listed</v>
          </cell>
          <cell r="D890" t="str">
            <v>CONSOFINVT</v>
          </cell>
          <cell r="E890" t="str">
            <v>Others</v>
          </cell>
        </row>
        <row r="891">
          <cell r="B891" t="str">
            <v>CONTAINER CORPORATION OF (INDIA) LTD</v>
          </cell>
          <cell r="C891">
            <v>531344</v>
          </cell>
          <cell r="D891" t="str">
            <v>CONCOR</v>
          </cell>
          <cell r="E891" t="str">
            <v>Transport Related Services</v>
          </cell>
        </row>
        <row r="892">
          <cell r="B892" t="str">
            <v>CONTAINER CORPORATION OF INDIA LTD</v>
          </cell>
          <cell r="C892">
            <v>531344</v>
          </cell>
          <cell r="D892" t="str">
            <v>CONCOR</v>
          </cell>
          <cell r="E892" t="str">
            <v>Transport Related Services</v>
          </cell>
        </row>
        <row r="893">
          <cell r="B893" t="str">
            <v>CONTAINERWAY INTERNATIONAL LTD</v>
          </cell>
          <cell r="C893">
            <v>540597</v>
          </cell>
          <cell r="D893" t="str">
            <v>Not Listed</v>
          </cell>
          <cell r="E893" t="str">
            <v>Transportation - Logistics</v>
          </cell>
        </row>
        <row r="894">
          <cell r="B894" t="str">
            <v>CONTIL (INDIA) LTD</v>
          </cell>
          <cell r="C894">
            <v>531067</v>
          </cell>
          <cell r="D894" t="str">
            <v>Not Listed</v>
          </cell>
          <cell r="E894" t="str">
            <v>Finance (including NBFCs)</v>
          </cell>
        </row>
        <row r="895">
          <cell r="B895" t="str">
            <v>CONTIL INDIA LTD</v>
          </cell>
          <cell r="C895">
            <v>531067</v>
          </cell>
          <cell r="D895" t="str">
            <v>Not Listed</v>
          </cell>
          <cell r="E895" t="str">
            <v>Finance (including NBFCs)</v>
          </cell>
        </row>
        <row r="896">
          <cell r="B896" t="str">
            <v>CONTINENTAL CHEMICALS LTD</v>
          </cell>
          <cell r="C896">
            <v>506935</v>
          </cell>
          <cell r="D896" t="str">
            <v>Not Listed</v>
          </cell>
          <cell r="E896" t="str">
            <v>IT Software Products</v>
          </cell>
        </row>
        <row r="897">
          <cell r="B897" t="str">
            <v>CONTINENTAL CONTROLS LTD</v>
          </cell>
          <cell r="C897">
            <v>531460</v>
          </cell>
          <cell r="D897" t="str">
            <v>Not Listed</v>
          </cell>
          <cell r="E897" t="str">
            <v>Other Elect.Equip./ Prod.</v>
          </cell>
        </row>
        <row r="898">
          <cell r="B898" t="str">
            <v>CONTINENTAL PETROLEUMS LTD</v>
          </cell>
          <cell r="C898">
            <v>523232</v>
          </cell>
          <cell r="D898" t="str">
            <v>Not Listed</v>
          </cell>
          <cell r="E898" t="str">
            <v>Oil Marketing &amp; Distribution</v>
          </cell>
        </row>
        <row r="899">
          <cell r="B899" t="str">
            <v>CONTINENTAL SECURITIES LTD</v>
          </cell>
          <cell r="C899">
            <v>538868</v>
          </cell>
          <cell r="D899" t="str">
            <v>Not Listed</v>
          </cell>
          <cell r="E899" t="str">
            <v>Finance (including NBFCs)</v>
          </cell>
        </row>
        <row r="900">
          <cell r="B900" t="str">
            <v>CONTINENTAL SEEDS AND CHEMICALS LTD</v>
          </cell>
          <cell r="C900" t="str">
            <v>Not Listed</v>
          </cell>
          <cell r="D900" t="str">
            <v>CONTI</v>
          </cell>
          <cell r="E900" t="str">
            <v>SME</v>
          </cell>
        </row>
        <row r="901">
          <cell r="B901" t="str">
            <v>CONTROL PRINT LTD</v>
          </cell>
          <cell r="C901">
            <v>522295</v>
          </cell>
          <cell r="D901" t="str">
            <v>CONTROLPR</v>
          </cell>
          <cell r="E901" t="str">
            <v>Containers &amp; Packaging</v>
          </cell>
        </row>
        <row r="902">
          <cell r="B902" t="str">
            <v>CORAL INDIA FINANCE &amp; HOUSING LTD</v>
          </cell>
          <cell r="C902">
            <v>531556</v>
          </cell>
          <cell r="D902" t="str">
            <v>CORALFINAC</v>
          </cell>
          <cell r="E902" t="str">
            <v xml:space="preserve">Housing Finance </v>
          </cell>
        </row>
        <row r="903">
          <cell r="B903" t="str">
            <v>CORAL LABORATORIES LTD</v>
          </cell>
          <cell r="C903">
            <v>524506</v>
          </cell>
          <cell r="D903" t="str">
            <v>Not Listed</v>
          </cell>
          <cell r="E903" t="str">
            <v>Pharmaceuticals</v>
          </cell>
        </row>
        <row r="904">
          <cell r="B904" t="str">
            <v>CORAL NEWSPRINTS LTD.</v>
          </cell>
          <cell r="C904">
            <v>530755</v>
          </cell>
          <cell r="D904" t="str">
            <v>CORNE</v>
          </cell>
          <cell r="E904" t="str">
            <v>Paper &amp;amp; Paper Products</v>
          </cell>
        </row>
        <row r="905">
          <cell r="B905" t="str">
            <v>CORDS CABLE INDUSTRIES LTD</v>
          </cell>
          <cell r="C905">
            <v>532941</v>
          </cell>
          <cell r="D905" t="str">
            <v>CORDSCABLE</v>
          </cell>
          <cell r="E905" t="str">
            <v>Other Elect.Equip./ Prod.</v>
          </cell>
        </row>
        <row r="906">
          <cell r="B906" t="str">
            <v>COROMANDEL AGRO PRODUCTS &amp; OILS LTD</v>
          </cell>
          <cell r="C906">
            <v>507543</v>
          </cell>
          <cell r="D906" t="str">
            <v>Not Listed</v>
          </cell>
          <cell r="E906" t="str">
            <v>Edible Oils</v>
          </cell>
        </row>
        <row r="907">
          <cell r="B907" t="str">
            <v>COROMANDEL ENGINEERING COMPANY LTD</v>
          </cell>
          <cell r="C907">
            <v>533167</v>
          </cell>
          <cell r="D907" t="str">
            <v>Not Listed</v>
          </cell>
          <cell r="E907" t="str">
            <v>Construction &amp; Engineering</v>
          </cell>
        </row>
        <row r="908">
          <cell r="B908" t="str">
            <v>COROMANDEL INTERNATIONAL LTD</v>
          </cell>
          <cell r="C908">
            <v>506395</v>
          </cell>
          <cell r="D908" t="str">
            <v>COROMANDEL</v>
          </cell>
          <cell r="E908" t="str">
            <v>Fertilizers</v>
          </cell>
        </row>
        <row r="909">
          <cell r="B909" t="str">
            <v>CORPORATE COURIER AND CARGO LTD</v>
          </cell>
          <cell r="C909">
            <v>526737</v>
          </cell>
          <cell r="D909" t="str">
            <v>Not Listed</v>
          </cell>
          <cell r="E909" t="str">
            <v>Transportation - Logistics</v>
          </cell>
        </row>
        <row r="910">
          <cell r="B910" t="str">
            <v>CORPORATE MERCHANT BANKERS LTD</v>
          </cell>
          <cell r="C910">
            <v>540199</v>
          </cell>
          <cell r="D910" t="str">
            <v>Not Listed</v>
          </cell>
          <cell r="E910" t="str">
            <v>Other Financial Services</v>
          </cell>
        </row>
        <row r="911">
          <cell r="B911" t="str">
            <v>CORPORATION BANK</v>
          </cell>
          <cell r="C911">
            <v>532179</v>
          </cell>
          <cell r="D911" t="str">
            <v>CORPBANK</v>
          </cell>
          <cell r="E911" t="str">
            <v>Banks</v>
          </cell>
        </row>
        <row r="912">
          <cell r="B912" t="str">
            <v>COSBOARD INDUSTRIES LTD</v>
          </cell>
          <cell r="C912">
            <v>530859</v>
          </cell>
          <cell r="D912" t="str">
            <v>Not Listed</v>
          </cell>
          <cell r="E912" t="str">
            <v>Paper &amp; Paper Products</v>
          </cell>
        </row>
        <row r="913">
          <cell r="B913" t="str">
            <v>COSCO (INDIA) LTD</v>
          </cell>
          <cell r="C913">
            <v>530545</v>
          </cell>
          <cell r="D913" t="str">
            <v>Not Listed</v>
          </cell>
          <cell r="E913" t="str">
            <v>Diversified</v>
          </cell>
        </row>
        <row r="914">
          <cell r="B914" t="str">
            <v>COSCO INDIA LTD</v>
          </cell>
          <cell r="C914">
            <v>530545</v>
          </cell>
          <cell r="D914" t="str">
            <v>Not Listed</v>
          </cell>
          <cell r="E914" t="str">
            <v>Diversified</v>
          </cell>
        </row>
        <row r="915">
          <cell r="B915" t="str">
            <v>COSMO FERRITES LTD</v>
          </cell>
          <cell r="C915">
            <v>523100</v>
          </cell>
          <cell r="D915" t="str">
            <v>Not Listed</v>
          </cell>
          <cell r="E915" t="str">
            <v>Iron &amp; Steel/Interm.Products</v>
          </cell>
        </row>
        <row r="916">
          <cell r="B916" t="str">
            <v>COSMO FILMS LTD</v>
          </cell>
          <cell r="C916">
            <v>508814</v>
          </cell>
          <cell r="D916" t="str">
            <v>COSMOFILMS</v>
          </cell>
          <cell r="E916" t="str">
            <v>Commodity Chemicals</v>
          </cell>
        </row>
        <row r="917">
          <cell r="B917" t="str">
            <v>COSYN LTD</v>
          </cell>
          <cell r="C917">
            <v>538922</v>
          </cell>
          <cell r="D917" t="str">
            <v>Not Listed</v>
          </cell>
          <cell r="E917" t="str">
            <v>IT Software Products</v>
          </cell>
        </row>
        <row r="918">
          <cell r="B918" t="str">
            <v>COUNTRY CLUB HOSPITALITY &amp; HOLIDAYS LTD</v>
          </cell>
          <cell r="C918">
            <v>526550</v>
          </cell>
          <cell r="D918" t="str">
            <v>CCHHL</v>
          </cell>
          <cell r="E918" t="str">
            <v>Hotels</v>
          </cell>
        </row>
        <row r="919">
          <cell r="B919" t="str">
            <v>COUNTRY CONDO'S LTD</v>
          </cell>
          <cell r="C919">
            <v>531624</v>
          </cell>
          <cell r="D919" t="str">
            <v>COUNCODOS</v>
          </cell>
          <cell r="E919" t="str">
            <v>Realty</v>
          </cell>
        </row>
        <row r="920">
          <cell r="B920" t="str">
            <v>COVENTRY COIL-O-MATIC HARYANA LTD</v>
          </cell>
          <cell r="C920">
            <v>523415</v>
          </cell>
          <cell r="D920" t="str">
            <v>Not Listed</v>
          </cell>
          <cell r="E920" t="str">
            <v>Iron &amp; Steel/Interm.Products</v>
          </cell>
        </row>
        <row r="921">
          <cell r="B921" t="str">
            <v>COVIDH TECHNOLOGIES LTD</v>
          </cell>
          <cell r="C921">
            <v>534920</v>
          </cell>
          <cell r="D921" t="str">
            <v>Not Listed</v>
          </cell>
          <cell r="E921" t="str">
            <v>IT Consulting &amp; Software</v>
          </cell>
        </row>
        <row r="922">
          <cell r="B922" t="str">
            <v>COX &amp; KINGS LTD</v>
          </cell>
          <cell r="C922">
            <v>533144</v>
          </cell>
          <cell r="D922" t="str">
            <v>COX&amp;KINGS</v>
          </cell>
          <cell r="E922" t="str">
            <v>Travel Support Services</v>
          </cell>
        </row>
        <row r="923">
          <cell r="B923" t="str">
            <v>Cox &amp;amp; Kings Financial Service Ltd</v>
          </cell>
          <cell r="C923">
            <v>542641</v>
          </cell>
          <cell r="D923" t="str">
            <v>CKFSL</v>
          </cell>
          <cell r="E923" t="str">
            <v>Finance (including NBFCs)</v>
          </cell>
        </row>
        <row r="924">
          <cell r="B924" t="str">
            <v>CRANE INFRASTRUCTURE LTD</v>
          </cell>
          <cell r="C924">
            <v>538770</v>
          </cell>
          <cell r="D924" t="str">
            <v>Not Listed</v>
          </cell>
          <cell r="E924" t="str">
            <v>Realty</v>
          </cell>
        </row>
        <row r="925">
          <cell r="B925" t="str">
            <v>CRANES SOFTWARE INTERNATIONAL LTD</v>
          </cell>
          <cell r="C925">
            <v>512093</v>
          </cell>
          <cell r="D925" t="str">
            <v>Not Listed</v>
          </cell>
          <cell r="E925" t="str">
            <v>IT Software Products</v>
          </cell>
        </row>
        <row r="926">
          <cell r="B926" t="str">
            <v>CRANEX LTD</v>
          </cell>
          <cell r="C926">
            <v>522001</v>
          </cell>
          <cell r="D926" t="str">
            <v>Not Listed</v>
          </cell>
          <cell r="E926" t="str">
            <v>Commercial Vehicles</v>
          </cell>
        </row>
        <row r="927">
          <cell r="B927" t="str">
            <v>CRAVATEX LTD</v>
          </cell>
          <cell r="C927">
            <v>509472</v>
          </cell>
          <cell r="D927" t="str">
            <v>Not Listed</v>
          </cell>
          <cell r="E927" t="str">
            <v>Comm.Trading  &amp; Distribution</v>
          </cell>
        </row>
        <row r="928">
          <cell r="B928" t="str">
            <v>CRAZY INFOTECH LTD</v>
          </cell>
          <cell r="C928">
            <v>524388</v>
          </cell>
          <cell r="D928" t="str">
            <v>Not Listed</v>
          </cell>
          <cell r="E928" t="str">
            <v>Computer Hardware</v>
          </cell>
        </row>
        <row r="929">
          <cell r="B929" t="str">
            <v>CREATIVE CASTINGS LTD</v>
          </cell>
          <cell r="C929">
            <v>539527</v>
          </cell>
          <cell r="D929" t="str">
            <v>Not Listed</v>
          </cell>
          <cell r="E929" t="str">
            <v>Other Industrial Products</v>
          </cell>
        </row>
        <row r="930">
          <cell r="B930" t="str">
            <v>CREATIVE EYE LTD</v>
          </cell>
          <cell r="C930">
            <v>532392</v>
          </cell>
          <cell r="D930" t="str">
            <v>CREATIVEYE</v>
          </cell>
          <cell r="E930" t="str">
            <v>Movies &amp; Entertainment</v>
          </cell>
        </row>
        <row r="931">
          <cell r="B931" t="str">
            <v>CREATIVE PERIPHERALS AND DISTRIBUTION LTD</v>
          </cell>
          <cell r="C931" t="str">
            <v>Not Listed</v>
          </cell>
          <cell r="D931" t="str">
            <v>CREATIVE</v>
          </cell>
          <cell r="E931" t="str">
            <v>SME</v>
          </cell>
        </row>
        <row r="932">
          <cell r="B932" t="str">
            <v>CREDITACCESS GRAMEEN LTD</v>
          </cell>
          <cell r="C932">
            <v>541770</v>
          </cell>
          <cell r="D932" t="str">
            <v>CREDITACC</v>
          </cell>
          <cell r="E932" t="str">
            <v>Finance (including NBFCs)</v>
          </cell>
        </row>
        <row r="933">
          <cell r="B933" t="str">
            <v>CRESCENT LEASING LTD</v>
          </cell>
          <cell r="C933">
            <v>539131</v>
          </cell>
          <cell r="D933" t="str">
            <v>Not Listed</v>
          </cell>
          <cell r="E933" t="str">
            <v>Investment Companies</v>
          </cell>
        </row>
        <row r="934">
          <cell r="B934" t="str">
            <v>CRESSANDA SOLUTIONS LTD</v>
          </cell>
          <cell r="C934">
            <v>512379</v>
          </cell>
          <cell r="D934" t="str">
            <v>Not Listed</v>
          </cell>
          <cell r="E934" t="str">
            <v>IT Software Products</v>
          </cell>
        </row>
        <row r="935">
          <cell r="B935" t="str">
            <v>CREST VENTURES LTD</v>
          </cell>
          <cell r="C935">
            <v>511413</v>
          </cell>
          <cell r="D935" t="str">
            <v>CREST</v>
          </cell>
          <cell r="E935" t="str">
            <v>Finance (including NBFCs)</v>
          </cell>
        </row>
        <row r="936">
          <cell r="B936" t="str">
            <v>CRESTCHEM LTD</v>
          </cell>
          <cell r="C936">
            <v>526269</v>
          </cell>
          <cell r="D936" t="str">
            <v>Not Listed</v>
          </cell>
          <cell r="E936" t="str">
            <v>Specialty Chemicals</v>
          </cell>
        </row>
        <row r="937">
          <cell r="B937" t="str">
            <v>CRIMSON METAL ENGINEERING COMPANY LTD</v>
          </cell>
          <cell r="C937">
            <v>526977</v>
          </cell>
          <cell r="D937" t="str">
            <v>Not Listed</v>
          </cell>
          <cell r="E937" t="str">
            <v>Iron &amp; Steel Products</v>
          </cell>
        </row>
        <row r="938">
          <cell r="B938" t="str">
            <v>CRISIL LTD</v>
          </cell>
          <cell r="C938">
            <v>500092</v>
          </cell>
          <cell r="D938" t="str">
            <v>CRISIL</v>
          </cell>
          <cell r="E938" t="str">
            <v>Other Financial Services</v>
          </cell>
        </row>
        <row r="939">
          <cell r="B939" t="str">
            <v>CROMPTON GREAVES CONSUMER ELECTRICALS LTD</v>
          </cell>
          <cell r="C939">
            <v>539876</v>
          </cell>
          <cell r="D939" t="str">
            <v>CROMPTON</v>
          </cell>
          <cell r="E939" t="str">
            <v>Household Appliances</v>
          </cell>
        </row>
        <row r="940">
          <cell r="B940" t="str">
            <v>CROWN LIFTERS LTD</v>
          </cell>
          <cell r="C940" t="str">
            <v>Not Listed</v>
          </cell>
          <cell r="D940" t="str">
            <v>CROWN</v>
          </cell>
          <cell r="E940" t="str">
            <v>SME</v>
          </cell>
        </row>
        <row r="941">
          <cell r="B941" t="str">
            <v>CROWN TOURS LTD</v>
          </cell>
          <cell r="C941">
            <v>538521</v>
          </cell>
          <cell r="D941" t="str">
            <v>Not Listed</v>
          </cell>
          <cell r="E941" t="str">
            <v>Travel Support Services</v>
          </cell>
        </row>
        <row r="942">
          <cell r="B942" t="str">
            <v>CRP RISK MANAGEMENT LTD</v>
          </cell>
          <cell r="C942">
            <v>540903</v>
          </cell>
          <cell r="D942" t="str">
            <v>Not Listed</v>
          </cell>
          <cell r="E942" t="str">
            <v>Consulting Services</v>
          </cell>
        </row>
        <row r="943">
          <cell r="B943" t="str">
            <v>CSL FINANCE LTD</v>
          </cell>
          <cell r="C943">
            <v>530067</v>
          </cell>
          <cell r="D943" t="str">
            <v>Not Listed</v>
          </cell>
          <cell r="E943" t="str">
            <v>Finance (including NBFCs)</v>
          </cell>
        </row>
        <row r="944">
          <cell r="B944" t="str">
            <v>CUBEX TUBINGS LTD</v>
          </cell>
          <cell r="C944">
            <v>526027</v>
          </cell>
          <cell r="D944" t="str">
            <v>CUBEXTUB</v>
          </cell>
          <cell r="E944" t="str">
            <v>Copper</v>
          </cell>
        </row>
        <row r="945">
          <cell r="B945" t="str">
            <v>CUBICAL FINANCIAL SERVICES LTD</v>
          </cell>
          <cell r="C945">
            <v>511710</v>
          </cell>
          <cell r="D945" t="str">
            <v>Not Listed</v>
          </cell>
          <cell r="E945" t="str">
            <v>Finance (including NBFCs)</v>
          </cell>
        </row>
        <row r="946">
          <cell r="B946" t="str">
            <v>CUMMINS (INDIA) LTD</v>
          </cell>
          <cell r="C946">
            <v>500480</v>
          </cell>
          <cell r="D946" t="str">
            <v>CUMMINSIND</v>
          </cell>
          <cell r="E946" t="str">
            <v>Industrial Machinery</v>
          </cell>
        </row>
        <row r="947">
          <cell r="B947" t="str">
            <v>CUMMINS INDIA LTD</v>
          </cell>
          <cell r="C947">
            <v>500480</v>
          </cell>
          <cell r="D947" t="str">
            <v>CUMMINSIND</v>
          </cell>
          <cell r="E947" t="str">
            <v>Industrial Machinery</v>
          </cell>
        </row>
        <row r="948">
          <cell r="B948" t="str">
            <v>CUPID LTD</v>
          </cell>
          <cell r="C948">
            <v>530843</v>
          </cell>
          <cell r="D948" t="str">
            <v>CUPID</v>
          </cell>
          <cell r="E948" t="str">
            <v>Personal Products</v>
          </cell>
        </row>
        <row r="949">
          <cell r="B949" t="str">
            <v>CURA TECHNOLOGIES LTD</v>
          </cell>
          <cell r="C949">
            <v>532332</v>
          </cell>
          <cell r="D949" t="str">
            <v>CURATECH</v>
          </cell>
          <cell r="E949" t="str">
            <v>IT Software Products</v>
          </cell>
        </row>
        <row r="950">
          <cell r="B950" t="str">
            <v>CYBELE INDUSTRIES LTD</v>
          </cell>
          <cell r="C950">
            <v>531472</v>
          </cell>
          <cell r="D950" t="str">
            <v>Not Listed</v>
          </cell>
          <cell r="E950" t="str">
            <v>Other Elect.Equip./ Prod.</v>
          </cell>
        </row>
        <row r="951">
          <cell r="B951" t="str">
            <v>CYBER MEDIA (INDIA) LTD</v>
          </cell>
          <cell r="C951">
            <v>532640</v>
          </cell>
          <cell r="D951" t="str">
            <v>CYBERMEDIA</v>
          </cell>
          <cell r="E951" t="str">
            <v>Publishing</v>
          </cell>
        </row>
        <row r="952">
          <cell r="B952" t="str">
            <v>CYBER MEDIA INDIA LTD</v>
          </cell>
          <cell r="C952">
            <v>532640</v>
          </cell>
          <cell r="D952" t="str">
            <v>CYBERMEDIA</v>
          </cell>
          <cell r="E952" t="str">
            <v>Publishing</v>
          </cell>
        </row>
        <row r="953">
          <cell r="B953" t="str">
            <v>CYBERMATE INFOTEK LTD</v>
          </cell>
          <cell r="C953">
            <v>532271</v>
          </cell>
          <cell r="D953" t="str">
            <v>Not Listed</v>
          </cell>
          <cell r="E953" t="str">
            <v>IT Software Products</v>
          </cell>
        </row>
        <row r="954">
          <cell r="B954" t="str">
            <v>CYBERTECH SYSTEMS AND SOFTWARE LTD</v>
          </cell>
          <cell r="C954">
            <v>532173</v>
          </cell>
          <cell r="D954" t="str">
            <v>CYBERTECH</v>
          </cell>
          <cell r="E954" t="str">
            <v>IT Software Products</v>
          </cell>
        </row>
        <row r="955">
          <cell r="B955" t="str">
            <v>CYIENT LTD</v>
          </cell>
          <cell r="C955">
            <v>532175</v>
          </cell>
          <cell r="D955" t="str">
            <v>CYIENT</v>
          </cell>
          <cell r="E955" t="str">
            <v>IT Consulting &amp; Software</v>
          </cell>
        </row>
        <row r="956">
          <cell r="B956" t="str">
            <v>D B CORP LTD</v>
          </cell>
          <cell r="C956">
            <v>533151</v>
          </cell>
          <cell r="D956" t="str">
            <v>DBCORP</v>
          </cell>
          <cell r="E956" t="str">
            <v>Publishing</v>
          </cell>
        </row>
        <row r="957">
          <cell r="B957" t="str">
            <v>D B REALTY LTD</v>
          </cell>
          <cell r="C957">
            <v>533160</v>
          </cell>
          <cell r="D957" t="str">
            <v>DBREALTY</v>
          </cell>
          <cell r="E957" t="str">
            <v>Realty</v>
          </cell>
        </row>
        <row r="958">
          <cell r="B958" t="str">
            <v>D P ABHUSHAN LTD</v>
          </cell>
          <cell r="C958" t="str">
            <v>Not Listed</v>
          </cell>
          <cell r="D958" t="str">
            <v>DPABHUSHAN</v>
          </cell>
          <cell r="E958" t="str">
            <v>SME</v>
          </cell>
        </row>
        <row r="959">
          <cell r="B959" t="str">
            <v>D P WIRES LTD</v>
          </cell>
          <cell r="C959" t="str">
            <v>Not Listed</v>
          </cell>
          <cell r="D959" t="str">
            <v>DPWIRES</v>
          </cell>
          <cell r="E959" t="str">
            <v>SME</v>
          </cell>
        </row>
        <row r="960">
          <cell r="B960" t="str">
            <v>D&amp;H (INDIA) LTD</v>
          </cell>
          <cell r="C960">
            <v>517514</v>
          </cell>
          <cell r="D960" t="str">
            <v>Not Listed</v>
          </cell>
          <cell r="E960" t="str">
            <v>Other Industrial Goods</v>
          </cell>
        </row>
        <row r="961">
          <cell r="B961" t="str">
            <v>D&amp;H INDIA LTD</v>
          </cell>
          <cell r="C961">
            <v>517514</v>
          </cell>
          <cell r="D961" t="str">
            <v>Not Listed</v>
          </cell>
          <cell r="E961" t="str">
            <v>Other Industrial Goods</v>
          </cell>
        </row>
        <row r="962">
          <cell r="B962" t="str">
            <v>DABUR (INDIA) LTD</v>
          </cell>
          <cell r="C962">
            <v>500096</v>
          </cell>
          <cell r="D962" t="str">
            <v>DABUR</v>
          </cell>
          <cell r="E962" t="str">
            <v>Personal Products</v>
          </cell>
        </row>
        <row r="963">
          <cell r="B963" t="str">
            <v>DABUR INDIA LTD</v>
          </cell>
          <cell r="C963">
            <v>500096</v>
          </cell>
          <cell r="D963" t="str">
            <v>DABUR</v>
          </cell>
          <cell r="E963" t="str">
            <v>Personal Products</v>
          </cell>
        </row>
        <row r="964">
          <cell r="B964" t="str">
            <v>DAI-ICHI KARKARIA LTD</v>
          </cell>
          <cell r="C964">
            <v>526821</v>
          </cell>
          <cell r="D964" t="str">
            <v>Not Listed</v>
          </cell>
          <cell r="E964" t="str">
            <v>Specialty Chemicals</v>
          </cell>
        </row>
        <row r="965">
          <cell r="B965" t="str">
            <v>DAIKAFFIL CHEMICALS (INDIA) LTD</v>
          </cell>
          <cell r="C965">
            <v>530825</v>
          </cell>
          <cell r="D965" t="str">
            <v>Not Listed</v>
          </cell>
          <cell r="E965" t="str">
            <v>Specialty Chemicals</v>
          </cell>
        </row>
        <row r="966">
          <cell r="B966" t="str">
            <v>DAIKAFFIL CHEMICALS INDIA LTD</v>
          </cell>
          <cell r="C966">
            <v>530825</v>
          </cell>
          <cell r="D966" t="str">
            <v>Not Listed</v>
          </cell>
          <cell r="E966" t="str">
            <v>Specialty Chemicals</v>
          </cell>
        </row>
        <row r="967">
          <cell r="B967" t="str">
            <v>DALAL STREET INVESTMENTS LTD</v>
          </cell>
          <cell r="C967">
            <v>501148</v>
          </cell>
          <cell r="D967" t="str">
            <v>Not Listed</v>
          </cell>
          <cell r="E967" t="str">
            <v>Investment Companies</v>
          </cell>
        </row>
        <row r="968">
          <cell r="B968" t="str">
            <v>Dalmia Bharat Ltd</v>
          </cell>
          <cell r="C968">
            <v>542216</v>
          </cell>
          <cell r="D968" t="str">
            <v>DALBHARAT</v>
          </cell>
          <cell r="E968" t="str">
            <v>Cement &amp;amp; Cement Products</v>
          </cell>
        </row>
        <row r="969">
          <cell r="B969" t="str">
            <v>DALMIA BHARAT SUGAR AND INDUSTRIES LTD</v>
          </cell>
          <cell r="C969">
            <v>500097</v>
          </cell>
          <cell r="D969" t="str">
            <v>DALMIASUG</v>
          </cell>
          <cell r="E969" t="str">
            <v>Sugar</v>
          </cell>
        </row>
        <row r="970">
          <cell r="B970" t="str">
            <v>DALMIA INDUSTRIAL DEVELOPMENT LTD</v>
          </cell>
          <cell r="C970">
            <v>539900</v>
          </cell>
          <cell r="D970" t="str">
            <v>Not Listed</v>
          </cell>
          <cell r="E970" t="str">
            <v>Comm.Trading  &amp; Distribution</v>
          </cell>
        </row>
        <row r="971">
          <cell r="B971" t="str">
            <v>DAMODAR INDUSTRIES LTD</v>
          </cell>
          <cell r="C971">
            <v>521220</v>
          </cell>
          <cell r="D971" t="str">
            <v>DAMODARIND</v>
          </cell>
          <cell r="E971" t="str">
            <v>Textiles</v>
          </cell>
        </row>
        <row r="972">
          <cell r="B972" t="str">
            <v>DANGEE DUMS LTD</v>
          </cell>
          <cell r="C972" t="str">
            <v>Not Listed</v>
          </cell>
          <cell r="D972" t="str">
            <v>DANGEE</v>
          </cell>
          <cell r="E972" t="str">
            <v>SME</v>
          </cell>
        </row>
        <row r="973">
          <cell r="B973" t="str">
            <v>DANLAW TECHNOLOGIES (INDIA) LTD</v>
          </cell>
          <cell r="C973">
            <v>532329</v>
          </cell>
          <cell r="D973" t="str">
            <v>Not Listed</v>
          </cell>
          <cell r="E973" t="str">
            <v>IT Software Products</v>
          </cell>
        </row>
        <row r="974">
          <cell r="B974" t="str">
            <v>DANLAW TECHNOLOGIES INDIA LTD</v>
          </cell>
          <cell r="C974">
            <v>532329</v>
          </cell>
          <cell r="D974" t="str">
            <v>Not Listed</v>
          </cell>
          <cell r="E974" t="str">
            <v>IT Software Products</v>
          </cell>
        </row>
        <row r="975">
          <cell r="B975" t="str">
            <v>DANUBE INDUSTRIES LTD</v>
          </cell>
          <cell r="C975">
            <v>540361</v>
          </cell>
          <cell r="D975" t="str">
            <v>Not Listed</v>
          </cell>
          <cell r="E975" t="str">
            <v>Comm.Trading  &amp; Distribution</v>
          </cell>
        </row>
        <row r="976">
          <cell r="B976" t="str">
            <v>DARJEELING ROPEWAY COMPANY LTD</v>
          </cell>
          <cell r="C976">
            <v>539770</v>
          </cell>
          <cell r="D976" t="str">
            <v>Not Listed</v>
          </cell>
          <cell r="E976" t="str">
            <v>Other Financial Services</v>
          </cell>
        </row>
        <row r="977">
          <cell r="B977" t="str">
            <v>DARSHAN ORNA LTD</v>
          </cell>
          <cell r="C977">
            <v>539884</v>
          </cell>
          <cell r="D977" t="str">
            <v>Not Listed</v>
          </cell>
          <cell r="E977" t="str">
            <v>Other Apparels &amp; Accessories</v>
          </cell>
        </row>
        <row r="978">
          <cell r="B978" t="str">
            <v>DATAMATICS GLOBAL SERVICES LTD</v>
          </cell>
          <cell r="C978">
            <v>532528</v>
          </cell>
          <cell r="D978" t="str">
            <v>DATAMATICS</v>
          </cell>
          <cell r="E978" t="str">
            <v>IT Software Products</v>
          </cell>
        </row>
        <row r="979">
          <cell r="B979" t="str">
            <v>DAULAT SECURITIES LTD</v>
          </cell>
          <cell r="C979">
            <v>530171</v>
          </cell>
          <cell r="D979" t="str">
            <v>Not Listed</v>
          </cell>
          <cell r="E979" t="str">
            <v>Other Financial Services</v>
          </cell>
        </row>
        <row r="980">
          <cell r="B980" t="str">
            <v>DB INTERNATIONAL STOCK BROKERS LTD</v>
          </cell>
          <cell r="C980">
            <v>530393</v>
          </cell>
          <cell r="D980" t="str">
            <v>DBSTOCKBRO</v>
          </cell>
          <cell r="E980" t="str">
            <v>Other Financial Services</v>
          </cell>
        </row>
        <row r="981">
          <cell r="B981" t="str">
            <v>DCB BANK LTD</v>
          </cell>
          <cell r="C981">
            <v>532772</v>
          </cell>
          <cell r="D981" t="str">
            <v>DCBBANK</v>
          </cell>
          <cell r="E981" t="str">
            <v>Banks</v>
          </cell>
        </row>
        <row r="982">
          <cell r="B982" t="str">
            <v>DCM FINANCIAL SERVICES LTD</v>
          </cell>
          <cell r="C982">
            <v>511611</v>
          </cell>
          <cell r="D982" t="str">
            <v>DCMFINSERV</v>
          </cell>
          <cell r="E982" t="str">
            <v>Finance (including NBFCs)</v>
          </cell>
        </row>
        <row r="983">
          <cell r="B983" t="str">
            <v>DCM LTD</v>
          </cell>
          <cell r="C983">
            <v>502820</v>
          </cell>
          <cell r="D983" t="str">
            <v>DCM</v>
          </cell>
          <cell r="E983" t="str">
            <v>Textiles</v>
          </cell>
        </row>
        <row r="984">
          <cell r="B984" t="str">
            <v>DCM SHRIRAM INDUSTRIES LTD</v>
          </cell>
          <cell r="C984">
            <v>523369</v>
          </cell>
          <cell r="D984" t="str">
            <v>Not Listed</v>
          </cell>
          <cell r="E984" t="str">
            <v>Sugar</v>
          </cell>
        </row>
        <row r="985">
          <cell r="B985" t="str">
            <v>DCM SHRIRAM LTD</v>
          </cell>
          <cell r="C985">
            <v>523367</v>
          </cell>
          <cell r="D985" t="str">
            <v>DCMSHRIRAM</v>
          </cell>
          <cell r="E985" t="str">
            <v>Diversified</v>
          </cell>
        </row>
        <row r="986">
          <cell r="B986" t="str">
            <v>DCW LTD</v>
          </cell>
          <cell r="C986">
            <v>500117</v>
          </cell>
          <cell r="D986" t="str">
            <v>DCW</v>
          </cell>
          <cell r="E986" t="str">
            <v>Petrochemicals</v>
          </cell>
        </row>
        <row r="987">
          <cell r="B987" t="str">
            <v>DE NORA (INDIA) LTD</v>
          </cell>
          <cell r="C987">
            <v>590031</v>
          </cell>
          <cell r="D987" t="str">
            <v>DENORA</v>
          </cell>
          <cell r="E987" t="str">
            <v>Other Industrial Goods</v>
          </cell>
        </row>
        <row r="988">
          <cell r="B988" t="str">
            <v>DE NORA INDIA LTD</v>
          </cell>
          <cell r="C988">
            <v>590031</v>
          </cell>
          <cell r="D988" t="str">
            <v>DENORA</v>
          </cell>
          <cell r="E988" t="str">
            <v>Other Industrial Goods</v>
          </cell>
        </row>
        <row r="989">
          <cell r="B989" t="str">
            <v>DEBOCK SALES AND MARKETING LTD</v>
          </cell>
          <cell r="C989" t="str">
            <v>Not Listed</v>
          </cell>
          <cell r="D989" t="str">
            <v>DSML</v>
          </cell>
          <cell r="E989" t="str">
            <v>SME</v>
          </cell>
        </row>
        <row r="990">
          <cell r="B990" t="str">
            <v>DECCAN BEARINGS LTD</v>
          </cell>
          <cell r="C990">
            <v>505703</v>
          </cell>
          <cell r="D990" t="str">
            <v>Not Listed</v>
          </cell>
          <cell r="E990" t="str">
            <v>Industrial Machinery</v>
          </cell>
        </row>
        <row r="991">
          <cell r="B991" t="str">
            <v>DECCAN CEMENTS LTD</v>
          </cell>
          <cell r="C991">
            <v>502137</v>
          </cell>
          <cell r="D991" t="str">
            <v>DECCANCE</v>
          </cell>
          <cell r="E991" t="str">
            <v>Cement &amp; Cement Products</v>
          </cell>
        </row>
        <row r="992">
          <cell r="B992" t="str">
            <v>DECCAN GOLD MINES LTD</v>
          </cell>
          <cell r="C992">
            <v>512068</v>
          </cell>
          <cell r="D992" t="str">
            <v>Not Listed</v>
          </cell>
          <cell r="E992" t="str">
            <v>Mining</v>
          </cell>
        </row>
        <row r="993">
          <cell r="B993" t="str">
            <v>Deccan Health Care Ltd</v>
          </cell>
          <cell r="C993">
            <v>542248</v>
          </cell>
          <cell r="D993" t="str">
            <v>DECCAN</v>
          </cell>
          <cell r="E993" t="str">
            <v>Healthcare Services</v>
          </cell>
        </row>
        <row r="994">
          <cell r="B994" t="str">
            <v>DECCAN POLYPACKS LTD</v>
          </cell>
          <cell r="C994">
            <v>531989</v>
          </cell>
          <cell r="D994" t="str">
            <v>Not Listed</v>
          </cell>
          <cell r="E994" t="str">
            <v>Containers &amp; Packaging</v>
          </cell>
        </row>
        <row r="995">
          <cell r="B995" t="str">
            <v>DECILLION FINANCE LTD</v>
          </cell>
          <cell r="C995">
            <v>539190</v>
          </cell>
          <cell r="D995" t="str">
            <v>Not Listed</v>
          </cell>
          <cell r="E995" t="str">
            <v>Finance (including NBFCs)</v>
          </cell>
        </row>
        <row r="996">
          <cell r="B996" t="str">
            <v>DECO-MICA LTD</v>
          </cell>
          <cell r="C996">
            <v>531227</v>
          </cell>
          <cell r="D996" t="str">
            <v>Not Listed</v>
          </cell>
          <cell r="E996" t="str">
            <v>Commodity Chemicals</v>
          </cell>
        </row>
        <row r="997">
          <cell r="B997" t="str">
            <v>DECOROUS INVESTMENT &amp; TRADING CO LTD</v>
          </cell>
          <cell r="C997">
            <v>539405</v>
          </cell>
          <cell r="D997" t="str">
            <v>Not Listed</v>
          </cell>
          <cell r="E997" t="str">
            <v>Other Apparels &amp; Accessories</v>
          </cell>
        </row>
        <row r="998">
          <cell r="B998" t="str">
            <v>DEEP DIAMOND (INDIA) LTD</v>
          </cell>
          <cell r="C998">
            <v>539559</v>
          </cell>
          <cell r="D998" t="str">
            <v>Not Listed</v>
          </cell>
          <cell r="E998" t="str">
            <v>Other Apparels &amp; Accessories</v>
          </cell>
        </row>
        <row r="999">
          <cell r="B999" t="str">
            <v>DEEP DIAMOND INDIA LTD</v>
          </cell>
          <cell r="C999">
            <v>539559</v>
          </cell>
          <cell r="D999" t="str">
            <v>Not Listed</v>
          </cell>
          <cell r="E999" t="str">
            <v>Other Apparels &amp; Accessories</v>
          </cell>
        </row>
        <row r="1000">
          <cell r="B1000" t="str">
            <v>DEEP INDUSTRIES LTD</v>
          </cell>
          <cell r="C1000">
            <v>532760</v>
          </cell>
          <cell r="D1000" t="str">
            <v>DEEPIND</v>
          </cell>
          <cell r="E1000" t="str">
            <v>Integrated Oil &amp; Gas</v>
          </cell>
        </row>
        <row r="1001">
          <cell r="B1001" t="str">
            <v>DEEP POLYMERS LTD</v>
          </cell>
          <cell r="C1001">
            <v>541778</v>
          </cell>
          <cell r="D1001" t="str">
            <v>Not Listed</v>
          </cell>
          <cell r="E1001" t="str">
            <v>Specialty Chemicals</v>
          </cell>
        </row>
        <row r="1002">
          <cell r="B1002" t="str">
            <v>DEEPAK FERTILIZERS AND PETROCHEMICALS CORPORATION LTD</v>
          </cell>
          <cell r="C1002">
            <v>500645</v>
          </cell>
          <cell r="D1002" t="str">
            <v>DEEPAKFERT</v>
          </cell>
          <cell r="E1002" t="str">
            <v>Commodity Chemicals</v>
          </cell>
        </row>
        <row r="1003">
          <cell r="B1003" t="str">
            <v>DEEPAK NITRITE LTD</v>
          </cell>
          <cell r="C1003">
            <v>506401</v>
          </cell>
          <cell r="D1003" t="str">
            <v>DEEPAKNTR</v>
          </cell>
          <cell r="E1003" t="str">
            <v>Commodity Chemicals</v>
          </cell>
        </row>
        <row r="1004">
          <cell r="B1004" t="str">
            <v>DEEPAK SPINNERS LTD</v>
          </cell>
          <cell r="C1004">
            <v>514030</v>
          </cell>
          <cell r="D1004" t="str">
            <v>Not Listed</v>
          </cell>
          <cell r="E1004" t="str">
            <v>Textiles</v>
          </cell>
        </row>
        <row r="1005">
          <cell r="B1005" t="str">
            <v>DEEPTI ALLOY STEEL LTD</v>
          </cell>
          <cell r="C1005">
            <v>539455</v>
          </cell>
          <cell r="D1005" t="str">
            <v>Not Listed</v>
          </cell>
          <cell r="E1005" t="str">
            <v>Iron &amp; Steel/Interm.Products</v>
          </cell>
        </row>
        <row r="1006">
          <cell r="B1006" t="str">
            <v>DEKSON CASTINGS LTD</v>
          </cell>
          <cell r="C1006">
            <v>780006</v>
          </cell>
          <cell r="D1006" t="str">
            <v>Not Listed</v>
          </cell>
          <cell r="E1006" t="str">
            <v>Others</v>
          </cell>
        </row>
        <row r="1007">
          <cell r="B1007" t="str">
            <v>DELTA CORP LTD</v>
          </cell>
          <cell r="C1007">
            <v>532848</v>
          </cell>
          <cell r="D1007" t="str">
            <v>DELTACORP</v>
          </cell>
          <cell r="E1007" t="str">
            <v>Misc.Commercial Services</v>
          </cell>
        </row>
        <row r="1008">
          <cell r="B1008" t="str">
            <v>DELTA INDUSTRIAL RESOURCES LTD</v>
          </cell>
          <cell r="C1008">
            <v>539596</v>
          </cell>
          <cell r="D1008" t="str">
            <v>Not Listed</v>
          </cell>
          <cell r="E1008" t="str">
            <v>Other Financial Services</v>
          </cell>
        </row>
        <row r="1009">
          <cell r="B1009" t="str">
            <v>DELTA MAGNETS LTD</v>
          </cell>
          <cell r="C1009">
            <v>504286</v>
          </cell>
          <cell r="D1009" t="str">
            <v>DELTAMAGNT</v>
          </cell>
          <cell r="E1009" t="str">
            <v>Other Elect.Equip./ Prod.</v>
          </cell>
        </row>
        <row r="1010">
          <cell r="B1010" t="str">
            <v>DELTON CABLES LTD</v>
          </cell>
          <cell r="C1010">
            <v>504240</v>
          </cell>
          <cell r="D1010" t="str">
            <v>Not Listed</v>
          </cell>
          <cell r="E1010" t="str">
            <v>Other Elect.Equip./ Prod.</v>
          </cell>
        </row>
        <row r="1011">
          <cell r="B1011" t="str">
            <v>DELTRON LTD</v>
          </cell>
          <cell r="C1011">
            <v>504256</v>
          </cell>
          <cell r="D1011" t="str">
            <v>Not Listed</v>
          </cell>
          <cell r="E1011" t="str">
            <v>Electronic Components</v>
          </cell>
        </row>
        <row r="1012">
          <cell r="B1012" t="str">
            <v>DEN NETWORKS LTD</v>
          </cell>
          <cell r="C1012">
            <v>533137</v>
          </cell>
          <cell r="D1012" t="str">
            <v>DEN</v>
          </cell>
          <cell r="E1012" t="str">
            <v>Broadcasting &amp; Cable TV</v>
          </cell>
        </row>
        <row r="1013">
          <cell r="B1013" t="str">
            <v>DENA BANK</v>
          </cell>
          <cell r="C1013">
            <v>532121</v>
          </cell>
          <cell r="D1013" t="str">
            <v>DENABANK</v>
          </cell>
          <cell r="E1013" t="str">
            <v>Banks</v>
          </cell>
        </row>
        <row r="1014">
          <cell r="B1014" t="str">
            <v>DENIS CHEM LAB LTD</v>
          </cell>
          <cell r="C1014">
            <v>537536</v>
          </cell>
          <cell r="D1014" t="str">
            <v>Not Listed</v>
          </cell>
          <cell r="E1014" t="str">
            <v>Pharmaceuticals</v>
          </cell>
        </row>
        <row r="1015">
          <cell r="B1015" t="str">
            <v>DESH RAKSHAK AUSHDHALAYA LTD</v>
          </cell>
          <cell r="C1015">
            <v>531521</v>
          </cell>
          <cell r="D1015" t="str">
            <v>Not Listed</v>
          </cell>
          <cell r="E1015" t="str">
            <v>Pharmaceuticals</v>
          </cell>
        </row>
        <row r="1016">
          <cell r="B1016" t="str">
            <v>DEV INFORMATION TECHNOLOGY LTD</v>
          </cell>
          <cell r="C1016" t="str">
            <v>Not Listed</v>
          </cell>
          <cell r="D1016" t="str">
            <v>DEVIT</v>
          </cell>
          <cell r="E1016" t="str">
            <v>SME</v>
          </cell>
        </row>
        <row r="1017">
          <cell r="B1017" t="str">
            <v>DEVHARI EXPORTS (INDIA) LTD</v>
          </cell>
          <cell r="C1017">
            <v>539197</v>
          </cell>
          <cell r="D1017" t="str">
            <v>Not Listed</v>
          </cell>
          <cell r="E1017" t="str">
            <v>Comm.Trading  &amp; Distribution</v>
          </cell>
        </row>
        <row r="1018">
          <cell r="B1018" t="str">
            <v>DEVHARI EXPORTS INDIA LTD</v>
          </cell>
          <cell r="C1018">
            <v>539197</v>
          </cell>
          <cell r="D1018" t="str">
            <v>Not Listed</v>
          </cell>
          <cell r="E1018" t="str">
            <v>Comm.Trading  &amp; Distribution</v>
          </cell>
        </row>
        <row r="1019">
          <cell r="B1019" t="str">
            <v>DEVINE IMPEX LTD</v>
          </cell>
          <cell r="C1019">
            <v>531585</v>
          </cell>
          <cell r="D1019" t="str">
            <v>Not Listed</v>
          </cell>
          <cell r="E1019" t="str">
            <v>Comm.Trading  &amp; Distribution</v>
          </cell>
        </row>
        <row r="1020">
          <cell r="B1020" t="str">
            <v>DEVINSU TRADING LTD</v>
          </cell>
          <cell r="C1020">
            <v>512445</v>
          </cell>
          <cell r="D1020" t="str">
            <v>Not Listed</v>
          </cell>
          <cell r="E1020" t="str">
            <v>Other Financial Services</v>
          </cell>
        </row>
        <row r="1021">
          <cell r="B1021" t="str">
            <v>DEVKI LEASING &amp; FINANCE LTD</v>
          </cell>
          <cell r="C1021">
            <v>530765</v>
          </cell>
          <cell r="D1021" t="str">
            <v>Not Listed</v>
          </cell>
          <cell r="E1021" t="str">
            <v>Finance (including NBFCs)</v>
          </cell>
        </row>
        <row r="1022">
          <cell r="B1022" t="str">
            <v>DEVOTED CONSTRUCTION LTD</v>
          </cell>
          <cell r="C1022">
            <v>542002</v>
          </cell>
          <cell r="D1022" t="str">
            <v>Not Listed</v>
          </cell>
          <cell r="E1022" t="str">
            <v>Realty</v>
          </cell>
        </row>
        <row r="1023">
          <cell r="B1023" t="str">
            <v>DEWAN HOUSING FINANCE CORPORATION LTD</v>
          </cell>
          <cell r="C1023">
            <v>511072</v>
          </cell>
          <cell r="D1023" t="str">
            <v>DHFL</v>
          </cell>
          <cell r="E1023" t="str">
            <v xml:space="preserve">Housing Finance </v>
          </cell>
        </row>
        <row r="1024">
          <cell r="B1024" t="str">
            <v>DFM FOODS LTD</v>
          </cell>
          <cell r="C1024">
            <v>519588</v>
          </cell>
          <cell r="D1024" t="str">
            <v>DFMFOODS</v>
          </cell>
          <cell r="E1024" t="str">
            <v>Packaged Foods</v>
          </cell>
        </row>
        <row r="1025">
          <cell r="B1025" t="str">
            <v>DHABRIYA POLYWOOD LTD</v>
          </cell>
          <cell r="C1025">
            <v>538715</v>
          </cell>
          <cell r="D1025" t="str">
            <v>Not Listed</v>
          </cell>
          <cell r="E1025" t="str">
            <v>Plastic Products</v>
          </cell>
        </row>
        <row r="1026">
          <cell r="B1026" t="str">
            <v>DHAMPUR SUGAR MILLS LTD</v>
          </cell>
          <cell r="C1026">
            <v>500119</v>
          </cell>
          <cell r="D1026" t="str">
            <v>DHAMPURSUG</v>
          </cell>
          <cell r="E1026" t="str">
            <v>Sugar</v>
          </cell>
        </row>
        <row r="1027">
          <cell r="B1027" t="str">
            <v>DHAMPURE SPECIALITY SUGARS LTD</v>
          </cell>
          <cell r="C1027">
            <v>531923</v>
          </cell>
          <cell r="D1027" t="str">
            <v>Not Listed</v>
          </cell>
          <cell r="E1027" t="str">
            <v>Sugar</v>
          </cell>
        </row>
        <row r="1028">
          <cell r="B1028" t="str">
            <v>DHANADA CORPORATION LTD</v>
          </cell>
          <cell r="C1028">
            <v>531198</v>
          </cell>
          <cell r="D1028" t="str">
            <v>Not Listed</v>
          </cell>
          <cell r="E1028" t="str">
            <v>Hotels</v>
          </cell>
        </row>
        <row r="1029">
          <cell r="B1029" t="str">
            <v>DHANALAXMI ROTO SPINNERS LTD</v>
          </cell>
          <cell r="C1029">
            <v>521216</v>
          </cell>
          <cell r="D1029" t="str">
            <v>Not Listed</v>
          </cell>
          <cell r="E1029" t="str">
            <v>Textiles</v>
          </cell>
        </row>
        <row r="1030">
          <cell r="B1030" t="str">
            <v>Dhanashree Electronics Ltd</v>
          </cell>
          <cell r="C1030">
            <v>542679</v>
          </cell>
          <cell r="D1030" t="str">
            <v>DEL</v>
          </cell>
          <cell r="E1030" t="str">
            <v>Other Elect.Equip./ Prod.</v>
          </cell>
        </row>
        <row r="1031">
          <cell r="B1031" t="str">
            <v>DHANLAXMI BANK LTD</v>
          </cell>
          <cell r="C1031">
            <v>532180</v>
          </cell>
          <cell r="D1031" t="str">
            <v>DHANBANK</v>
          </cell>
          <cell r="E1031" t="str">
            <v>Banks</v>
          </cell>
        </row>
        <row r="1032">
          <cell r="B1032" t="str">
            <v>DHANLAXMI COTEX LTD</v>
          </cell>
          <cell r="C1032">
            <v>512485</v>
          </cell>
          <cell r="D1032" t="str">
            <v>Not Listed</v>
          </cell>
          <cell r="E1032" t="str">
            <v>Comm.Trading  &amp; Distribution</v>
          </cell>
        </row>
        <row r="1033">
          <cell r="B1033" t="str">
            <v>DHANLAXMI FABRICS LTD</v>
          </cell>
          <cell r="C1033">
            <v>521151</v>
          </cell>
          <cell r="D1033" t="str">
            <v>Not Listed</v>
          </cell>
          <cell r="E1033" t="str">
            <v>Textiles</v>
          </cell>
        </row>
        <row r="1034">
          <cell r="B1034" t="str">
            <v>DHANLEELA INVESTMENTS &amp; TRADING COMPANY LTD</v>
          </cell>
          <cell r="C1034">
            <v>503637</v>
          </cell>
          <cell r="D1034" t="str">
            <v>Not Listed</v>
          </cell>
          <cell r="E1034" t="str">
            <v>Other Financial Services</v>
          </cell>
        </row>
        <row r="1035">
          <cell r="B1035" t="str">
            <v>DHANUKA AGRITECH LTD</v>
          </cell>
          <cell r="C1035">
            <v>507717</v>
          </cell>
          <cell r="D1035" t="str">
            <v>DHANUKA</v>
          </cell>
          <cell r="E1035" t="str">
            <v>Agrochemicals</v>
          </cell>
        </row>
        <row r="1036">
          <cell r="B1036" t="str">
            <v>DHANUKA COMMERCIAL LTD</v>
          </cell>
          <cell r="C1036">
            <v>538446</v>
          </cell>
          <cell r="D1036" t="str">
            <v>Not Listed</v>
          </cell>
          <cell r="E1036" t="str">
            <v>Other Financial Services</v>
          </cell>
        </row>
        <row r="1037">
          <cell r="B1037" t="str">
            <v>DHANUKA REALTY LTD</v>
          </cell>
          <cell r="C1037" t="str">
            <v>Not Listed</v>
          </cell>
          <cell r="D1037" t="str">
            <v>DRL</v>
          </cell>
          <cell r="E1037" t="str">
            <v>SME</v>
          </cell>
        </row>
        <row r="1038">
          <cell r="B1038" t="str">
            <v>DHANVANTRI JEEVAN REKHA LTD</v>
          </cell>
          <cell r="C1038">
            <v>531043</v>
          </cell>
          <cell r="D1038" t="str">
            <v>Not Listed</v>
          </cell>
          <cell r="E1038" t="str">
            <v>Healthcare Services</v>
          </cell>
        </row>
        <row r="1039">
          <cell r="B1039" t="str">
            <v>DHANVARSHA FINVEST LTD</v>
          </cell>
          <cell r="C1039">
            <v>540268</v>
          </cell>
          <cell r="D1039" t="str">
            <v>Not Listed</v>
          </cell>
          <cell r="E1039" t="str">
            <v>Other Financial Services</v>
          </cell>
        </row>
        <row r="1040">
          <cell r="B1040" t="str">
            <v>DHARAMSI MORARJI CHEMICAL CO LTD</v>
          </cell>
          <cell r="C1040">
            <v>506405</v>
          </cell>
          <cell r="D1040" t="str">
            <v>Not Listed</v>
          </cell>
          <cell r="E1040" t="str">
            <v>Specialty Chemicals</v>
          </cell>
        </row>
        <row r="1041">
          <cell r="B1041" t="str">
            <v>DHARANI FINANCE LTD</v>
          </cell>
          <cell r="C1041">
            <v>511451</v>
          </cell>
          <cell r="D1041" t="str">
            <v>Not Listed</v>
          </cell>
          <cell r="E1041" t="str">
            <v>Finance (including NBFCs)</v>
          </cell>
        </row>
        <row r="1042">
          <cell r="B1042" t="str">
            <v>DHARANI SUGARS &amp; CHEMICALS LTD</v>
          </cell>
          <cell r="C1042">
            <v>507442</v>
          </cell>
          <cell r="D1042" t="str">
            <v>DHARSUGAR</v>
          </cell>
          <cell r="E1042" t="str">
            <v>Sugar</v>
          </cell>
        </row>
        <row r="1043">
          <cell r="B1043" t="str">
            <v>DHENU BUILDCON INFRA LTD</v>
          </cell>
          <cell r="C1043">
            <v>501945</v>
          </cell>
          <cell r="D1043" t="str">
            <v>Not Listed</v>
          </cell>
          <cell r="E1043" t="str">
            <v>Finance (including NBFCs)</v>
          </cell>
        </row>
        <row r="1044">
          <cell r="B1044" t="str">
            <v>DHOOT INDUSTRIAL FINANCE LTD</v>
          </cell>
          <cell r="C1044">
            <v>526971</v>
          </cell>
          <cell r="D1044" t="str">
            <v>Not Listed</v>
          </cell>
          <cell r="E1044" t="str">
            <v>Comm.Trading  &amp; Distribution</v>
          </cell>
        </row>
        <row r="1045">
          <cell r="B1045" t="str">
            <v>DHP (INDIA) LTD</v>
          </cell>
          <cell r="C1045">
            <v>531306</v>
          </cell>
          <cell r="D1045" t="str">
            <v>Not Listed</v>
          </cell>
          <cell r="E1045" t="str">
            <v>Industrial Machinery</v>
          </cell>
        </row>
        <row r="1046">
          <cell r="B1046" t="str">
            <v>DHP INDIA LTD</v>
          </cell>
          <cell r="C1046">
            <v>531306</v>
          </cell>
          <cell r="D1046" t="str">
            <v>Not Listed</v>
          </cell>
          <cell r="E1046" t="str">
            <v>Industrial Machinery</v>
          </cell>
        </row>
        <row r="1047">
          <cell r="B1047" t="str">
            <v>DHRUV CONSULTANCY SERVICES LTD</v>
          </cell>
          <cell r="C1047">
            <v>541302</v>
          </cell>
          <cell r="D1047" t="str">
            <v>Not Listed</v>
          </cell>
          <cell r="E1047" t="str">
            <v>Construction &amp; Engineering</v>
          </cell>
        </row>
        <row r="1048">
          <cell r="B1048" t="str">
            <v>DHRUV ESTATES LTD</v>
          </cell>
          <cell r="C1048">
            <v>507886</v>
          </cell>
          <cell r="D1048" t="str">
            <v>Not Listed</v>
          </cell>
          <cell r="E1048" t="str">
            <v>Realty</v>
          </cell>
        </row>
        <row r="1049">
          <cell r="B1049" t="str">
            <v>DHRUV WELLNESS LTD</v>
          </cell>
          <cell r="C1049">
            <v>540695</v>
          </cell>
          <cell r="D1049" t="str">
            <v>Not Listed</v>
          </cell>
          <cell r="E1049" t="str">
            <v>Comm.Trading  &amp; Distribution</v>
          </cell>
        </row>
        <row r="1050">
          <cell r="B1050" t="str">
            <v>DHRUVA CAPITAL SERVICES LTD</v>
          </cell>
          <cell r="C1050">
            <v>531237</v>
          </cell>
          <cell r="D1050" t="str">
            <v>Not Listed</v>
          </cell>
          <cell r="E1050" t="str">
            <v>Finance (including NBFCs)</v>
          </cell>
        </row>
        <row r="1051">
          <cell r="B1051" t="str">
            <v>DHUNSERI INVESTMENTS LTD</v>
          </cell>
          <cell r="C1051">
            <v>533336</v>
          </cell>
          <cell r="D1051" t="str">
            <v>DHUNINV</v>
          </cell>
          <cell r="E1051" t="str">
            <v>Investment Companies</v>
          </cell>
        </row>
        <row r="1052">
          <cell r="B1052" t="str">
            <v>DHUNSERI PETROCHEM LTD</v>
          </cell>
          <cell r="C1052">
            <v>523736</v>
          </cell>
          <cell r="D1052" t="str">
            <v>DPL</v>
          </cell>
          <cell r="E1052" t="str">
            <v>Fibres &amp; Plastics</v>
          </cell>
        </row>
        <row r="1053">
          <cell r="B1053" t="str">
            <v>DHUNSERI TEA &amp; INDUSTRIES LTD</v>
          </cell>
          <cell r="C1053">
            <v>538902</v>
          </cell>
          <cell r="D1053" t="str">
            <v>DTIL</v>
          </cell>
          <cell r="E1053" t="str">
            <v>Tea &amp; Coffee</v>
          </cell>
        </row>
        <row r="1054">
          <cell r="B1054" t="str">
            <v>Dhunseri Ventures LTD</v>
          </cell>
          <cell r="C1054" t="str">
            <v>Not Listed</v>
          </cell>
          <cell r="D1054" t="str">
            <v>DVL</v>
          </cell>
          <cell r="E1054" t="str">
            <v>Tea &amp; Coffee</v>
          </cell>
        </row>
        <row r="1055">
          <cell r="B1055" t="str">
            <v>DIAMANT INFRASTRUCTURE LTD</v>
          </cell>
          <cell r="C1055">
            <v>508860</v>
          </cell>
          <cell r="D1055" t="str">
            <v>Not Listed</v>
          </cell>
          <cell r="E1055" t="str">
            <v>Construction &amp; Engineering</v>
          </cell>
        </row>
        <row r="1056">
          <cell r="B1056" t="str">
            <v>DIAMINES &amp; CHEMICALS LTD</v>
          </cell>
          <cell r="C1056">
            <v>500120</v>
          </cell>
          <cell r="D1056" t="str">
            <v>Not Listed</v>
          </cell>
          <cell r="E1056" t="str">
            <v>Commodity Chemicals</v>
          </cell>
        </row>
        <row r="1057">
          <cell r="B1057" t="str">
            <v>DIAMOND POWER INFRA LTD</v>
          </cell>
          <cell r="C1057">
            <v>522163</v>
          </cell>
          <cell r="D1057" t="str">
            <v>DIAPOWER</v>
          </cell>
          <cell r="E1057" t="str">
            <v>Other Elect.Equip./ Prod.</v>
          </cell>
        </row>
        <row r="1058">
          <cell r="B1058" t="str">
            <v>DIANA TEA CO LTD</v>
          </cell>
          <cell r="C1058">
            <v>530959</v>
          </cell>
          <cell r="D1058" t="str">
            <v>Not Listed</v>
          </cell>
          <cell r="E1058" t="str">
            <v>Tea &amp; Coffee</v>
          </cell>
        </row>
        <row r="1059">
          <cell r="B1059" t="str">
            <v>DIC (INDIA) LTD</v>
          </cell>
          <cell r="C1059">
            <v>500089</v>
          </cell>
          <cell r="D1059" t="str">
            <v>DICIND</v>
          </cell>
          <cell r="E1059" t="str">
            <v>Specialty Chemicals</v>
          </cell>
        </row>
        <row r="1060">
          <cell r="B1060" t="str">
            <v>DIC INDIA LTD</v>
          </cell>
          <cell r="C1060">
            <v>500089</v>
          </cell>
          <cell r="D1060" t="str">
            <v>DICIND</v>
          </cell>
          <cell r="E1060" t="str">
            <v>Specialty Chemicals</v>
          </cell>
        </row>
        <row r="1061">
          <cell r="B1061" t="str">
            <v>DIGGI MULTITRADE LTD</v>
          </cell>
          <cell r="C1061">
            <v>540811</v>
          </cell>
          <cell r="D1061" t="str">
            <v>Not Listed</v>
          </cell>
          <cell r="E1061" t="str">
            <v>Comm.Trading  &amp; Distribution</v>
          </cell>
        </row>
        <row r="1062">
          <cell r="B1062" t="str">
            <v>Digicontent Ltd</v>
          </cell>
          <cell r="C1062">
            <v>542685</v>
          </cell>
          <cell r="D1062" t="str">
            <v>DGCONTENT</v>
          </cell>
          <cell r="E1062" t="str">
            <v>Publishing</v>
          </cell>
        </row>
        <row r="1063">
          <cell r="B1063" t="str">
            <v>DIGJAM LTD</v>
          </cell>
          <cell r="C1063">
            <v>539979</v>
          </cell>
          <cell r="D1063" t="str">
            <v>DIGJAMLTD</v>
          </cell>
          <cell r="E1063" t="str">
            <v>Textiles</v>
          </cell>
        </row>
        <row r="1064">
          <cell r="B1064" t="str">
            <v>DIKSAT TRANSWORLD LTD</v>
          </cell>
          <cell r="C1064">
            <v>540151</v>
          </cell>
          <cell r="D1064" t="str">
            <v>Not Listed</v>
          </cell>
          <cell r="E1064" t="str">
            <v>Movies &amp; Entertainment</v>
          </cell>
        </row>
        <row r="1065">
          <cell r="B1065" t="str">
            <v>Diksha Greens Ltd</v>
          </cell>
          <cell r="C1065">
            <v>542155</v>
          </cell>
          <cell r="D1065" t="str">
            <v>DGL</v>
          </cell>
          <cell r="E1065" t="str">
            <v>Comm.Trading  &amp;amp; Distribution</v>
          </cell>
        </row>
        <row r="1066">
          <cell r="B1066" t="str">
            <v>DIL LTD</v>
          </cell>
          <cell r="C1066">
            <v>506414</v>
          </cell>
          <cell r="D1066" t="str">
            <v>Not Listed</v>
          </cell>
          <cell r="E1066" t="str">
            <v>Pharmaceuticals</v>
          </cell>
        </row>
        <row r="1067">
          <cell r="B1067" t="str">
            <v>DILIGENT INDUSTRIES LTD</v>
          </cell>
          <cell r="C1067">
            <v>531153</v>
          </cell>
          <cell r="D1067" t="str">
            <v>Not Listed</v>
          </cell>
          <cell r="E1067" t="str">
            <v>Edible Oils</v>
          </cell>
        </row>
        <row r="1068">
          <cell r="B1068" t="str">
            <v>DILIGENT MEDIA CORPORATION LTD</v>
          </cell>
          <cell r="C1068">
            <v>540789</v>
          </cell>
          <cell r="D1068" t="str">
            <v>DNAMEDIA</v>
          </cell>
          <cell r="E1068" t="str">
            <v>Advertising &amp; Media</v>
          </cell>
        </row>
        <row r="1069">
          <cell r="B1069" t="str">
            <v>DILIP BUILDCON LTD</v>
          </cell>
          <cell r="C1069">
            <v>540047</v>
          </cell>
          <cell r="D1069" t="str">
            <v>DBL</v>
          </cell>
          <cell r="E1069" t="str">
            <v>Roads &amp; Highways</v>
          </cell>
        </row>
        <row r="1070">
          <cell r="B1070" t="str">
            <v>DION GLOBAL SOLUTIONS LTD</v>
          </cell>
          <cell r="C1070">
            <v>526927</v>
          </cell>
          <cell r="D1070" t="str">
            <v>Not Listed</v>
          </cell>
          <cell r="E1070" t="str">
            <v>IT Software Products</v>
          </cell>
        </row>
        <row r="1071">
          <cell r="B1071" t="str">
            <v>DISA (INDIA) LTD</v>
          </cell>
          <cell r="C1071">
            <v>500068</v>
          </cell>
          <cell r="D1071" t="str">
            <v>Not Listed</v>
          </cell>
          <cell r="E1071" t="str">
            <v>Industrial Machinery</v>
          </cell>
        </row>
        <row r="1072">
          <cell r="B1072" t="str">
            <v>DISA INDIA LTD</v>
          </cell>
          <cell r="C1072">
            <v>500068</v>
          </cell>
          <cell r="D1072" t="str">
            <v>Not Listed</v>
          </cell>
          <cell r="E1072" t="str">
            <v>Industrial Machinery</v>
          </cell>
        </row>
        <row r="1073">
          <cell r="B1073" t="str">
            <v>DISH TV (INDIA) LTD</v>
          </cell>
          <cell r="C1073">
            <v>532839</v>
          </cell>
          <cell r="D1073" t="str">
            <v>DISHTV</v>
          </cell>
          <cell r="E1073" t="str">
            <v>Broadcasting &amp; Cable TV</v>
          </cell>
        </row>
        <row r="1074">
          <cell r="B1074" t="str">
            <v>DISH TV INDIA LTD</v>
          </cell>
          <cell r="C1074">
            <v>532839</v>
          </cell>
          <cell r="D1074" t="str">
            <v>DISHTV</v>
          </cell>
          <cell r="E1074" t="str">
            <v>Broadcasting &amp; Cable TV</v>
          </cell>
        </row>
        <row r="1075">
          <cell r="B1075" t="str">
            <v>DISHA RESOURCES LTD</v>
          </cell>
          <cell r="C1075">
            <v>531553</v>
          </cell>
          <cell r="D1075" t="str">
            <v>Not Listed</v>
          </cell>
          <cell r="E1075" t="str">
            <v>Misc.Commercial Services</v>
          </cell>
        </row>
        <row r="1076">
          <cell r="B1076" t="str">
            <v>DISHMAN CARBOGEN AMCIS LTD</v>
          </cell>
          <cell r="C1076">
            <v>540701</v>
          </cell>
          <cell r="D1076" t="str">
            <v>DCAL</v>
          </cell>
          <cell r="E1076" t="str">
            <v>Pharmaceuticals</v>
          </cell>
        </row>
        <row r="1077">
          <cell r="B1077" t="str">
            <v>DIVINUS FABRICS LTD</v>
          </cell>
          <cell r="C1077">
            <v>538432</v>
          </cell>
          <cell r="D1077" t="str">
            <v>Not Listed</v>
          </cell>
          <cell r="E1077" t="str">
            <v>Comm.Trading  &amp; Distribution</v>
          </cell>
        </row>
        <row r="1078">
          <cell r="B1078" t="str">
            <v>DIVI'S LABORATORIES LTD</v>
          </cell>
          <cell r="C1078">
            <v>532488</v>
          </cell>
          <cell r="D1078" t="str">
            <v>DIVISLAB</v>
          </cell>
          <cell r="E1078" t="str">
            <v>Pharmaceuticals</v>
          </cell>
        </row>
        <row r="1079">
          <cell r="B1079" t="str">
            <v>DIVYA JYOTI INDUSTRIES LTD</v>
          </cell>
          <cell r="C1079">
            <v>526285</v>
          </cell>
          <cell r="D1079" t="str">
            <v>Not Listed</v>
          </cell>
          <cell r="E1079" t="str">
            <v>Edible Oils</v>
          </cell>
        </row>
        <row r="1080">
          <cell r="B1080" t="str">
            <v>DIVYASHAKTI GRANITES LTD</v>
          </cell>
          <cell r="C1080">
            <v>526315</v>
          </cell>
          <cell r="D1080" t="str">
            <v>Not Listed</v>
          </cell>
          <cell r="E1080" t="str">
            <v>Construction Materials</v>
          </cell>
        </row>
        <row r="1081">
          <cell r="B1081" t="str">
            <v>DIXON TECHNOLOGIES (INDIA) LTD</v>
          </cell>
          <cell r="C1081">
            <v>540699</v>
          </cell>
          <cell r="D1081" t="str">
            <v>DIXON</v>
          </cell>
          <cell r="E1081" t="str">
            <v>Consumer Electronics</v>
          </cell>
        </row>
        <row r="1082">
          <cell r="B1082" t="str">
            <v>DIXON TECHNOLOGIES INDIA LTD</v>
          </cell>
          <cell r="C1082">
            <v>540699</v>
          </cell>
          <cell r="D1082" t="str">
            <v>DIXON</v>
          </cell>
          <cell r="E1082" t="str">
            <v>Consumer Electronics</v>
          </cell>
        </row>
        <row r="1083">
          <cell r="B1083" t="str">
            <v>DLF LTD</v>
          </cell>
          <cell r="C1083">
            <v>532868</v>
          </cell>
          <cell r="D1083" t="str">
            <v>DLF</v>
          </cell>
          <cell r="E1083" t="str">
            <v>Realty</v>
          </cell>
        </row>
        <row r="1084">
          <cell r="B1084" t="str">
            <v>D-LINK (INDIA) LTD</v>
          </cell>
          <cell r="C1084">
            <v>533146</v>
          </cell>
          <cell r="D1084" t="str">
            <v>DLINK(INDIA)</v>
          </cell>
          <cell r="E1084" t="str">
            <v>IT Networking Equipment</v>
          </cell>
        </row>
        <row r="1085">
          <cell r="B1085" t="str">
            <v>D-LINK INDIA LTD</v>
          </cell>
          <cell r="C1085">
            <v>533146</v>
          </cell>
          <cell r="D1085" t="str">
            <v>DLINKINDIA</v>
          </cell>
          <cell r="E1085" t="str">
            <v>IT Networking Equipment</v>
          </cell>
        </row>
        <row r="1086">
          <cell r="B1086" t="str">
            <v>DOLAT INVESTMENTS LTD</v>
          </cell>
          <cell r="C1086">
            <v>505526</v>
          </cell>
          <cell r="D1086" t="str">
            <v>Not Listed</v>
          </cell>
          <cell r="E1086" t="str">
            <v>Investment Companies</v>
          </cell>
        </row>
        <row r="1087">
          <cell r="B1087" t="str">
            <v>DOLFIN RUBBERS LTD</v>
          </cell>
          <cell r="C1087">
            <v>542013</v>
          </cell>
          <cell r="D1087" t="str">
            <v>Not Listed</v>
          </cell>
          <cell r="E1087" t="str">
            <v>Auto Tyres &amp; Rubber Products</v>
          </cell>
        </row>
        <row r="1088">
          <cell r="B1088" t="str">
            <v>DOLLAR INDUSTRIES LTD</v>
          </cell>
          <cell r="C1088">
            <v>541403</v>
          </cell>
          <cell r="D1088" t="str">
            <v>DOLLAR</v>
          </cell>
          <cell r="E1088" t="str">
            <v>Other Apparels &amp; Accessories</v>
          </cell>
        </row>
        <row r="1089">
          <cell r="B1089" t="str">
            <v>DOLPHIN MEDICAL SERVICES LTD</v>
          </cell>
          <cell r="C1089">
            <v>526504</v>
          </cell>
          <cell r="D1089" t="str">
            <v>Not Listed</v>
          </cell>
          <cell r="E1089" t="str">
            <v>Healthcare Services</v>
          </cell>
        </row>
        <row r="1090">
          <cell r="B1090" t="str">
            <v>DOLPHIN OFFSHORE ENTERPRISES (INDIA) LTD</v>
          </cell>
          <cell r="C1090">
            <v>522261</v>
          </cell>
          <cell r="D1090" t="str">
            <v>DOLPHINOFF</v>
          </cell>
          <cell r="E1090" t="str">
            <v>Oil Equipment &amp; Services</v>
          </cell>
        </row>
        <row r="1091">
          <cell r="B1091" t="str">
            <v>DOLPHIN OFFSHORE ENTERPRISES INDIA LTD</v>
          </cell>
          <cell r="C1091">
            <v>522261</v>
          </cell>
          <cell r="D1091" t="str">
            <v>DOLPHINOFF</v>
          </cell>
          <cell r="E1091" t="str">
            <v>Oil Equipment &amp; Services</v>
          </cell>
        </row>
        <row r="1092">
          <cell r="B1092" t="str">
            <v>DONEAR INDUSTRIES LTD</v>
          </cell>
          <cell r="C1092">
            <v>512519</v>
          </cell>
          <cell r="D1092" t="str">
            <v>DONEAR</v>
          </cell>
          <cell r="E1092" t="str">
            <v>Textiles</v>
          </cell>
        </row>
        <row r="1093">
          <cell r="B1093" t="str">
            <v>DPSC LTD</v>
          </cell>
          <cell r="C1093" t="str">
            <v>Not Listed</v>
          </cell>
          <cell r="D1093" t="str">
            <v>DPSCLTD</v>
          </cell>
          <cell r="E1093" t="str">
            <v>Others</v>
          </cell>
        </row>
        <row r="1094">
          <cell r="B1094" t="str">
            <v>DQ ENTERTAINMENT INTERNATIONAL LTD</v>
          </cell>
          <cell r="C1094">
            <v>533176</v>
          </cell>
          <cell r="D1094" t="str">
            <v>DQE</v>
          </cell>
          <cell r="E1094" t="str">
            <v>Movies &amp; Entertainment</v>
          </cell>
        </row>
        <row r="1095">
          <cell r="B1095" t="str">
            <v>DR AGARWALS EYE HOSPITAL LTD</v>
          </cell>
          <cell r="C1095">
            <v>526783</v>
          </cell>
          <cell r="D1095" t="str">
            <v>Not Listed</v>
          </cell>
          <cell r="E1095" t="str">
            <v>Healthcare Services</v>
          </cell>
        </row>
        <row r="1096">
          <cell r="B1096" t="str">
            <v>DR HABEEBULLAH LIFE SCIENCES LTD</v>
          </cell>
          <cell r="C1096">
            <v>539267</v>
          </cell>
          <cell r="D1096" t="str">
            <v>Not Listed</v>
          </cell>
          <cell r="E1096" t="str">
            <v>Comm.Trading  &amp; Distribution</v>
          </cell>
        </row>
        <row r="1097">
          <cell r="B1097" t="str">
            <v>DR LAL PATH LABS LTD</v>
          </cell>
          <cell r="C1097">
            <v>539524</v>
          </cell>
          <cell r="D1097" t="str">
            <v>LALPATHLAB</v>
          </cell>
          <cell r="E1097" t="str">
            <v>Healthcare Services</v>
          </cell>
        </row>
        <row r="1098">
          <cell r="B1098" t="str">
            <v>DR LALCHANDANI LABS LTD</v>
          </cell>
          <cell r="C1098">
            <v>541299</v>
          </cell>
          <cell r="D1098" t="str">
            <v>Not Listed</v>
          </cell>
          <cell r="E1098" t="str">
            <v>Healthcare Services</v>
          </cell>
        </row>
        <row r="1099">
          <cell r="B1099" t="str">
            <v>DR REDDY'S LABORATORIES LTD</v>
          </cell>
          <cell r="C1099">
            <v>500124</v>
          </cell>
          <cell r="D1099" t="str">
            <v>DRREDDY</v>
          </cell>
          <cell r="E1099" t="str">
            <v>Pharmaceuticals</v>
          </cell>
        </row>
        <row r="1100">
          <cell r="B1100" t="str">
            <v>DRA CONSULTANTS LTD</v>
          </cell>
          <cell r="C1100">
            <v>540144</v>
          </cell>
          <cell r="D1100" t="str">
            <v>Not Listed</v>
          </cell>
          <cell r="E1100" t="str">
            <v>Consulting Services</v>
          </cell>
        </row>
        <row r="1101">
          <cell r="B1101" t="str">
            <v>DREDGING CORPORATION OF (INDIA) LTD</v>
          </cell>
          <cell r="C1101">
            <v>523618</v>
          </cell>
          <cell r="D1101" t="str">
            <v>DREDGECORP</v>
          </cell>
          <cell r="E1101" t="str">
            <v>Shipping</v>
          </cell>
        </row>
        <row r="1102">
          <cell r="B1102" t="str">
            <v>DREDGING CORPORATION OF INDIA LTD</v>
          </cell>
          <cell r="C1102">
            <v>523618</v>
          </cell>
          <cell r="D1102" t="str">
            <v>DREDGECORP</v>
          </cell>
          <cell r="E1102" t="str">
            <v>Shipping</v>
          </cell>
        </row>
        <row r="1103">
          <cell r="B1103" t="str">
            <v>DUCON INFRATECHNOLOGIES LTD</v>
          </cell>
          <cell r="C1103">
            <v>534674</v>
          </cell>
          <cell r="D1103" t="str">
            <v>DUCON</v>
          </cell>
          <cell r="E1103" t="str">
            <v>Comm.Trading  &amp; Distribution</v>
          </cell>
        </row>
        <row r="1104">
          <cell r="B1104" t="str">
            <v>DUGAR HOUSING DEVELOPMENTS LTD</v>
          </cell>
          <cell r="C1104">
            <v>511634</v>
          </cell>
          <cell r="D1104" t="str">
            <v>Not Listed</v>
          </cell>
          <cell r="E1104" t="str">
            <v>Construction &amp; Engineering</v>
          </cell>
        </row>
        <row r="1105">
          <cell r="B1105" t="str">
            <v>DUKE OFFSHORE LTD</v>
          </cell>
          <cell r="C1105">
            <v>531471</v>
          </cell>
          <cell r="D1105" t="str">
            <v>Not Listed</v>
          </cell>
          <cell r="E1105" t="str">
            <v>Oil Equipment &amp; Services</v>
          </cell>
        </row>
        <row r="1106">
          <cell r="B1106" t="str">
            <v>DUNCAN ENGINEERING LTD</v>
          </cell>
          <cell r="C1106">
            <v>504908</v>
          </cell>
          <cell r="D1106" t="str">
            <v>Not Listed</v>
          </cell>
          <cell r="E1106" t="str">
            <v>Auto Parts &amp; Equipment</v>
          </cell>
        </row>
        <row r="1107">
          <cell r="B1107" t="str">
            <v>DUROPACK LTD</v>
          </cell>
          <cell r="C1107">
            <v>526355</v>
          </cell>
          <cell r="D1107" t="str">
            <v>Not Listed</v>
          </cell>
          <cell r="E1107" t="str">
            <v>Plastic Products</v>
          </cell>
        </row>
        <row r="1108">
          <cell r="B1108" t="str">
            <v>DUTRON POLYMERS LTD</v>
          </cell>
          <cell r="C1108">
            <v>517437</v>
          </cell>
          <cell r="D1108" t="str">
            <v>Not Listed</v>
          </cell>
          <cell r="E1108" t="str">
            <v>Plastic Products</v>
          </cell>
        </row>
        <row r="1109">
          <cell r="B1109" t="str">
            <v>DWARIKESH SUGAR INDUSTRIES LTD</v>
          </cell>
          <cell r="C1109">
            <v>532610</v>
          </cell>
          <cell r="D1109" t="str">
            <v>DWARKESH</v>
          </cell>
          <cell r="E1109" t="str">
            <v>Sugar</v>
          </cell>
        </row>
        <row r="1110">
          <cell r="B1110" t="str">
            <v>Dwitiya Trading Ltd</v>
          </cell>
          <cell r="C1110">
            <v>538608</v>
          </cell>
          <cell r="D1110" t="str">
            <v>DWITIYA</v>
          </cell>
          <cell r="E1110" t="str">
            <v>Comm.Trading  &amp;amp; Distribution</v>
          </cell>
        </row>
        <row r="1111">
          <cell r="B1111" t="str">
            <v>DYNACONS SYSTEMS &amp; SOLUTIONS LTD</v>
          </cell>
          <cell r="C1111">
            <v>532365</v>
          </cell>
          <cell r="D1111" t="str">
            <v>DSSL</v>
          </cell>
          <cell r="E1111" t="str">
            <v>IT Consulting &amp; Software</v>
          </cell>
        </row>
        <row r="1112">
          <cell r="B1112" t="str">
            <v>DYNAMATIC TECHNOLOGIES LTD</v>
          </cell>
          <cell r="C1112">
            <v>505242</v>
          </cell>
          <cell r="D1112" t="str">
            <v>DYNAMATECH</v>
          </cell>
          <cell r="E1112" t="str">
            <v>Industrial Machinery</v>
          </cell>
        </row>
        <row r="1113">
          <cell r="B1113" t="str">
            <v>DYNAMIC ARCHISTRUCTURES LTD</v>
          </cell>
          <cell r="C1113">
            <v>539681</v>
          </cell>
          <cell r="D1113" t="str">
            <v>Not Listed</v>
          </cell>
          <cell r="E1113" t="str">
            <v>Finance (including NBFCs)</v>
          </cell>
        </row>
        <row r="1114">
          <cell r="B1114" t="str">
            <v>DYNAMIC CABLES LTD</v>
          </cell>
          <cell r="C1114">
            <v>540795</v>
          </cell>
          <cell r="D1114" t="str">
            <v>Not Listed</v>
          </cell>
          <cell r="E1114" t="str">
            <v>Other Elect.Equip./ Prod.</v>
          </cell>
        </row>
        <row r="1115">
          <cell r="B1115" t="str">
            <v>DYNAMIC INDUSTRIES LTD</v>
          </cell>
          <cell r="C1115">
            <v>524818</v>
          </cell>
          <cell r="D1115" t="str">
            <v>Not Listed</v>
          </cell>
          <cell r="E1115" t="str">
            <v>Specialty Chemicals</v>
          </cell>
        </row>
        <row r="1116">
          <cell r="B1116" t="str">
            <v>DYNAMIC PORTFOLIO MANAGEMENT &amp; SERVICES LTD</v>
          </cell>
          <cell r="C1116">
            <v>530779</v>
          </cell>
          <cell r="D1116" t="str">
            <v>Not Listed</v>
          </cell>
          <cell r="E1116" t="str">
            <v>Finance (including NBFCs)</v>
          </cell>
        </row>
        <row r="1117">
          <cell r="B1117" t="str">
            <v>DYNAVISION LTD</v>
          </cell>
          <cell r="C1117">
            <v>517238</v>
          </cell>
          <cell r="D1117" t="str">
            <v>Not Listed</v>
          </cell>
          <cell r="E1117" t="str">
            <v>Electronic Components</v>
          </cell>
        </row>
        <row r="1118">
          <cell r="B1118" t="str">
            <v>DYNEMIC PRODUCTS LTD</v>
          </cell>
          <cell r="C1118">
            <v>532707</v>
          </cell>
          <cell r="D1118" t="str">
            <v>DYNPRO</v>
          </cell>
          <cell r="E1118" t="str">
            <v>Specialty Chemicals</v>
          </cell>
        </row>
        <row r="1119">
          <cell r="B1119" t="str">
            <v>E COM INFOTECH I LTD</v>
          </cell>
          <cell r="C1119">
            <v>531533</v>
          </cell>
          <cell r="D1119" t="str">
            <v>Not Listed</v>
          </cell>
          <cell r="E1119" t="str">
            <v>IT Consulting &amp; Software</v>
          </cell>
        </row>
        <row r="1120">
          <cell r="B1120" t="str">
            <v>E2E NETWORKS LTD</v>
          </cell>
          <cell r="C1120" t="str">
            <v>Not Listed</v>
          </cell>
          <cell r="D1120" t="str">
            <v>E2E</v>
          </cell>
          <cell r="E1120" t="str">
            <v>SME</v>
          </cell>
        </row>
        <row r="1121">
          <cell r="B1121" t="str">
            <v>EAST BUILDTECH LTD</v>
          </cell>
          <cell r="C1121">
            <v>507917</v>
          </cell>
          <cell r="D1121" t="str">
            <v>Not Listed</v>
          </cell>
          <cell r="E1121" t="str">
            <v>Realty</v>
          </cell>
        </row>
        <row r="1122">
          <cell r="B1122" t="str">
            <v>EAST COAST STEEL LTD</v>
          </cell>
          <cell r="C1122">
            <v>520081</v>
          </cell>
          <cell r="D1122" t="str">
            <v>Not Listed</v>
          </cell>
          <cell r="E1122" t="str">
            <v>Iron &amp; Steel/Interm.Products</v>
          </cell>
        </row>
        <row r="1123">
          <cell r="B1123" t="str">
            <v>EAST INDIA SECURITIES LTD</v>
          </cell>
          <cell r="C1123">
            <v>541053</v>
          </cell>
          <cell r="D1123" t="str">
            <v>Not Listed</v>
          </cell>
          <cell r="E1123" t="str">
            <v>Other Financial Services</v>
          </cell>
        </row>
        <row r="1124">
          <cell r="B1124" t="str">
            <v>EASTERN SILK INDUSTRIES LTD</v>
          </cell>
          <cell r="C1124">
            <v>590022</v>
          </cell>
          <cell r="D1124" t="str">
            <v>EASTSILK</v>
          </cell>
          <cell r="E1124" t="str">
            <v>Textiles</v>
          </cell>
        </row>
        <row r="1125">
          <cell r="B1125" t="str">
            <v>EASTERN TREADS LTD</v>
          </cell>
          <cell r="C1125">
            <v>531346</v>
          </cell>
          <cell r="D1125" t="str">
            <v>Not Listed</v>
          </cell>
          <cell r="E1125" t="str">
            <v>Auto Tyres &amp; Rubber Products</v>
          </cell>
        </row>
        <row r="1126">
          <cell r="B1126" t="str">
            <v>EASUN REYROLLE LTD</v>
          </cell>
          <cell r="C1126">
            <v>532751</v>
          </cell>
          <cell r="D1126" t="str">
            <v>EASUNREYRL</v>
          </cell>
          <cell r="E1126" t="str">
            <v>Other Elect.Equip./ Prod.</v>
          </cell>
        </row>
        <row r="1127">
          <cell r="B1127" t="str">
            <v>ECE INDUSTRIES LTD</v>
          </cell>
          <cell r="C1127" t="str">
            <v>Not Listed</v>
          </cell>
          <cell r="D1127" t="str">
            <v>ECEIND</v>
          </cell>
          <cell r="E1127" t="str">
            <v>Others</v>
          </cell>
        </row>
        <row r="1128">
          <cell r="B1128" t="str">
            <v>ECLERX SERVICES LTD</v>
          </cell>
          <cell r="C1128">
            <v>532927</v>
          </cell>
          <cell r="D1128" t="str">
            <v>ECLERX</v>
          </cell>
          <cell r="E1128" t="str">
            <v>BPO/KPO</v>
          </cell>
        </row>
        <row r="1129">
          <cell r="B1129" t="str">
            <v>ECO FRIENDLY FOOD PROCESSING PARK LTD</v>
          </cell>
          <cell r="C1129">
            <v>534839</v>
          </cell>
          <cell r="D1129" t="str">
            <v>Not Listed</v>
          </cell>
          <cell r="E1129" t="str">
            <v>Other Agricultural Products</v>
          </cell>
        </row>
        <row r="1130">
          <cell r="B1130" t="str">
            <v>ECO RECYCLING LTD</v>
          </cell>
          <cell r="C1130">
            <v>530643</v>
          </cell>
          <cell r="D1130" t="str">
            <v>Not Listed</v>
          </cell>
          <cell r="E1130" t="str">
            <v>Electronic Components</v>
          </cell>
        </row>
        <row r="1131">
          <cell r="B1131" t="str">
            <v>ECOBOARD INDUSTRIES LTD</v>
          </cell>
          <cell r="C1131">
            <v>523732</v>
          </cell>
          <cell r="D1131" t="str">
            <v>Not Listed</v>
          </cell>
          <cell r="E1131" t="str">
            <v>Forest Products</v>
          </cell>
        </row>
        <row r="1132">
          <cell r="B1132" t="str">
            <v>ECONO TRADE (INDIA) LTD</v>
          </cell>
          <cell r="C1132">
            <v>538708</v>
          </cell>
          <cell r="D1132" t="str">
            <v>Not Listed</v>
          </cell>
          <cell r="E1132" t="str">
            <v>Finance (including NBFCs)</v>
          </cell>
        </row>
        <row r="1133">
          <cell r="B1133" t="str">
            <v>ECONO TRADE INDIA LTD</v>
          </cell>
          <cell r="C1133">
            <v>538708</v>
          </cell>
          <cell r="D1133" t="str">
            <v>Not Listed</v>
          </cell>
          <cell r="E1133" t="str">
            <v>Finance (including NBFCs)</v>
          </cell>
        </row>
        <row r="1134">
          <cell r="B1134" t="str">
            <v>ECOPLAST LTD</v>
          </cell>
          <cell r="C1134">
            <v>526703</v>
          </cell>
          <cell r="D1134" t="str">
            <v>Not Listed</v>
          </cell>
          <cell r="E1134" t="str">
            <v>Plastic Products</v>
          </cell>
        </row>
        <row r="1135">
          <cell r="B1135" t="str">
            <v>ECS BIZTECH LTD</v>
          </cell>
          <cell r="C1135">
            <v>540063</v>
          </cell>
          <cell r="D1135" t="str">
            <v>Not Listed</v>
          </cell>
          <cell r="E1135" t="str">
            <v>IT Consulting &amp; Software</v>
          </cell>
        </row>
        <row r="1136">
          <cell r="B1136" t="str">
            <v>EDELWEISS FINANCIAL SERVICES LTD</v>
          </cell>
          <cell r="C1136">
            <v>532922</v>
          </cell>
          <cell r="D1136" t="str">
            <v>EDELWEISS</v>
          </cell>
          <cell r="E1136" t="str">
            <v>Other Financial Services</v>
          </cell>
        </row>
        <row r="1137">
          <cell r="B1137" t="str">
            <v>EDUCOMP SOLUTIONS LTD</v>
          </cell>
          <cell r="C1137">
            <v>532696</v>
          </cell>
          <cell r="D1137" t="str">
            <v>EDUCOMP</v>
          </cell>
          <cell r="E1137" t="str">
            <v>Education</v>
          </cell>
        </row>
        <row r="1138">
          <cell r="B1138" t="str">
            <v>EDUEXEL INFOTAINMENT LTD</v>
          </cell>
          <cell r="C1138">
            <v>526483</v>
          </cell>
          <cell r="D1138" t="str">
            <v>Not Listed</v>
          </cell>
          <cell r="E1138" t="str">
            <v>Photographic Products</v>
          </cell>
        </row>
        <row r="1139">
          <cell r="B1139" t="str">
            <v>EDYNAMICS SOLUTIONS LTD</v>
          </cell>
          <cell r="C1139">
            <v>535694</v>
          </cell>
          <cell r="D1139" t="str">
            <v>Not Listed</v>
          </cell>
          <cell r="E1139" t="str">
            <v>Comm.Trading  &amp; Distribution</v>
          </cell>
        </row>
        <row r="1140">
          <cell r="B1140" t="str">
            <v>EICHER MOTORS LTD</v>
          </cell>
          <cell r="C1140">
            <v>505200</v>
          </cell>
          <cell r="D1140" t="str">
            <v>EICHERMOT</v>
          </cell>
          <cell r="E1140" t="str">
            <v>2/3 Wheelers</v>
          </cell>
        </row>
        <row r="1141">
          <cell r="B1141" t="str">
            <v>EID PARRY (INDIA) LTD</v>
          </cell>
          <cell r="C1141">
            <v>500125</v>
          </cell>
          <cell r="D1141" t="str">
            <v>EIDPARRY</v>
          </cell>
          <cell r="E1141" t="str">
            <v>Sugar</v>
          </cell>
        </row>
        <row r="1142">
          <cell r="B1142" t="str">
            <v>EID PARRY INDIA LTD</v>
          </cell>
          <cell r="C1142">
            <v>500125</v>
          </cell>
          <cell r="D1142" t="str">
            <v>EIDPARRY</v>
          </cell>
          <cell r="E1142" t="str">
            <v>Sugar</v>
          </cell>
        </row>
        <row r="1143">
          <cell r="B1143" t="str">
            <v>EIH ASSOCIATED HOTELS LTD</v>
          </cell>
          <cell r="C1143">
            <v>523127</v>
          </cell>
          <cell r="D1143" t="str">
            <v>EIHAHOTELS</v>
          </cell>
          <cell r="E1143" t="str">
            <v>Hotels</v>
          </cell>
        </row>
        <row r="1144">
          <cell r="B1144" t="str">
            <v>EIH LTD</v>
          </cell>
          <cell r="C1144">
            <v>500840</v>
          </cell>
          <cell r="D1144" t="str">
            <v>EIHOTEL</v>
          </cell>
          <cell r="E1144" t="str">
            <v>Hotels</v>
          </cell>
        </row>
        <row r="1145">
          <cell r="B1145" t="str">
            <v>EIMCO ELECON (INDIA) LTD</v>
          </cell>
          <cell r="C1145">
            <v>523708</v>
          </cell>
          <cell r="D1145" t="str">
            <v>EIMCOELECO</v>
          </cell>
          <cell r="E1145" t="str">
            <v>Industrial Machinery</v>
          </cell>
        </row>
        <row r="1146">
          <cell r="B1146" t="str">
            <v>EIMCO ELECON INDIA LTD</v>
          </cell>
          <cell r="C1146">
            <v>523708</v>
          </cell>
          <cell r="D1146" t="str">
            <v>EIMCOELECO</v>
          </cell>
          <cell r="E1146" t="str">
            <v>Industrial Machinery</v>
          </cell>
        </row>
        <row r="1147">
          <cell r="B1147" t="str">
            <v>Ejecta Marketing Ltd</v>
          </cell>
          <cell r="C1147">
            <v>538653</v>
          </cell>
          <cell r="D1147" t="str">
            <v>EML</v>
          </cell>
          <cell r="E1147" t="str">
            <v>Comm.Trading  &amp;amp; Distribution</v>
          </cell>
        </row>
        <row r="1148">
          <cell r="B1148" t="str">
            <v>EKAM LEASING &amp; FINANCE CO LTD</v>
          </cell>
          <cell r="C1148">
            <v>530581</v>
          </cell>
          <cell r="D1148" t="str">
            <v>Not Listed</v>
          </cell>
          <cell r="E1148" t="str">
            <v>Misc.Commercial Services</v>
          </cell>
        </row>
        <row r="1149">
          <cell r="B1149" t="str">
            <v>E-LAND APPAREL LTD</v>
          </cell>
          <cell r="C1149">
            <v>532820</v>
          </cell>
          <cell r="D1149" t="str">
            <v>ELAND</v>
          </cell>
          <cell r="E1149" t="str">
            <v>Textiles</v>
          </cell>
        </row>
        <row r="1150">
          <cell r="B1150" t="str">
            <v>ELANGO INDUSTRIES LTD</v>
          </cell>
          <cell r="C1150">
            <v>513452</v>
          </cell>
          <cell r="D1150" t="str">
            <v>Not Listed</v>
          </cell>
          <cell r="E1150" t="str">
            <v>Iron &amp; Steel/Interm.Products</v>
          </cell>
        </row>
        <row r="1151">
          <cell r="B1151" t="str">
            <v>ELANTAS BECK (INDIA) LTD</v>
          </cell>
          <cell r="C1151">
            <v>500123</v>
          </cell>
          <cell r="D1151" t="str">
            <v>Not Listed</v>
          </cell>
          <cell r="E1151" t="str">
            <v>Commodity Chemicals</v>
          </cell>
        </row>
        <row r="1152">
          <cell r="B1152" t="str">
            <v>ELANTAS BECK INDIA LTD</v>
          </cell>
          <cell r="C1152">
            <v>500123</v>
          </cell>
          <cell r="D1152" t="str">
            <v>Not Listed</v>
          </cell>
          <cell r="E1152" t="str">
            <v>Commodity Chemicals</v>
          </cell>
        </row>
        <row r="1153">
          <cell r="B1153" t="str">
            <v>ELCID INVESTMENTS LTD</v>
          </cell>
          <cell r="C1153">
            <v>503681</v>
          </cell>
          <cell r="D1153" t="str">
            <v>Not Listed</v>
          </cell>
          <cell r="E1153" t="str">
            <v>Misc.Commercial Services</v>
          </cell>
        </row>
        <row r="1154">
          <cell r="B1154" t="str">
            <v>ELDECO HOUSING &amp; INDUSTRIES LTD</v>
          </cell>
          <cell r="C1154">
            <v>523329</v>
          </cell>
          <cell r="D1154" t="str">
            <v>Not Listed</v>
          </cell>
          <cell r="E1154" t="str">
            <v>Realty</v>
          </cell>
        </row>
        <row r="1155">
          <cell r="B1155" t="str">
            <v>ELECON ENGINEERING COMPANY LTD</v>
          </cell>
          <cell r="C1155">
            <v>505700</v>
          </cell>
          <cell r="D1155" t="str">
            <v>ELECON</v>
          </cell>
          <cell r="E1155" t="str">
            <v>Industrial Machinery</v>
          </cell>
        </row>
        <row r="1156">
          <cell r="B1156" t="str">
            <v>ELECTROSTEEL CASTINGS LTD</v>
          </cell>
          <cell r="C1156">
            <v>500128</v>
          </cell>
          <cell r="D1156" t="str">
            <v>ELECTCAST</v>
          </cell>
          <cell r="E1156" t="str">
            <v>Construction &amp; Engineering</v>
          </cell>
        </row>
        <row r="1157">
          <cell r="B1157" t="str">
            <v>ELECTROSTEEL STEELS LTD</v>
          </cell>
          <cell r="C1157">
            <v>533264</v>
          </cell>
          <cell r="D1157" t="str">
            <v>ELECTROSL</v>
          </cell>
          <cell r="E1157" t="str">
            <v>Construction &amp; Engineering</v>
          </cell>
        </row>
        <row r="1158">
          <cell r="B1158" t="str">
            <v>ELECTROTHERM (INDIA) LTD</v>
          </cell>
          <cell r="C1158">
            <v>526608</v>
          </cell>
          <cell r="D1158" t="str">
            <v>ELECTHERM</v>
          </cell>
          <cell r="E1158" t="str">
            <v>Iron &amp; Steel Products</v>
          </cell>
        </row>
        <row r="1159">
          <cell r="B1159" t="str">
            <v>ELECTROTHERM INDIA LTD</v>
          </cell>
          <cell r="C1159">
            <v>526608</v>
          </cell>
          <cell r="D1159" t="str">
            <v>ELECTHERM</v>
          </cell>
          <cell r="E1159" t="str">
            <v>Iron &amp; Steel Products</v>
          </cell>
        </row>
        <row r="1160">
          <cell r="B1160" t="str">
            <v>ELEGANT FLORICULTURE &amp; AGROTECH (INDIA) LTD</v>
          </cell>
          <cell r="C1160">
            <v>526473</v>
          </cell>
          <cell r="D1160" t="str">
            <v>Not Listed</v>
          </cell>
          <cell r="E1160" t="str">
            <v>Other Agricultural Products</v>
          </cell>
        </row>
        <row r="1161">
          <cell r="B1161" t="str">
            <v>ELEGANT FLORICULTURE &amp; AGROTECH INDIA LTD</v>
          </cell>
          <cell r="C1161">
            <v>526473</v>
          </cell>
          <cell r="D1161" t="str">
            <v>Not Listed</v>
          </cell>
          <cell r="E1161" t="str">
            <v>Other Agricultural Products</v>
          </cell>
        </row>
        <row r="1162">
          <cell r="B1162" t="str">
            <v>ELEGANT MARBLES &amp; GRANI INDUSTRIES LTD</v>
          </cell>
          <cell r="C1162">
            <v>526705</v>
          </cell>
          <cell r="D1162" t="str">
            <v>Not Listed</v>
          </cell>
          <cell r="E1162" t="str">
            <v>Comm.Trading  &amp; Distribution</v>
          </cell>
        </row>
        <row r="1163">
          <cell r="B1163" t="str">
            <v>ELGI EQUIPMENTS LTD</v>
          </cell>
          <cell r="C1163">
            <v>522074</v>
          </cell>
          <cell r="D1163" t="str">
            <v>ELGIEQUIP</v>
          </cell>
          <cell r="E1163" t="str">
            <v>Industrial Machinery</v>
          </cell>
        </row>
        <row r="1164">
          <cell r="B1164" t="str">
            <v>ELGI RUBBER COMPANY LTD</v>
          </cell>
          <cell r="C1164" t="str">
            <v>Not Listed</v>
          </cell>
          <cell r="D1164" t="str">
            <v>ELGIRUBCO</v>
          </cell>
          <cell r="E1164" t="str">
            <v>Others</v>
          </cell>
        </row>
        <row r="1165">
          <cell r="B1165" t="str">
            <v>ELIXIR CAPITAL LTD</v>
          </cell>
          <cell r="C1165">
            <v>531278</v>
          </cell>
          <cell r="D1165" t="str">
            <v>Not Listed</v>
          </cell>
          <cell r="E1165" t="str">
            <v>Other Financial Services</v>
          </cell>
        </row>
        <row r="1166">
          <cell r="B1166" t="str">
            <v>ELNET TECHNOLOGIES LTD</v>
          </cell>
          <cell r="C1166">
            <v>517477</v>
          </cell>
          <cell r="D1166" t="str">
            <v>Not Listed</v>
          </cell>
          <cell r="E1166" t="str">
            <v>IT Software Products</v>
          </cell>
        </row>
        <row r="1167">
          <cell r="B1167" t="str">
            <v>ELPRO INTERNATIONAL LTD</v>
          </cell>
          <cell r="C1167">
            <v>504000</v>
          </cell>
          <cell r="D1167" t="str">
            <v>Not Listed</v>
          </cell>
          <cell r="E1167" t="str">
            <v>Other Elect.Equip./ Prod.</v>
          </cell>
        </row>
        <row r="1168">
          <cell r="B1168" t="str">
            <v>EMA (INDIA) LTD</v>
          </cell>
          <cell r="C1168">
            <v>522027</v>
          </cell>
          <cell r="D1168" t="str">
            <v>Not Listed</v>
          </cell>
          <cell r="E1168" t="str">
            <v>Industrial Machinery</v>
          </cell>
        </row>
        <row r="1169">
          <cell r="B1169" t="str">
            <v>EMA INDIA LTD</v>
          </cell>
          <cell r="C1169">
            <v>522027</v>
          </cell>
          <cell r="D1169" t="str">
            <v>Not Listed</v>
          </cell>
          <cell r="E1169" t="str">
            <v>Industrial Machinery</v>
          </cell>
        </row>
        <row r="1170">
          <cell r="B1170" t="str">
            <v>EMAMI LTD</v>
          </cell>
          <cell r="C1170">
            <v>531162</v>
          </cell>
          <cell r="D1170" t="str">
            <v>EMAMILTD</v>
          </cell>
          <cell r="E1170" t="str">
            <v>Personal Products</v>
          </cell>
        </row>
        <row r="1171">
          <cell r="B1171" t="str">
            <v>Emami Paper Mills LTD</v>
          </cell>
          <cell r="C1171" t="str">
            <v>Not Listed</v>
          </cell>
          <cell r="D1171" t="str">
            <v>EMAMIPAP</v>
          </cell>
          <cell r="E1171" t="str">
            <v>Personal Products</v>
          </cell>
        </row>
        <row r="1172">
          <cell r="B1172" t="str">
            <v>EMAMI PAPER MILLS LTD</v>
          </cell>
          <cell r="C1172">
            <v>533208</v>
          </cell>
          <cell r="D1172" t="str">
            <v>Not Listed</v>
          </cell>
          <cell r="E1172" t="str">
            <v>Paper &amp; Paper Products</v>
          </cell>
        </row>
        <row r="1173">
          <cell r="B1173" t="str">
            <v>EMAMI REALTY LTD</v>
          </cell>
          <cell r="C1173">
            <v>533218</v>
          </cell>
          <cell r="D1173" t="str">
            <v>EMAMIREAL</v>
          </cell>
          <cell r="E1173" t="str">
            <v>Realty</v>
          </cell>
        </row>
        <row r="1174">
          <cell r="B1174" t="str">
            <v>Embassy Office Parks REIT</v>
          </cell>
          <cell r="C1174">
            <v>542602</v>
          </cell>
          <cell r="D1174" t="str">
            <v>EMBASSY</v>
          </cell>
          <cell r="E1174" t="str">
            <v>Investment Companies</v>
          </cell>
        </row>
        <row r="1175">
          <cell r="B1175" t="str">
            <v>EMCO LTD</v>
          </cell>
          <cell r="C1175">
            <v>504008</v>
          </cell>
          <cell r="D1175" t="str">
            <v>EMCO</v>
          </cell>
          <cell r="E1175" t="str">
            <v>Heavy Electrical Equipment</v>
          </cell>
        </row>
        <row r="1176">
          <cell r="B1176" t="str">
            <v>EMERALD LEASING FINANCE &amp; INVESTMENT COMPANY LTD</v>
          </cell>
          <cell r="C1176">
            <v>538882</v>
          </cell>
          <cell r="D1176" t="str">
            <v>Not Listed</v>
          </cell>
          <cell r="E1176" t="str">
            <v>Other Financial Services</v>
          </cell>
        </row>
        <row r="1177">
          <cell r="B1177" t="str">
            <v>EMERALD LEISURES LTD</v>
          </cell>
          <cell r="C1177">
            <v>507265</v>
          </cell>
          <cell r="D1177" t="str">
            <v>Not Listed</v>
          </cell>
          <cell r="E1177" t="str">
            <v>Other Leisure Facilities</v>
          </cell>
        </row>
        <row r="1178">
          <cell r="B1178" t="str">
            <v>EMGEE CABLES &amp; COMMUNICATIONS LTD</v>
          </cell>
          <cell r="C1178">
            <v>530333</v>
          </cell>
          <cell r="D1178" t="str">
            <v>Not Listed</v>
          </cell>
          <cell r="E1178" t="str">
            <v>Other Elect.Equip./ Prod.</v>
          </cell>
        </row>
        <row r="1179">
          <cell r="B1179" t="str">
            <v>EMKAY GLOBAL FINANCIAL SERVICES LTD</v>
          </cell>
          <cell r="C1179">
            <v>532737</v>
          </cell>
          <cell r="D1179" t="str">
            <v>EMKAY</v>
          </cell>
          <cell r="E1179" t="str">
            <v>Other Financial Services</v>
          </cell>
        </row>
        <row r="1180">
          <cell r="B1180" t="str">
            <v>EMKAY TAPS AND CUTTING TOOLS LTD</v>
          </cell>
          <cell r="C1180" t="str">
            <v>Not Listed</v>
          </cell>
          <cell r="D1180" t="str">
            <v>EMKAYTOOLS</v>
          </cell>
          <cell r="E1180" t="str">
            <v>SME</v>
          </cell>
        </row>
        <row r="1181">
          <cell r="B1181" t="str">
            <v>EMMBI INDUSTRIES LTD</v>
          </cell>
          <cell r="C1181">
            <v>533161</v>
          </cell>
          <cell r="D1181" t="str">
            <v>EMMBI</v>
          </cell>
          <cell r="E1181" t="str">
            <v>Containers &amp; Packaging</v>
          </cell>
        </row>
        <row r="1182">
          <cell r="B1182" t="str">
            <v>EMMESSAR BIOTECH &amp; NUTRITION LTD</v>
          </cell>
          <cell r="C1182">
            <v>524768</v>
          </cell>
          <cell r="D1182" t="str">
            <v>Not Listed</v>
          </cell>
          <cell r="E1182" t="str">
            <v>Commodity Chemicals</v>
          </cell>
        </row>
        <row r="1183">
          <cell r="B1183" t="str">
            <v>EMMSONS INTERNATIONAL LTD</v>
          </cell>
          <cell r="C1183">
            <v>532038</v>
          </cell>
          <cell r="D1183" t="str">
            <v>Not Listed</v>
          </cell>
          <cell r="E1183" t="str">
            <v>Comm.Trading  &amp; Distribution</v>
          </cell>
        </row>
        <row r="1184">
          <cell r="B1184" t="str">
            <v>EMPEE DISTILLERIES LTD</v>
          </cell>
          <cell r="C1184">
            <v>532920</v>
          </cell>
          <cell r="D1184" t="str">
            <v>EDL</v>
          </cell>
          <cell r="E1184" t="str">
            <v>Breweries &amp; Distilleries</v>
          </cell>
        </row>
        <row r="1185">
          <cell r="B1185" t="str">
            <v>EMPEE SUGARS &amp; CHEMICALS LTD</v>
          </cell>
          <cell r="C1185">
            <v>500132</v>
          </cell>
          <cell r="D1185" t="str">
            <v>Not Listed</v>
          </cell>
          <cell r="E1185" t="str">
            <v>Sugar</v>
          </cell>
        </row>
        <row r="1186">
          <cell r="B1186" t="str">
            <v>EMPIRE INDUSTRIES LTD</v>
          </cell>
          <cell r="C1186">
            <v>509525</v>
          </cell>
          <cell r="D1186" t="str">
            <v>Not Listed</v>
          </cell>
          <cell r="E1186" t="str">
            <v>Diversified</v>
          </cell>
        </row>
        <row r="1187">
          <cell r="B1187" t="str">
            <v>EMPOWER (INDIA) LTD</v>
          </cell>
          <cell r="C1187">
            <v>504351</v>
          </cell>
          <cell r="D1187" t="str">
            <v>Not Listed</v>
          </cell>
          <cell r="E1187" t="str">
            <v>IT Consulting &amp; Software</v>
          </cell>
        </row>
        <row r="1188">
          <cell r="B1188" t="str">
            <v>EMPOWER INDIA LTD</v>
          </cell>
          <cell r="C1188">
            <v>504351</v>
          </cell>
          <cell r="D1188" t="str">
            <v>Not Listed</v>
          </cell>
          <cell r="E1188" t="str">
            <v>IT Consulting &amp; Software</v>
          </cell>
        </row>
        <row r="1189">
          <cell r="B1189" t="str">
            <v>ENBEE TRADE &amp; FINANCE LTD</v>
          </cell>
          <cell r="C1189">
            <v>512441</v>
          </cell>
          <cell r="D1189" t="str">
            <v>Not Listed</v>
          </cell>
          <cell r="E1189" t="str">
            <v>Misc.Commercial Services</v>
          </cell>
        </row>
        <row r="1190">
          <cell r="B1190" t="str">
            <v>ENCASH ENTERTAINMENT LTD</v>
          </cell>
          <cell r="C1190">
            <v>538684</v>
          </cell>
          <cell r="D1190" t="str">
            <v>Not Listed</v>
          </cell>
          <cell r="E1190" t="str">
            <v>Movies &amp; Entertainment</v>
          </cell>
        </row>
        <row r="1191">
          <cell r="B1191" t="str">
            <v>ENDURANCE TECHNOLOGIES LTD</v>
          </cell>
          <cell r="C1191">
            <v>540153</v>
          </cell>
          <cell r="D1191" t="str">
            <v>ENDURANCE</v>
          </cell>
          <cell r="E1191" t="str">
            <v>2/3 Wheelers</v>
          </cell>
        </row>
        <row r="1192">
          <cell r="B1192" t="str">
            <v>ENERGY DEVELOPMENT COMPANY LTD</v>
          </cell>
          <cell r="C1192">
            <v>532219</v>
          </cell>
          <cell r="D1192" t="str">
            <v>ENERGYDEV</v>
          </cell>
          <cell r="E1192" t="str">
            <v>Electric Utilities</v>
          </cell>
        </row>
        <row r="1193">
          <cell r="B1193" t="str">
            <v>ENGINEERS (INDIA) LTD</v>
          </cell>
          <cell r="C1193">
            <v>532178</v>
          </cell>
          <cell r="D1193" t="str">
            <v>ENGINERSIN</v>
          </cell>
          <cell r="E1193" t="str">
            <v>Consulting Services</v>
          </cell>
        </row>
        <row r="1194">
          <cell r="B1194" t="str">
            <v>ENGINEERS INDIA LTD</v>
          </cell>
          <cell r="C1194">
            <v>532178</v>
          </cell>
          <cell r="D1194" t="str">
            <v>ENGINERSIN</v>
          </cell>
          <cell r="E1194" t="str">
            <v>Consulting Services</v>
          </cell>
        </row>
        <row r="1195">
          <cell r="B1195" t="str">
            <v>ENKEI WHEELS (INDIA) LTD</v>
          </cell>
          <cell r="C1195">
            <v>533477</v>
          </cell>
          <cell r="D1195" t="str">
            <v>Not Listed</v>
          </cell>
          <cell r="E1195" t="str">
            <v>Auto Parts &amp; Equipment</v>
          </cell>
        </row>
        <row r="1196">
          <cell r="B1196" t="str">
            <v>ENKEI WHEELS INDIA LTD</v>
          </cell>
          <cell r="C1196">
            <v>533477</v>
          </cell>
          <cell r="D1196" t="str">
            <v>Not Listed</v>
          </cell>
          <cell r="E1196" t="str">
            <v>Auto Parts &amp; Equipment</v>
          </cell>
        </row>
        <row r="1197">
          <cell r="B1197" t="str">
            <v>ENTERPRISE INTERNATIONAL LTD</v>
          </cell>
          <cell r="C1197">
            <v>526574</v>
          </cell>
          <cell r="D1197" t="str">
            <v>Not Listed</v>
          </cell>
          <cell r="E1197" t="str">
            <v>Comm.Trading  &amp; Distribution</v>
          </cell>
        </row>
        <row r="1198">
          <cell r="B1198" t="str">
            <v>ENTERTAINMENT NETWORK (INDIA) LTD</v>
          </cell>
          <cell r="C1198">
            <v>532700</v>
          </cell>
          <cell r="D1198" t="str">
            <v>ENIL</v>
          </cell>
          <cell r="E1198" t="str">
            <v>Broadcasting &amp; Cable TV</v>
          </cell>
        </row>
        <row r="1199">
          <cell r="B1199" t="str">
            <v>ENTERTAINMENT NETWORK INDIA LTD</v>
          </cell>
          <cell r="C1199">
            <v>532700</v>
          </cell>
          <cell r="D1199" t="str">
            <v>ENIL</v>
          </cell>
          <cell r="E1199" t="str">
            <v>Broadcasting &amp; Cable TV</v>
          </cell>
        </row>
        <row r="1200">
          <cell r="B1200" t="str">
            <v>ENVAIR ELECTRODYNE LTD</v>
          </cell>
          <cell r="C1200">
            <v>500246</v>
          </cell>
          <cell r="D1200" t="str">
            <v>Not Listed</v>
          </cell>
          <cell r="E1200" t="str">
            <v>Industrial Machinery</v>
          </cell>
        </row>
        <row r="1201">
          <cell r="B1201" t="str">
            <v>EON ELECTRIC LTD</v>
          </cell>
          <cell r="C1201">
            <v>532658</v>
          </cell>
          <cell r="D1201" t="str">
            <v>EON</v>
          </cell>
          <cell r="E1201" t="str">
            <v>Other Elect.Equip./ Prod.</v>
          </cell>
        </row>
        <row r="1202">
          <cell r="B1202" t="str">
            <v>EPC INDUSTRIE LTD</v>
          </cell>
          <cell r="C1202">
            <v>523754</v>
          </cell>
          <cell r="D1202" t="str">
            <v>Not Listed</v>
          </cell>
          <cell r="E1202" t="str">
            <v>Plastic Products</v>
          </cell>
        </row>
        <row r="1203">
          <cell r="B1203" t="str">
            <v>EPIC ENERGY LTD</v>
          </cell>
          <cell r="C1203">
            <v>530407</v>
          </cell>
          <cell r="D1203" t="str">
            <v>Not Listed</v>
          </cell>
          <cell r="E1203" t="str">
            <v>Finance (including NBFCs)</v>
          </cell>
        </row>
        <row r="1204">
          <cell r="B1204" t="str">
            <v>EPSOM PROPERTIES LTD</v>
          </cell>
          <cell r="C1204">
            <v>531155</v>
          </cell>
          <cell r="D1204" t="str">
            <v>Not Listed</v>
          </cell>
          <cell r="E1204" t="str">
            <v>Pharmaceuticals</v>
          </cell>
        </row>
        <row r="1205">
          <cell r="B1205" t="str">
            <v>EQUITAS HOLDINGS LTD</v>
          </cell>
          <cell r="C1205">
            <v>539844</v>
          </cell>
          <cell r="D1205" t="str">
            <v>EQUITAS</v>
          </cell>
          <cell r="E1205" t="str">
            <v>Holding Companies</v>
          </cell>
        </row>
        <row r="1206">
          <cell r="B1206" t="str">
            <v>ERIS LIFESCIENCES LTD</v>
          </cell>
          <cell r="C1206">
            <v>540596</v>
          </cell>
          <cell r="D1206" t="str">
            <v>ERIS</v>
          </cell>
          <cell r="E1206" t="str">
            <v>Pharmaceuticals</v>
          </cell>
        </row>
        <row r="1207">
          <cell r="B1207" t="str">
            <v>EROS INTERNATIONAL MEDIA LTD</v>
          </cell>
          <cell r="C1207">
            <v>533261</v>
          </cell>
          <cell r="D1207" t="str">
            <v>EROSMEDIA</v>
          </cell>
          <cell r="E1207" t="str">
            <v>Movies &amp; Entertainment</v>
          </cell>
        </row>
        <row r="1208">
          <cell r="B1208" t="str">
            <v>ERP SOFT SYSTEMS LTD</v>
          </cell>
          <cell r="C1208">
            <v>530909</v>
          </cell>
          <cell r="D1208" t="str">
            <v>Not Listed</v>
          </cell>
          <cell r="E1208" t="str">
            <v>Misc.Commercial Services</v>
          </cell>
        </row>
        <row r="1209">
          <cell r="B1209" t="str">
            <v>ESAAR (INDIA) LTD</v>
          </cell>
          <cell r="C1209">
            <v>531502</v>
          </cell>
          <cell r="D1209" t="str">
            <v>Not Listed</v>
          </cell>
          <cell r="E1209" t="str">
            <v>Misc.Commercial Services</v>
          </cell>
        </row>
        <row r="1210">
          <cell r="B1210" t="str">
            <v>ESAAR INDIA LTD</v>
          </cell>
          <cell r="C1210">
            <v>531502</v>
          </cell>
          <cell r="D1210" t="str">
            <v>Not Listed</v>
          </cell>
          <cell r="E1210" t="str">
            <v>Misc.Commercial Services</v>
          </cell>
        </row>
        <row r="1211">
          <cell r="B1211" t="str">
            <v>ESAB (INDIA) LTD</v>
          </cell>
          <cell r="C1211">
            <v>500133</v>
          </cell>
          <cell r="D1211" t="str">
            <v>ESAB(INDIA)</v>
          </cell>
          <cell r="E1211" t="str">
            <v>Other Industrial Goods</v>
          </cell>
        </row>
        <row r="1212">
          <cell r="B1212" t="str">
            <v>ESAB INDIA LTD</v>
          </cell>
          <cell r="C1212">
            <v>500133</v>
          </cell>
          <cell r="D1212" t="str">
            <v>ESABINDIA</v>
          </cell>
          <cell r="E1212" t="str">
            <v>Other Industrial Goods</v>
          </cell>
        </row>
        <row r="1213">
          <cell r="B1213" t="str">
            <v>ESCORP ASSET MANAGEMENT LTD</v>
          </cell>
          <cell r="C1213">
            <v>540455</v>
          </cell>
          <cell r="D1213" t="str">
            <v>Not Listed</v>
          </cell>
          <cell r="E1213" t="str">
            <v>Other Financial Services</v>
          </cell>
        </row>
        <row r="1214">
          <cell r="B1214" t="str">
            <v>ESCORTS FINANCE LTD</v>
          </cell>
          <cell r="C1214">
            <v>511716</v>
          </cell>
          <cell r="D1214" t="str">
            <v>Not Listed</v>
          </cell>
          <cell r="E1214" t="str">
            <v>Finance (including NBFCs)</v>
          </cell>
        </row>
        <row r="1215">
          <cell r="B1215" t="str">
            <v>ESCORTS LTD</v>
          </cell>
          <cell r="C1215">
            <v>500495</v>
          </cell>
          <cell r="D1215" t="str">
            <v>ESCORTS</v>
          </cell>
          <cell r="E1215" t="str">
            <v>Commercial Vehicles</v>
          </cell>
        </row>
        <row r="1216">
          <cell r="B1216" t="str">
            <v>ESHA MEDIA RESEARCH LTD</v>
          </cell>
          <cell r="C1216">
            <v>531259</v>
          </cell>
          <cell r="D1216" t="str">
            <v>Not Listed</v>
          </cell>
          <cell r="E1216" t="str">
            <v>Advertising &amp; Media</v>
          </cell>
        </row>
        <row r="1217">
          <cell r="B1217" t="str">
            <v>ESKAY K'N'IT (INDIA) LTD</v>
          </cell>
          <cell r="C1217">
            <v>514118</v>
          </cell>
          <cell r="D1217" t="str">
            <v>Not Listed</v>
          </cell>
          <cell r="E1217" t="str">
            <v>Textiles</v>
          </cell>
        </row>
        <row r="1218">
          <cell r="B1218" t="str">
            <v>ESKAY K'N'IT INDIA LTD</v>
          </cell>
          <cell r="C1218">
            <v>514118</v>
          </cell>
          <cell r="D1218" t="str">
            <v>Not Listed</v>
          </cell>
          <cell r="E1218" t="str">
            <v>Textiles</v>
          </cell>
        </row>
        <row r="1219">
          <cell r="B1219" t="str">
            <v>ESS DEE ALUMINIUM LTD</v>
          </cell>
          <cell r="C1219">
            <v>532787</v>
          </cell>
          <cell r="D1219" t="str">
            <v>ESSDEE</v>
          </cell>
          <cell r="E1219" t="str">
            <v>Household Products</v>
          </cell>
        </row>
        <row r="1220">
          <cell r="B1220" t="str">
            <v>ESSAR SECURITIES LTD</v>
          </cell>
          <cell r="C1220">
            <v>533149</v>
          </cell>
          <cell r="D1220" t="str">
            <v>Not Listed</v>
          </cell>
          <cell r="E1220" t="str">
            <v>Other Financial Services</v>
          </cell>
        </row>
        <row r="1221">
          <cell r="B1221" t="str">
            <v>ESSAR SHIPPING LTD</v>
          </cell>
          <cell r="C1221">
            <v>533704</v>
          </cell>
          <cell r="D1221" t="str">
            <v>ESSARSHPNG</v>
          </cell>
          <cell r="E1221" t="str">
            <v>Shipping</v>
          </cell>
        </row>
        <row r="1222">
          <cell r="B1222" t="str">
            <v>ESSEL PROPACK LTD</v>
          </cell>
          <cell r="C1222">
            <v>500135</v>
          </cell>
          <cell r="D1222" t="str">
            <v>ESSELPACK</v>
          </cell>
          <cell r="E1222" t="str">
            <v>Containers &amp; Packaging</v>
          </cell>
        </row>
        <row r="1223">
          <cell r="B1223" t="str">
            <v>ESTEEM BIO ORGANIC FOOD PROCESSING  LTD</v>
          </cell>
          <cell r="C1223">
            <v>534927</v>
          </cell>
          <cell r="D1223" t="str">
            <v>Not Listed</v>
          </cell>
          <cell r="E1223" t="str">
            <v>Other Agricultural Products</v>
          </cell>
        </row>
        <row r="1224">
          <cell r="B1224" t="str">
            <v>ESTER INDUSTRIES LTD</v>
          </cell>
          <cell r="C1224">
            <v>500136</v>
          </cell>
          <cell r="D1224" t="str">
            <v>ESTER</v>
          </cell>
          <cell r="E1224" t="str">
            <v>Commodity Chemicals</v>
          </cell>
        </row>
        <row r="1225">
          <cell r="B1225" t="str">
            <v>ETT LTD</v>
          </cell>
          <cell r="C1225">
            <v>537707</v>
          </cell>
          <cell r="D1225" t="str">
            <v>Not Listed</v>
          </cell>
          <cell r="E1225" t="str">
            <v>Realty</v>
          </cell>
        </row>
        <row r="1226">
          <cell r="B1226" t="str">
            <v>EUREKA INDUSTRIES LTD</v>
          </cell>
          <cell r="C1226">
            <v>521137</v>
          </cell>
          <cell r="D1226" t="str">
            <v>Not Listed</v>
          </cell>
          <cell r="E1226" t="str">
            <v>Textiles</v>
          </cell>
        </row>
        <row r="1227">
          <cell r="B1227" t="str">
            <v>EURO ASIA EXPORTS LTD</v>
          </cell>
          <cell r="C1227">
            <v>530929</v>
          </cell>
          <cell r="D1227" t="str">
            <v>Not Listed</v>
          </cell>
          <cell r="E1227" t="str">
            <v>Comm.Trading  &amp; Distribution</v>
          </cell>
        </row>
        <row r="1228">
          <cell r="B1228" t="str">
            <v>EURO CERAMICS LTD</v>
          </cell>
          <cell r="C1228">
            <v>532823</v>
          </cell>
          <cell r="D1228" t="str">
            <v>EUROCERA</v>
          </cell>
          <cell r="E1228" t="str">
            <v>Furniture-Furnishing-Paints</v>
          </cell>
        </row>
        <row r="1229">
          <cell r="B1229" t="str">
            <v>EURO INDIA FRESH FOODS LTD</v>
          </cell>
          <cell r="C1229" t="str">
            <v>Not Listed</v>
          </cell>
          <cell r="D1229" t="str">
            <v>EIFFL</v>
          </cell>
          <cell r="E1229" t="str">
            <v>SME</v>
          </cell>
        </row>
        <row r="1230">
          <cell r="B1230" t="str">
            <v>EURO MULTIVISION LTD</v>
          </cell>
          <cell r="C1230">
            <v>533109</v>
          </cell>
          <cell r="D1230" t="str">
            <v>EUROMULTI</v>
          </cell>
          <cell r="E1230" t="str">
            <v>Storage Media &amp; Peripherals</v>
          </cell>
        </row>
        <row r="1231">
          <cell r="B1231" t="str">
            <v>EUROTEX INDUSTRIES &amp; EXPORTS LTD</v>
          </cell>
          <cell r="C1231">
            <v>521014</v>
          </cell>
          <cell r="D1231" t="str">
            <v>Not Listed</v>
          </cell>
          <cell r="E1231" t="str">
            <v>Textiles</v>
          </cell>
        </row>
        <row r="1232">
          <cell r="B1232" t="str">
            <v>Eurotex Industries and Exports LTD</v>
          </cell>
          <cell r="C1232" t="str">
            <v>Not Listed</v>
          </cell>
          <cell r="D1232" t="str">
            <v>EUROTEXIND</v>
          </cell>
          <cell r="E1232" t="str">
            <v>Textiles</v>
          </cell>
        </row>
        <row r="1233">
          <cell r="B1233" t="str">
            <v>Evans Electric Ltd</v>
          </cell>
          <cell r="C1233">
            <v>542668</v>
          </cell>
          <cell r="D1233" t="str">
            <v>EVANS</v>
          </cell>
          <cell r="E1233" t="str">
            <v>Misc.Commercial Services</v>
          </cell>
        </row>
        <row r="1234">
          <cell r="B1234" t="str">
            <v>EVEREADY INDUSTRIES (INDIA) LTD</v>
          </cell>
          <cell r="C1234">
            <v>531508</v>
          </cell>
          <cell r="D1234" t="str">
            <v>EVEREADY</v>
          </cell>
          <cell r="E1234" t="str">
            <v>Non-Durable Household Prod.</v>
          </cell>
        </row>
        <row r="1235">
          <cell r="B1235" t="str">
            <v>EVEREADY INDUSTRIES INDIA LTD</v>
          </cell>
          <cell r="C1235">
            <v>531508</v>
          </cell>
          <cell r="D1235" t="str">
            <v>EVEREADY</v>
          </cell>
          <cell r="E1235" t="str">
            <v>Non-Durable Household Prod.</v>
          </cell>
        </row>
        <row r="1236">
          <cell r="B1236" t="str">
            <v>EVEREST INDUSTRIES LTD</v>
          </cell>
          <cell r="C1236">
            <v>508906</v>
          </cell>
          <cell r="D1236" t="str">
            <v>EVERESTIND</v>
          </cell>
          <cell r="E1236" t="str">
            <v>Cement &amp; Cement Products</v>
          </cell>
        </row>
        <row r="1237">
          <cell r="B1237" t="str">
            <v>EVEREST KANTO CYLINDER LTD</v>
          </cell>
          <cell r="C1237">
            <v>532684</v>
          </cell>
          <cell r="D1237" t="str">
            <v>EKC</v>
          </cell>
          <cell r="E1237" t="str">
            <v>Other Industrial Products</v>
          </cell>
        </row>
        <row r="1238">
          <cell r="B1238" t="str">
            <v>EVEREST ORGANICS LTD</v>
          </cell>
          <cell r="C1238">
            <v>524790</v>
          </cell>
          <cell r="D1238" t="str">
            <v>Not Listed</v>
          </cell>
          <cell r="E1238" t="str">
            <v>Pharmaceuticals</v>
          </cell>
        </row>
        <row r="1239">
          <cell r="B1239" t="str">
            <v>EVERGREEN TEXTILES LTD</v>
          </cell>
          <cell r="C1239">
            <v>514060</v>
          </cell>
          <cell r="D1239" t="str">
            <v>Not Listed</v>
          </cell>
          <cell r="E1239" t="str">
            <v>Textiles</v>
          </cell>
        </row>
        <row r="1240">
          <cell r="B1240" t="str">
            <v>EVERLON SYNTHETICS LTD</v>
          </cell>
          <cell r="C1240">
            <v>514358</v>
          </cell>
          <cell r="D1240" t="str">
            <v>Not Listed</v>
          </cell>
          <cell r="E1240" t="str">
            <v>Textiles</v>
          </cell>
        </row>
        <row r="1241">
          <cell r="B1241" t="str">
            <v>EXCEL CROP CARE LTD</v>
          </cell>
          <cell r="C1241">
            <v>532511</v>
          </cell>
          <cell r="D1241" t="str">
            <v>EXCELCROP</v>
          </cell>
          <cell r="E1241" t="str">
            <v>Agrochemicals</v>
          </cell>
        </row>
        <row r="1242">
          <cell r="B1242" t="str">
            <v>EXCEL INDUSTRIES LTD</v>
          </cell>
          <cell r="C1242">
            <v>500650</v>
          </cell>
          <cell r="D1242" t="str">
            <v>EXCELINDUS</v>
          </cell>
          <cell r="E1242" t="str">
            <v>Specialty Chemicals</v>
          </cell>
        </row>
        <row r="1243">
          <cell r="B1243" t="str">
            <v>EXCEL REALTY N INFRA LTD</v>
          </cell>
          <cell r="C1243">
            <v>533090</v>
          </cell>
          <cell r="D1243" t="str">
            <v>EXCEL</v>
          </cell>
          <cell r="E1243" t="str">
            <v>BPO/KPO</v>
          </cell>
        </row>
        <row r="1244">
          <cell r="B1244" t="str">
            <v>EXIDE INDUSTRIES LTD</v>
          </cell>
          <cell r="C1244">
            <v>500086</v>
          </cell>
          <cell r="D1244" t="str">
            <v>EXIDEIND</v>
          </cell>
          <cell r="E1244" t="str">
            <v>Auto Parts &amp; Equipment</v>
          </cell>
        </row>
        <row r="1245">
          <cell r="B1245" t="str">
            <v>Expleo Solutions LTD</v>
          </cell>
          <cell r="C1245" t="str">
            <v>Not Listed</v>
          </cell>
          <cell r="D1245" t="str">
            <v>EXPLEOSOL</v>
          </cell>
          <cell r="E1245" t="str">
            <v>Auto Parts &amp; Equipment</v>
          </cell>
        </row>
        <row r="1246">
          <cell r="B1246" t="str">
            <v>EXPLICIT FINANCE LTD</v>
          </cell>
          <cell r="C1246">
            <v>530571</v>
          </cell>
          <cell r="D1246" t="str">
            <v>Not Listed</v>
          </cell>
          <cell r="E1246" t="str">
            <v>Misc.Commercial Services</v>
          </cell>
        </row>
        <row r="1247">
          <cell r="B1247" t="str">
            <v>EXPO GAS CONTAINERS LTD</v>
          </cell>
          <cell r="C1247">
            <v>526614</v>
          </cell>
          <cell r="D1247" t="str">
            <v>Not Listed</v>
          </cell>
          <cell r="E1247" t="str">
            <v>Other Industrial Products</v>
          </cell>
        </row>
        <row r="1248">
          <cell r="B1248" t="str">
            <v>F MEC INTERNATIONAL FINANCIAL SERVICES LTD</v>
          </cell>
          <cell r="C1248">
            <v>539552</v>
          </cell>
          <cell r="D1248" t="str">
            <v>Not Listed</v>
          </cell>
          <cell r="E1248" t="str">
            <v>Finance (including NBFCs)</v>
          </cell>
        </row>
        <row r="1249">
          <cell r="B1249" t="str">
            <v>FACOR ALLOYS LTD</v>
          </cell>
          <cell r="C1249">
            <v>532656</v>
          </cell>
          <cell r="D1249" t="str">
            <v>Not Listed</v>
          </cell>
          <cell r="E1249" t="str">
            <v>Iron &amp; Steel/Interm.Products</v>
          </cell>
        </row>
        <row r="1250">
          <cell r="B1250" t="str">
            <v>FAIR DEAL FILAMENTS LTD</v>
          </cell>
          <cell r="C1250">
            <v>514474</v>
          </cell>
          <cell r="D1250" t="str">
            <v>Not Listed</v>
          </cell>
          <cell r="E1250" t="str">
            <v>Textiles</v>
          </cell>
        </row>
        <row r="1251">
          <cell r="B1251" t="str">
            <v>FAIRCHEM SPECIALITY LTD</v>
          </cell>
          <cell r="C1251">
            <v>530117</v>
          </cell>
          <cell r="D1251" t="str">
            <v>FAIRCHEM</v>
          </cell>
          <cell r="E1251" t="str">
            <v>Specialty Chemicals</v>
          </cell>
        </row>
        <row r="1252">
          <cell r="B1252" t="str">
            <v>FAZE THREE LTD</v>
          </cell>
          <cell r="C1252">
            <v>530079</v>
          </cell>
          <cell r="D1252" t="str">
            <v>Not Listed</v>
          </cell>
          <cell r="E1252" t="str">
            <v>Textiles</v>
          </cell>
        </row>
        <row r="1253">
          <cell r="B1253" t="str">
            <v>FCS SOFTWARE SOLUTIONS LTD</v>
          </cell>
          <cell r="C1253">
            <v>532666</v>
          </cell>
          <cell r="D1253" t="str">
            <v>FCSSOFT</v>
          </cell>
          <cell r="E1253" t="str">
            <v>IT Consulting &amp; Software</v>
          </cell>
        </row>
        <row r="1254">
          <cell r="B1254" t="str">
            <v>FDC LTD</v>
          </cell>
          <cell r="C1254">
            <v>531599</v>
          </cell>
          <cell r="D1254" t="str">
            <v>FDC</v>
          </cell>
          <cell r="E1254" t="str">
            <v>Pharmaceuticals</v>
          </cell>
        </row>
        <row r="1255">
          <cell r="B1255" t="str">
            <v>FEDERAL-MOGUL GOETZE (INDIA) LTD</v>
          </cell>
          <cell r="C1255">
            <v>505744</v>
          </cell>
          <cell r="D1255" t="str">
            <v>FMGOETZE</v>
          </cell>
          <cell r="E1255" t="str">
            <v>Auto Parts &amp; Equipment</v>
          </cell>
        </row>
        <row r="1256">
          <cell r="B1256" t="str">
            <v>FEDERAL-MOGUL GOETZE INDIA LTD</v>
          </cell>
          <cell r="C1256">
            <v>505744</v>
          </cell>
          <cell r="D1256" t="str">
            <v>FMGOETZE</v>
          </cell>
          <cell r="E1256" t="str">
            <v>Auto Parts &amp; Equipment</v>
          </cell>
        </row>
        <row r="1257">
          <cell r="B1257" t="str">
            <v>FELIX INDUSTRIES LTD</v>
          </cell>
          <cell r="C1257" t="str">
            <v>Not Listed</v>
          </cell>
          <cell r="D1257" t="str">
            <v>FELIX</v>
          </cell>
          <cell r="E1257" t="str">
            <v>SME</v>
          </cell>
        </row>
        <row r="1258">
          <cell r="B1258" t="str">
            <v>FENOPLAST LTD</v>
          </cell>
          <cell r="C1258">
            <v>526689</v>
          </cell>
          <cell r="D1258" t="str">
            <v>Not Listed</v>
          </cell>
          <cell r="E1258" t="str">
            <v>Plastic Products</v>
          </cell>
        </row>
        <row r="1259">
          <cell r="B1259" t="str">
            <v>FERRO ALLOYS CORPORATION LTD</v>
          </cell>
          <cell r="C1259">
            <v>500141</v>
          </cell>
          <cell r="D1259" t="str">
            <v>Not Listed</v>
          </cell>
          <cell r="E1259" t="str">
            <v>Iron &amp; Steel/Interm.Products</v>
          </cell>
        </row>
        <row r="1260">
          <cell r="B1260" t="str">
            <v>FERTILIZERS AND CHEMICALS TRAVANCORE LTD</v>
          </cell>
          <cell r="C1260">
            <v>590024</v>
          </cell>
          <cell r="D1260" t="str">
            <v>FACT</v>
          </cell>
          <cell r="E1260" t="str">
            <v>Fertilizers</v>
          </cell>
        </row>
        <row r="1261">
          <cell r="B1261" t="str">
            <v>FERVENT SYNERGIES LTD</v>
          </cell>
          <cell r="C1261">
            <v>533896</v>
          </cell>
          <cell r="D1261" t="str">
            <v>Not Listed</v>
          </cell>
          <cell r="E1261" t="str">
            <v>Pharmaceuticals</v>
          </cell>
        </row>
        <row r="1262">
          <cell r="B1262" t="str">
            <v>FGP LTD</v>
          </cell>
          <cell r="C1262">
            <v>500142</v>
          </cell>
          <cell r="D1262" t="str">
            <v>Not Listed</v>
          </cell>
          <cell r="E1262" t="str">
            <v>Finance (including NBFCs)</v>
          </cell>
        </row>
        <row r="1263">
          <cell r="B1263" t="str">
            <v>FIBERWEB (INDIA) LTD</v>
          </cell>
          <cell r="C1263">
            <v>507910</v>
          </cell>
          <cell r="D1263" t="str">
            <v>Not Listed</v>
          </cell>
          <cell r="E1263" t="str">
            <v>Plastic Products</v>
          </cell>
        </row>
        <row r="1264">
          <cell r="B1264" t="str">
            <v>FIBERWEB INDIA LTD</v>
          </cell>
          <cell r="C1264">
            <v>507910</v>
          </cell>
          <cell r="D1264" t="str">
            <v>Not Listed</v>
          </cell>
          <cell r="E1264" t="str">
            <v>Plastic Products</v>
          </cell>
        </row>
        <row r="1265">
          <cell r="B1265" t="str">
            <v>FIEM INDUSTRIES LTD</v>
          </cell>
          <cell r="C1265">
            <v>532768</v>
          </cell>
          <cell r="D1265" t="str">
            <v>FIEMIND</v>
          </cell>
          <cell r="E1265" t="str">
            <v>Auto Parts &amp; Equipment</v>
          </cell>
        </row>
        <row r="1266">
          <cell r="B1266" t="str">
            <v>FILATEX (INDIA) LTD</v>
          </cell>
          <cell r="C1266">
            <v>526227</v>
          </cell>
          <cell r="D1266" t="str">
            <v>FILATEX</v>
          </cell>
          <cell r="E1266" t="str">
            <v>Textiles</v>
          </cell>
        </row>
        <row r="1267">
          <cell r="B1267" t="str">
            <v>FILATEX FASHIONS LTD</v>
          </cell>
          <cell r="C1267">
            <v>532022</v>
          </cell>
          <cell r="D1267" t="str">
            <v>Not Listed</v>
          </cell>
          <cell r="E1267" t="str">
            <v>Textiles</v>
          </cell>
        </row>
        <row r="1268">
          <cell r="B1268" t="str">
            <v>FILATEX INDIA LTD</v>
          </cell>
          <cell r="C1268">
            <v>526227</v>
          </cell>
          <cell r="D1268" t="str">
            <v>FILATEX</v>
          </cell>
          <cell r="E1268" t="str">
            <v>Textiles</v>
          </cell>
        </row>
        <row r="1269">
          <cell r="B1269" t="str">
            <v>FILTRA CONSULTANTS AND ENGINEERS LTD</v>
          </cell>
          <cell r="C1269">
            <v>539098</v>
          </cell>
          <cell r="D1269" t="str">
            <v>Not Listed</v>
          </cell>
          <cell r="E1269" t="str">
            <v>Utilities:Non-Elec.</v>
          </cell>
        </row>
        <row r="1270">
          <cell r="B1270" t="str">
            <v>FINE ORGANIC INDUSTRIES LTD</v>
          </cell>
          <cell r="C1270">
            <v>541557</v>
          </cell>
          <cell r="D1270" t="str">
            <v>FINEORG</v>
          </cell>
          <cell r="E1270" t="str">
            <v>Specialty Chemicals</v>
          </cell>
        </row>
        <row r="1271">
          <cell r="B1271" t="str">
            <v>FINE-LINE CIRCUITS LTD.</v>
          </cell>
          <cell r="C1271">
            <v>517264</v>
          </cell>
          <cell r="D1271" t="str">
            <v>FINELINE</v>
          </cell>
          <cell r="E1271" t="str">
            <v>Electronic Components</v>
          </cell>
        </row>
        <row r="1272">
          <cell r="B1272" t="str">
            <v>FINEOTEX CHEMICAL LTD</v>
          </cell>
          <cell r="C1272">
            <v>533333</v>
          </cell>
          <cell r="D1272" t="str">
            <v>FCL</v>
          </cell>
          <cell r="E1272" t="str">
            <v>Specialty Chemicals</v>
          </cell>
        </row>
        <row r="1273">
          <cell r="B1273" t="str">
            <v>FINKURVE FINANCIAL SERVICES LTD</v>
          </cell>
          <cell r="C1273">
            <v>508954</v>
          </cell>
          <cell r="D1273" t="str">
            <v>Not Listed</v>
          </cell>
          <cell r="E1273" t="str">
            <v>Finance (including NBFCs)</v>
          </cell>
        </row>
        <row r="1274">
          <cell r="B1274" t="str">
            <v>FINOLEX CABLES LTD</v>
          </cell>
          <cell r="C1274">
            <v>500144</v>
          </cell>
          <cell r="D1274" t="str">
            <v>FINCABLES</v>
          </cell>
          <cell r="E1274" t="str">
            <v>Other Elect.Equip./ Prod.</v>
          </cell>
        </row>
        <row r="1275">
          <cell r="B1275" t="str">
            <v>FINOLEX INDUSTRIES LTD</v>
          </cell>
          <cell r="C1275">
            <v>500940</v>
          </cell>
          <cell r="D1275" t="str">
            <v>FINPIPE</v>
          </cell>
          <cell r="E1275" t="str">
            <v>Plastic Products</v>
          </cell>
        </row>
        <row r="1276">
          <cell r="B1276" t="str">
            <v>FIRST CUSTODIAN FUND (INDIA) LTD</v>
          </cell>
          <cell r="C1276">
            <v>511122</v>
          </cell>
          <cell r="D1276" t="str">
            <v>Not Listed</v>
          </cell>
          <cell r="E1276" t="str">
            <v>Finance (including NBFCs)</v>
          </cell>
        </row>
        <row r="1277">
          <cell r="B1277" t="str">
            <v>FIRST CUSTODIAN FUND INDIA LTD</v>
          </cell>
          <cell r="C1277">
            <v>511122</v>
          </cell>
          <cell r="D1277" t="str">
            <v>Not Listed</v>
          </cell>
          <cell r="E1277" t="str">
            <v>Finance (including NBFCs)</v>
          </cell>
        </row>
        <row r="1278">
          <cell r="B1278" t="str">
            <v>FIRSTOBJECT TECHNOLOGIES LTD</v>
          </cell>
          <cell r="C1278">
            <v>532379</v>
          </cell>
          <cell r="D1278" t="str">
            <v>Not Listed</v>
          </cell>
          <cell r="E1278" t="str">
            <v>IT Software Products</v>
          </cell>
        </row>
        <row r="1279">
          <cell r="B1279" t="str">
            <v>FIRSTSOURCE SOLUTIONS LTD</v>
          </cell>
          <cell r="C1279">
            <v>532809</v>
          </cell>
          <cell r="D1279" t="str">
            <v>FSL</v>
          </cell>
          <cell r="E1279" t="str">
            <v>BPO/KPO</v>
          </cell>
        </row>
        <row r="1280">
          <cell r="B1280" t="str">
            <v>FISCHER CHEMIC LTD</v>
          </cell>
          <cell r="C1280">
            <v>524743</v>
          </cell>
          <cell r="D1280" t="str">
            <v>Not Listed</v>
          </cell>
          <cell r="E1280" t="str">
            <v>Commodity Chemicals</v>
          </cell>
        </row>
        <row r="1281">
          <cell r="B1281" t="str">
            <v>FIVE CORE ELECTRONICS LTD</v>
          </cell>
          <cell r="C1281" t="str">
            <v>Not Listed</v>
          </cell>
          <cell r="D1281" t="str">
            <v>FIVECORE</v>
          </cell>
          <cell r="E1281" t="str">
            <v>SME</v>
          </cell>
        </row>
        <row r="1282">
          <cell r="B1282" t="str">
            <v>FIVE CORE EXIM LTD</v>
          </cell>
          <cell r="C1282">
            <v>530885</v>
          </cell>
          <cell r="D1282" t="str">
            <v>Not Listed</v>
          </cell>
          <cell r="E1282" t="str">
            <v>IT Consulting &amp; Software</v>
          </cell>
        </row>
        <row r="1283">
          <cell r="B1283" t="str">
            <v>FIVE X TRADECOM LTD</v>
          </cell>
          <cell r="C1283">
            <v>536751</v>
          </cell>
          <cell r="D1283" t="str">
            <v>Not Listed</v>
          </cell>
          <cell r="E1283" t="str">
            <v>Other Financial Services</v>
          </cell>
        </row>
        <row r="1284">
          <cell r="B1284" t="str">
            <v>FLEX FOODS LTD</v>
          </cell>
          <cell r="C1284">
            <v>523672</v>
          </cell>
          <cell r="D1284" t="str">
            <v>Not Listed</v>
          </cell>
          <cell r="E1284" t="str">
            <v>Other Agricultural Products</v>
          </cell>
        </row>
        <row r="1285">
          <cell r="B1285" t="str">
            <v>FLEXITUFF VENTURES INTERNATIONAL LTD</v>
          </cell>
          <cell r="C1285">
            <v>533638</v>
          </cell>
          <cell r="D1285" t="str">
            <v>FLEXITUFF</v>
          </cell>
          <cell r="E1285" t="str">
            <v>Plastic Products</v>
          </cell>
        </row>
        <row r="1286">
          <cell r="B1286" t="str">
            <v>FLORA CORPORATION LTD</v>
          </cell>
          <cell r="C1286">
            <v>540267</v>
          </cell>
          <cell r="D1286" t="str">
            <v>Not Listed</v>
          </cell>
          <cell r="E1286" t="str">
            <v>Comm.Trading  &amp; Distribution</v>
          </cell>
        </row>
        <row r="1287">
          <cell r="B1287" t="str">
            <v>FLORA TEXTILES LTD</v>
          </cell>
          <cell r="C1287">
            <v>530705</v>
          </cell>
          <cell r="D1287" t="str">
            <v>Not Listed</v>
          </cell>
          <cell r="E1287" t="str">
            <v>Textiles</v>
          </cell>
        </row>
        <row r="1288">
          <cell r="B1288" t="str">
            <v>FLORENCE INVESTECH LTD</v>
          </cell>
          <cell r="C1288">
            <v>532518</v>
          </cell>
          <cell r="D1288" t="str">
            <v>Not Listed</v>
          </cell>
          <cell r="E1288" t="str">
            <v>Investment Companies</v>
          </cell>
        </row>
        <row r="1289">
          <cell r="B1289" t="str">
            <v>FLUIDOMAT LTD</v>
          </cell>
          <cell r="C1289">
            <v>522017</v>
          </cell>
          <cell r="D1289" t="str">
            <v>Not Listed</v>
          </cell>
          <cell r="E1289" t="str">
            <v>Other Elect.Equip./ Prod.</v>
          </cell>
        </row>
        <row r="1290">
          <cell r="B1290" t="str">
            <v>FOCUS INDUSTRIAL RESOURCES LTD</v>
          </cell>
          <cell r="C1290">
            <v>534757</v>
          </cell>
          <cell r="D1290" t="str">
            <v>Not Listed</v>
          </cell>
          <cell r="E1290" t="str">
            <v>Finance (including NBFCs)</v>
          </cell>
        </row>
        <row r="1291">
          <cell r="B1291" t="str">
            <v>FOCUS LIGHTING AND FIXTURES LTD</v>
          </cell>
          <cell r="C1291" t="str">
            <v>Not Listed</v>
          </cell>
          <cell r="D1291" t="str">
            <v>FOCUS</v>
          </cell>
          <cell r="E1291" t="str">
            <v>SME</v>
          </cell>
        </row>
        <row r="1292">
          <cell r="B1292" t="str">
            <v>FOCUS SUITES SOLUTIONS &amp; SERVICES LTD</v>
          </cell>
          <cell r="C1292">
            <v>540945</v>
          </cell>
          <cell r="D1292" t="str">
            <v>Not Listed</v>
          </cell>
          <cell r="E1292" t="str">
            <v>Consulting Services</v>
          </cell>
        </row>
        <row r="1293">
          <cell r="B1293" t="str">
            <v>FOMENTO RESORTS &amp; HOTELS LTD</v>
          </cell>
          <cell r="C1293">
            <v>503831</v>
          </cell>
          <cell r="D1293" t="str">
            <v>Not Listed</v>
          </cell>
          <cell r="E1293" t="str">
            <v>Hotels</v>
          </cell>
        </row>
        <row r="1294">
          <cell r="B1294" t="str">
            <v>FOODS &amp; INNS LTD</v>
          </cell>
          <cell r="C1294">
            <v>507552</v>
          </cell>
          <cell r="D1294" t="str">
            <v>Not Listed</v>
          </cell>
          <cell r="E1294" t="str">
            <v>Other Food Products</v>
          </cell>
        </row>
        <row r="1295">
          <cell r="B1295" t="str">
            <v>FORBES &amp; COMPANY LTD</v>
          </cell>
          <cell r="C1295">
            <v>502865</v>
          </cell>
          <cell r="D1295" t="str">
            <v>Not Listed</v>
          </cell>
          <cell r="E1295" t="str">
            <v>Industrial Machinery</v>
          </cell>
        </row>
        <row r="1296">
          <cell r="B1296" t="str">
            <v>FORCE MOTORS LTD</v>
          </cell>
          <cell r="C1296">
            <v>500033</v>
          </cell>
          <cell r="D1296" t="str">
            <v>Not Listed</v>
          </cell>
          <cell r="E1296" t="str">
            <v>Cars &amp; Utility Vehicles</v>
          </cell>
        </row>
        <row r="1297">
          <cell r="B1297" t="str">
            <v>FORTIS HEALTHCARE LTD</v>
          </cell>
          <cell r="C1297">
            <v>532843</v>
          </cell>
          <cell r="D1297" t="str">
            <v>FORTIS</v>
          </cell>
          <cell r="E1297" t="str">
            <v>Healthcare Facilities</v>
          </cell>
        </row>
        <row r="1298">
          <cell r="B1298" t="str">
            <v>FORTIS MALAR HOSPITALS LTD</v>
          </cell>
          <cell r="C1298">
            <v>523696</v>
          </cell>
          <cell r="D1298" t="str">
            <v>Not Listed</v>
          </cell>
          <cell r="E1298" t="str">
            <v>Healthcare Services</v>
          </cell>
        </row>
        <row r="1299">
          <cell r="B1299" t="str">
            <v>FORTUNE INTERNATIONAL LTD</v>
          </cell>
          <cell r="C1299">
            <v>530213</v>
          </cell>
          <cell r="D1299" t="str">
            <v>Not Listed</v>
          </cell>
          <cell r="E1299" t="str">
            <v>Comm.Trading  &amp; Distribution</v>
          </cell>
        </row>
        <row r="1300">
          <cell r="B1300" t="str">
            <v>FOSECO (INDIA) LTD</v>
          </cell>
          <cell r="C1300">
            <v>500150</v>
          </cell>
          <cell r="D1300" t="str">
            <v>FOSECOIND</v>
          </cell>
          <cell r="E1300" t="str">
            <v>Commodity Chemicals</v>
          </cell>
        </row>
        <row r="1301">
          <cell r="B1301" t="str">
            <v>FOSECO INDIA LTD</v>
          </cell>
          <cell r="C1301">
            <v>500150</v>
          </cell>
          <cell r="D1301" t="str">
            <v>FOSECOIND</v>
          </cell>
          <cell r="E1301" t="str">
            <v>Commodity Chemicals</v>
          </cell>
        </row>
        <row r="1302">
          <cell r="B1302" t="str">
            <v>FOUNDRY FUEL PRODUCTS LTD</v>
          </cell>
          <cell r="C1302">
            <v>513579</v>
          </cell>
          <cell r="D1302" t="str">
            <v>Not Listed</v>
          </cell>
          <cell r="E1302" t="str">
            <v>Coal</v>
          </cell>
        </row>
        <row r="1303">
          <cell r="B1303" t="str">
            <v>FOURTH DIMENSION SOLUTIONS LTD</v>
          </cell>
          <cell r="C1303" t="str">
            <v>Not Listed</v>
          </cell>
          <cell r="D1303" t="str">
            <v>FOURTHDIM</v>
          </cell>
          <cell r="E1303" t="str">
            <v>SME</v>
          </cell>
        </row>
        <row r="1304">
          <cell r="B1304" t="str">
            <v>FOURTH GENERATION INFORMATION SYSTEMS LTD</v>
          </cell>
          <cell r="C1304">
            <v>532403</v>
          </cell>
          <cell r="D1304" t="str">
            <v>Not Listed</v>
          </cell>
          <cell r="E1304" t="str">
            <v>IT Software Products</v>
          </cell>
        </row>
        <row r="1305">
          <cell r="B1305" t="str">
            <v>FRANKLIN INDUSTRIES LTD</v>
          </cell>
          <cell r="C1305">
            <v>540190</v>
          </cell>
          <cell r="D1305" t="str">
            <v>Not Listed</v>
          </cell>
          <cell r="E1305" t="str">
            <v>Comm.Trading  &amp; Distribution</v>
          </cell>
        </row>
        <row r="1306">
          <cell r="B1306" t="str">
            <v>FRANKLIN LEASING AND FINANCE LTD</v>
          </cell>
          <cell r="C1306">
            <v>539839</v>
          </cell>
          <cell r="D1306" t="str">
            <v>Not Listed</v>
          </cell>
          <cell r="E1306" t="str">
            <v>Finance (including NBFCs)</v>
          </cell>
        </row>
        <row r="1307">
          <cell r="B1307" t="str">
            <v>Fraser and Company Ltd</v>
          </cell>
          <cell r="C1307">
            <v>539032</v>
          </cell>
          <cell r="D1307" t="str">
            <v>FRASER</v>
          </cell>
          <cell r="E1307" t="str">
            <v>Comm.Trading  &amp;amp; Distribution</v>
          </cell>
        </row>
        <row r="1308">
          <cell r="B1308" t="str">
            <v>FREDUN PHARMACEUTICALS LTD</v>
          </cell>
          <cell r="C1308">
            <v>539730</v>
          </cell>
          <cell r="D1308" t="str">
            <v>Not Listed</v>
          </cell>
          <cell r="E1308" t="str">
            <v>Pharmaceuticals</v>
          </cell>
        </row>
        <row r="1309">
          <cell r="B1309" t="str">
            <v>FRESHTROP FRUITS LTD</v>
          </cell>
          <cell r="C1309">
            <v>530077</v>
          </cell>
          <cell r="D1309" t="str">
            <v>Not Listed</v>
          </cell>
          <cell r="E1309" t="str">
            <v>Other Agricultural Products</v>
          </cell>
        </row>
        <row r="1310">
          <cell r="B1310" t="str">
            <v>FRONTIER CAPITAL LTD</v>
          </cell>
          <cell r="C1310">
            <v>508980</v>
          </cell>
          <cell r="D1310" t="str">
            <v>Not Listed</v>
          </cell>
          <cell r="E1310" t="str">
            <v>Misc.Commercial Services</v>
          </cell>
        </row>
        <row r="1311">
          <cell r="B1311" t="str">
            <v>FRONTIER SPRINGS LTD</v>
          </cell>
          <cell r="C1311">
            <v>522195</v>
          </cell>
          <cell r="D1311" t="str">
            <v>Not Listed</v>
          </cell>
          <cell r="E1311" t="str">
            <v>Auto Parts &amp; Equipment</v>
          </cell>
        </row>
        <row r="1312">
          <cell r="B1312" t="str">
            <v>FRONTLINE BUSINESS SOLUTIONS LTD.</v>
          </cell>
          <cell r="C1312">
            <v>521167</v>
          </cell>
          <cell r="D1312" t="str">
            <v>FRONTBUSS</v>
          </cell>
          <cell r="E1312" t="str">
            <v>Other Apparels &amp;amp; Accessories</v>
          </cell>
        </row>
        <row r="1313">
          <cell r="B1313" t="str">
            <v>FRONTLINE CORPORATION LTD</v>
          </cell>
          <cell r="C1313">
            <v>532042</v>
          </cell>
          <cell r="D1313" t="str">
            <v>Not Listed</v>
          </cell>
          <cell r="E1313" t="str">
            <v>Surface Transportation</v>
          </cell>
        </row>
        <row r="1314">
          <cell r="B1314" t="str">
            <v>FRONTLINE SECURITIES LTD</v>
          </cell>
          <cell r="C1314">
            <v>533213</v>
          </cell>
          <cell r="D1314" t="str">
            <v>Not Listed</v>
          </cell>
          <cell r="E1314" t="str">
            <v>Other Financial Services</v>
          </cell>
        </row>
        <row r="1315">
          <cell r="B1315" t="str">
            <v>FRUITION VENTURE LTD</v>
          </cell>
          <cell r="C1315">
            <v>538568</v>
          </cell>
          <cell r="D1315" t="str">
            <v>Not Listed</v>
          </cell>
          <cell r="E1315" t="str">
            <v>Comm.Trading  &amp; Distribution</v>
          </cell>
        </row>
        <row r="1316">
          <cell r="B1316" t="str">
            <v>FUNNY SOFTWARE LTD</v>
          </cell>
          <cell r="C1316">
            <v>539169</v>
          </cell>
          <cell r="D1316" t="str">
            <v>Not Listed</v>
          </cell>
          <cell r="E1316" t="str">
            <v>IT Consulting &amp; Software</v>
          </cell>
        </row>
        <row r="1317">
          <cell r="B1317" t="str">
            <v>FUTURE CONSUMER LTD</v>
          </cell>
          <cell r="C1317">
            <v>533400</v>
          </cell>
          <cell r="D1317" t="str">
            <v>FCONSUMER</v>
          </cell>
          <cell r="E1317" t="str">
            <v>Packaged Foods</v>
          </cell>
        </row>
        <row r="1318">
          <cell r="B1318" t="str">
            <v>FUTURE ENTERPRISES LTD</v>
          </cell>
          <cell r="C1318">
            <v>523574</v>
          </cell>
          <cell r="D1318" t="str">
            <v>FEL</v>
          </cell>
          <cell r="E1318" t="str">
            <v>Department Stores</v>
          </cell>
        </row>
        <row r="1319">
          <cell r="B1319" t="str">
            <v>FUTURE ENTERPRISES LTD</v>
          </cell>
          <cell r="C1319">
            <v>570002</v>
          </cell>
          <cell r="D1319" t="str">
            <v>FELDVR</v>
          </cell>
          <cell r="E1319" t="str">
            <v>Department Stores</v>
          </cell>
        </row>
        <row r="1320">
          <cell r="B1320" t="str">
            <v>FUTURE LIFESTYLE FASHIONS LTD</v>
          </cell>
          <cell r="C1320">
            <v>536507</v>
          </cell>
          <cell r="D1320" t="str">
            <v>FLFL</v>
          </cell>
          <cell r="E1320" t="str">
            <v>Department Stores</v>
          </cell>
        </row>
        <row r="1321">
          <cell r="B1321" t="str">
            <v>FUTURE MARKET NETWORKS LTD</v>
          </cell>
          <cell r="C1321">
            <v>533296</v>
          </cell>
          <cell r="D1321" t="str">
            <v>FMNL</v>
          </cell>
          <cell r="E1321" t="str">
            <v>Department Stores</v>
          </cell>
        </row>
        <row r="1322">
          <cell r="B1322" t="str">
            <v>FUTURE RETAIL LTD</v>
          </cell>
          <cell r="C1322">
            <v>540064</v>
          </cell>
          <cell r="D1322" t="str">
            <v>FRETAIL</v>
          </cell>
          <cell r="E1322" t="str">
            <v>Department Stores</v>
          </cell>
        </row>
        <row r="1323">
          <cell r="B1323" t="str">
            <v>FUTURE SUPPLY CHAIN SOLUTIONS LTD</v>
          </cell>
          <cell r="C1323">
            <v>540798</v>
          </cell>
          <cell r="D1323" t="str">
            <v>FSC</v>
          </cell>
          <cell r="E1323" t="str">
            <v>Transportation - Logistics</v>
          </cell>
        </row>
        <row r="1324">
          <cell r="B1324" t="str">
            <v>FUTURISTIC SECURITIES LTD</v>
          </cell>
          <cell r="C1324">
            <v>523113</v>
          </cell>
          <cell r="D1324" t="str">
            <v>Not Listed</v>
          </cell>
          <cell r="E1324" t="str">
            <v>Finance (including NBFCs)</v>
          </cell>
        </row>
        <row r="1325">
          <cell r="B1325" t="str">
            <v>FUTURISTIC SOLUTIONS LTD</v>
          </cell>
          <cell r="C1325">
            <v>534063</v>
          </cell>
          <cell r="D1325" t="str">
            <v>Not Listed</v>
          </cell>
          <cell r="E1325" t="str">
            <v>Other Financial Services</v>
          </cell>
        </row>
        <row r="1326">
          <cell r="B1326" t="str">
            <v>G D TRADING &amp; AGENCIES LTD</v>
          </cell>
          <cell r="C1326">
            <v>504346</v>
          </cell>
          <cell r="D1326" t="str">
            <v>Not Listed</v>
          </cell>
          <cell r="E1326" t="str">
            <v>Other Financial Services</v>
          </cell>
        </row>
        <row r="1327">
          <cell r="B1327" t="str">
            <v>G G DANDEKAR MACHINE WORKS LTD</v>
          </cell>
          <cell r="C1327">
            <v>505250</v>
          </cell>
          <cell r="D1327" t="str">
            <v>Not Listed</v>
          </cell>
          <cell r="E1327" t="str">
            <v>Industrial Machinery</v>
          </cell>
        </row>
        <row r="1328">
          <cell r="B1328" t="str">
            <v>G G ENGINEERING LTD</v>
          </cell>
          <cell r="C1328">
            <v>540614</v>
          </cell>
          <cell r="D1328" t="str">
            <v>Not Listed</v>
          </cell>
          <cell r="E1328" t="str">
            <v>Heavy Electrical Equipment</v>
          </cell>
        </row>
        <row r="1329">
          <cell r="B1329" t="str">
            <v>G K CONSULTANTS LTD</v>
          </cell>
          <cell r="C1329">
            <v>531758</v>
          </cell>
          <cell r="D1329" t="str">
            <v>Not Listed</v>
          </cell>
          <cell r="E1329" t="str">
            <v>Finance (including NBFCs)</v>
          </cell>
        </row>
        <row r="1330">
          <cell r="B1330" t="str">
            <v>G S AUTO INTERNATIONAL LTD</v>
          </cell>
          <cell r="C1330">
            <v>513059</v>
          </cell>
          <cell r="D1330" t="str">
            <v>Not Listed</v>
          </cell>
          <cell r="E1330" t="str">
            <v>Auto Parts &amp; Equipment</v>
          </cell>
        </row>
        <row r="1331">
          <cell r="B1331" t="str">
            <v>G. K. P. Printing &amp;amp; Packaging Ltd</v>
          </cell>
          <cell r="C1331">
            <v>542666</v>
          </cell>
          <cell r="D1331" t="str">
            <v>GKP</v>
          </cell>
          <cell r="E1331" t="str">
            <v>Containers &amp;amp; Packaging</v>
          </cell>
        </row>
        <row r="1332">
          <cell r="B1332" t="str">
            <v>GABRIEL (INDIA) LTD</v>
          </cell>
          <cell r="C1332">
            <v>505714</v>
          </cell>
          <cell r="D1332" t="str">
            <v>GABRIEL</v>
          </cell>
          <cell r="E1332" t="str">
            <v>Auto Parts &amp; Equipment</v>
          </cell>
        </row>
        <row r="1333">
          <cell r="B1333" t="str">
            <v>GABRIEL INDIA LTD</v>
          </cell>
          <cell r="C1333">
            <v>505714</v>
          </cell>
          <cell r="D1333" t="str">
            <v>GABRIEL</v>
          </cell>
          <cell r="E1333" t="str">
            <v>Auto Parts &amp; Equipment</v>
          </cell>
        </row>
        <row r="1334">
          <cell r="B1334" t="str">
            <v>GAGAN GASES LTD.</v>
          </cell>
          <cell r="C1334">
            <v>524624</v>
          </cell>
          <cell r="D1334" t="str">
            <v>GAGAN</v>
          </cell>
          <cell r="E1334" t="str">
            <v>Integrated Oil &amp;amp; Gas</v>
          </cell>
        </row>
        <row r="1335">
          <cell r="B1335" t="str">
            <v>GAGAN POLYCOT (INDIA) LTD</v>
          </cell>
          <cell r="C1335">
            <v>531196</v>
          </cell>
          <cell r="D1335" t="str">
            <v>Not Listed</v>
          </cell>
          <cell r="E1335" t="str">
            <v>Comm.Trading  &amp; Distribution</v>
          </cell>
        </row>
        <row r="1336">
          <cell r="B1336" t="str">
            <v>GAGAN POLYCOT INDIA LTD</v>
          </cell>
          <cell r="C1336">
            <v>531196</v>
          </cell>
          <cell r="D1336" t="str">
            <v>Not Listed</v>
          </cell>
          <cell r="E1336" t="str">
            <v>Comm.Trading  &amp; Distribution</v>
          </cell>
        </row>
        <row r="1337">
          <cell r="B1337" t="str">
            <v>GAIL (INDIA) LTD</v>
          </cell>
          <cell r="C1337">
            <v>532155</v>
          </cell>
          <cell r="D1337" t="str">
            <v>GAIL</v>
          </cell>
          <cell r="E1337" t="str">
            <v>Utilities:Non-Elec.</v>
          </cell>
        </row>
        <row r="1338">
          <cell r="B1338" t="str">
            <v>GAIL INDIA LTD</v>
          </cell>
          <cell r="C1338">
            <v>532155</v>
          </cell>
          <cell r="D1338" t="str">
            <v>GAIL</v>
          </cell>
          <cell r="E1338" t="str">
            <v>Utilities:Non-Elec.</v>
          </cell>
        </row>
        <row r="1339">
          <cell r="B1339" t="str">
            <v>GAJANAN SECURITIES SERVICES LTD</v>
          </cell>
          <cell r="C1339">
            <v>538609</v>
          </cell>
          <cell r="D1339" t="str">
            <v>Not Listed</v>
          </cell>
          <cell r="E1339" t="str">
            <v>Other Financial Services</v>
          </cell>
        </row>
        <row r="1340">
          <cell r="B1340" t="str">
            <v>GAJRA BEVEL GEARS LTD</v>
          </cell>
          <cell r="C1340">
            <v>505711</v>
          </cell>
          <cell r="D1340" t="str">
            <v>Not Listed</v>
          </cell>
          <cell r="E1340" t="str">
            <v>Auto Parts &amp; Equipment</v>
          </cell>
        </row>
        <row r="1341">
          <cell r="B1341" t="str">
            <v>GALA GLOBAL PRODUCTS LTD</v>
          </cell>
          <cell r="C1341">
            <v>539228</v>
          </cell>
          <cell r="D1341" t="str">
            <v>Not Listed</v>
          </cell>
          <cell r="E1341" t="str">
            <v>Comm.Printing/Stationery</v>
          </cell>
        </row>
        <row r="1342">
          <cell r="B1342" t="str">
            <v>GALADA FINANCE LTD</v>
          </cell>
          <cell r="C1342">
            <v>538881</v>
          </cell>
          <cell r="D1342" t="str">
            <v>Not Listed</v>
          </cell>
          <cell r="E1342" t="str">
            <v>Finance (including NBFCs)</v>
          </cell>
        </row>
        <row r="1343">
          <cell r="B1343" t="str">
            <v>GALADA POWER &amp; TELECOMMUNICATION LTD</v>
          </cell>
          <cell r="C1343">
            <v>504697</v>
          </cell>
          <cell r="D1343" t="str">
            <v>Not Listed</v>
          </cell>
          <cell r="E1343" t="str">
            <v>Other Elect.Equip./ Prod.</v>
          </cell>
        </row>
        <row r="1344">
          <cell r="B1344" t="str">
            <v>GALAXY AGRICO EXPORTS LTD</v>
          </cell>
          <cell r="C1344">
            <v>531911</v>
          </cell>
          <cell r="D1344" t="str">
            <v>Not Listed</v>
          </cell>
          <cell r="E1344" t="str">
            <v>Industrial Machinery</v>
          </cell>
        </row>
        <row r="1345">
          <cell r="B1345" t="str">
            <v>GALAXY BEARINGS LTD</v>
          </cell>
          <cell r="C1345">
            <v>526073</v>
          </cell>
          <cell r="D1345" t="str">
            <v>Not Listed</v>
          </cell>
          <cell r="E1345" t="str">
            <v>Other Industrial Goods</v>
          </cell>
        </row>
        <row r="1346">
          <cell r="B1346" t="str">
            <v>GALAXY ENTERTAINMENT CORPORATION LTD</v>
          </cell>
          <cell r="C1346">
            <v>506186</v>
          </cell>
          <cell r="D1346" t="str">
            <v>Not Listed</v>
          </cell>
          <cell r="E1346" t="str">
            <v>Movies &amp; Entertainment</v>
          </cell>
        </row>
        <row r="1347">
          <cell r="B1347" t="str">
            <v>GALAXY SURFACTANTS LTD</v>
          </cell>
          <cell r="C1347">
            <v>540935</v>
          </cell>
          <cell r="D1347" t="str">
            <v>GALAXYSURF</v>
          </cell>
          <cell r="E1347" t="str">
            <v>Specialty Chemicals</v>
          </cell>
        </row>
        <row r="1348">
          <cell r="B1348" t="str">
            <v>GALLANTT ISPAT LTD</v>
          </cell>
          <cell r="C1348">
            <v>533265</v>
          </cell>
          <cell r="D1348" t="str">
            <v>GALLISPAT</v>
          </cell>
          <cell r="E1348" t="str">
            <v>Iron &amp; Steel/Interm.Products</v>
          </cell>
        </row>
        <row r="1349">
          <cell r="B1349" t="str">
            <v>GALLANTT METAL LTD</v>
          </cell>
          <cell r="C1349">
            <v>532726</v>
          </cell>
          <cell r="D1349" t="str">
            <v>GALLANTT</v>
          </cell>
          <cell r="E1349" t="str">
            <v>Iron &amp; Steel/Interm.Products</v>
          </cell>
        </row>
        <row r="1350">
          <cell r="B1350" t="str">
            <v>GALLOPS ENTERPRISE LTD.</v>
          </cell>
          <cell r="C1350">
            <v>531902</v>
          </cell>
          <cell r="D1350" t="str">
            <v>GALLOPENT</v>
          </cell>
          <cell r="E1350" t="str">
            <v>Realty</v>
          </cell>
        </row>
        <row r="1351">
          <cell r="B1351" t="str">
            <v>GAMMON INFRASTRUCTURE PROJECTS LTD</v>
          </cell>
          <cell r="C1351">
            <v>532959</v>
          </cell>
          <cell r="D1351" t="str">
            <v>GAMMNINFRA</v>
          </cell>
          <cell r="E1351" t="str">
            <v>Construction &amp; Engineering</v>
          </cell>
        </row>
        <row r="1352">
          <cell r="B1352" t="str">
            <v>GANDHI SPECIAL TUBES LTD</v>
          </cell>
          <cell r="C1352">
            <v>513108</v>
          </cell>
          <cell r="D1352" t="str">
            <v>GANDHITUBE</v>
          </cell>
          <cell r="E1352" t="str">
            <v>Iron &amp; Steel Products</v>
          </cell>
        </row>
        <row r="1353">
          <cell r="B1353" t="str">
            <v>GANESH BENZOPLAST LTD</v>
          </cell>
          <cell r="C1353">
            <v>500153</v>
          </cell>
          <cell r="D1353" t="str">
            <v>Not Listed</v>
          </cell>
          <cell r="E1353" t="str">
            <v>Commodity Chemicals</v>
          </cell>
        </row>
        <row r="1354">
          <cell r="B1354" t="str">
            <v>GANESH FILMS (INDIA) LTD</v>
          </cell>
          <cell r="C1354">
            <v>541703</v>
          </cell>
          <cell r="D1354" t="str">
            <v>Not Listed</v>
          </cell>
          <cell r="E1354" t="str">
            <v>Specialty Retail</v>
          </cell>
        </row>
        <row r="1355">
          <cell r="B1355" t="str">
            <v>GANESH FILMS INDIA LTD</v>
          </cell>
          <cell r="C1355">
            <v>541703</v>
          </cell>
          <cell r="D1355" t="str">
            <v>Not Listed</v>
          </cell>
          <cell r="E1355" t="str">
            <v>Specialty Retail</v>
          </cell>
        </row>
        <row r="1356">
          <cell r="B1356" t="str">
            <v>GANESH HOLDINGS LTD</v>
          </cell>
          <cell r="C1356">
            <v>504397</v>
          </cell>
          <cell r="D1356" t="str">
            <v>Not Listed</v>
          </cell>
          <cell r="E1356" t="str">
            <v>Misc.Commercial Services</v>
          </cell>
        </row>
        <row r="1357">
          <cell r="B1357" t="str">
            <v>GANESH HOUSING CORPORATION LTD</v>
          </cell>
          <cell r="C1357">
            <v>526367</v>
          </cell>
          <cell r="D1357" t="str">
            <v>GANESHHOUC</v>
          </cell>
          <cell r="E1357" t="str">
            <v>Realty</v>
          </cell>
        </row>
        <row r="1358">
          <cell r="B1358" t="str">
            <v>GANESHA ECOSPHERE LTD</v>
          </cell>
          <cell r="C1358">
            <v>514167</v>
          </cell>
          <cell r="D1358" t="str">
            <v>GANECOS</v>
          </cell>
          <cell r="E1358" t="str">
            <v>Misc.Commercial Services</v>
          </cell>
        </row>
        <row r="1359">
          <cell r="B1359" t="str">
            <v>GANGA FORGING LTD</v>
          </cell>
          <cell r="C1359" t="str">
            <v>Not Listed</v>
          </cell>
          <cell r="D1359" t="str">
            <v>GANGAFORGE</v>
          </cell>
          <cell r="E1359" t="str">
            <v>SME</v>
          </cell>
        </row>
        <row r="1360">
          <cell r="B1360" t="str">
            <v>GANGA PAPERS (INDIA) LTD</v>
          </cell>
          <cell r="C1360">
            <v>531813</v>
          </cell>
          <cell r="D1360" t="str">
            <v>Not Listed</v>
          </cell>
          <cell r="E1360" t="str">
            <v>Paper &amp; Paper Products</v>
          </cell>
        </row>
        <row r="1361">
          <cell r="B1361" t="str">
            <v>GANGA PAPERS INDIA LTD</v>
          </cell>
          <cell r="C1361">
            <v>531813</v>
          </cell>
          <cell r="D1361" t="str">
            <v>Not Listed</v>
          </cell>
          <cell r="E1361" t="str">
            <v>Paper &amp; Paper Products</v>
          </cell>
        </row>
        <row r="1362">
          <cell r="B1362" t="str">
            <v>GANGA PHARMACEUTICALS LTD</v>
          </cell>
          <cell r="C1362">
            <v>539680</v>
          </cell>
          <cell r="D1362" t="str">
            <v>Not Listed</v>
          </cell>
          <cell r="E1362" t="str">
            <v>Pharmaceuticals</v>
          </cell>
        </row>
        <row r="1363">
          <cell r="B1363" t="str">
            <v>GANGES SECURITIES LTD</v>
          </cell>
          <cell r="C1363">
            <v>540647</v>
          </cell>
          <cell r="D1363" t="str">
            <v>GANGESSECU</v>
          </cell>
          <cell r="E1363" t="str">
            <v>Investment Companies</v>
          </cell>
        </row>
        <row r="1364">
          <cell r="B1364" t="str">
            <v>GANGOTRI TEXTILES LTD</v>
          </cell>
          <cell r="C1364">
            <v>521176</v>
          </cell>
          <cell r="D1364" t="str">
            <v>GANGOTRI</v>
          </cell>
          <cell r="E1364" t="str">
            <v>Textiles</v>
          </cell>
        </row>
        <row r="1365">
          <cell r="B1365" t="str">
            <v>GANON PRODUCTS LTD</v>
          </cell>
          <cell r="C1365">
            <v>512443</v>
          </cell>
          <cell r="D1365" t="str">
            <v>Not Listed</v>
          </cell>
          <cell r="E1365" t="str">
            <v>Comm.Trading  &amp; Distribution</v>
          </cell>
        </row>
        <row r="1366">
          <cell r="B1366" t="str">
            <v>GARBI FINVEST LTD</v>
          </cell>
          <cell r="C1366">
            <v>539492</v>
          </cell>
          <cell r="D1366" t="str">
            <v>Not Listed</v>
          </cell>
          <cell r="E1366" t="str">
            <v>Finance (including NBFCs)</v>
          </cell>
        </row>
        <row r="1367">
          <cell r="B1367" t="str">
            <v>GARDEN REACH SHIPBUILDERS &amp; ENGINEERS LTD</v>
          </cell>
          <cell r="C1367">
            <v>542011</v>
          </cell>
          <cell r="D1367" t="str">
            <v>GRSE</v>
          </cell>
          <cell r="E1367" t="str">
            <v>Commercial Vehicles</v>
          </cell>
        </row>
        <row r="1368">
          <cell r="B1368" t="str">
            <v>GARDEN SILK MILLS LTD</v>
          </cell>
          <cell r="C1368">
            <v>500155</v>
          </cell>
          <cell r="D1368" t="str">
            <v>GARDENSILK</v>
          </cell>
          <cell r="E1368" t="str">
            <v>Textiles</v>
          </cell>
        </row>
        <row r="1369">
          <cell r="B1369" t="str">
            <v>GARG FURNACE LTD</v>
          </cell>
          <cell r="C1369">
            <v>530615</v>
          </cell>
          <cell r="D1369" t="str">
            <v>Not Listed</v>
          </cell>
          <cell r="E1369" t="str">
            <v>Iron &amp; Steel/Interm.Products</v>
          </cell>
        </row>
        <row r="1370">
          <cell r="B1370" t="str">
            <v>GARNET CONSTRUCTION LTD</v>
          </cell>
          <cell r="C1370">
            <v>526727</v>
          </cell>
          <cell r="D1370" t="str">
            <v>Not Listed</v>
          </cell>
          <cell r="E1370" t="str">
            <v>Construction &amp; Engineering</v>
          </cell>
        </row>
        <row r="1371">
          <cell r="B1371" t="str">
            <v>GARNET INTERNATIONAL LTD</v>
          </cell>
          <cell r="C1371">
            <v>512493</v>
          </cell>
          <cell r="D1371" t="str">
            <v>Not Listed</v>
          </cell>
          <cell r="E1371" t="str">
            <v>Other Financial Services</v>
          </cell>
        </row>
        <row r="1372">
          <cell r="B1372" t="str">
            <v>GARODIA CHEMICALS LTD</v>
          </cell>
          <cell r="C1372">
            <v>530161</v>
          </cell>
          <cell r="D1372" t="str">
            <v>Not Listed</v>
          </cell>
          <cell r="E1372" t="str">
            <v>Comm.Trading  &amp; Distribution</v>
          </cell>
        </row>
        <row r="1373">
          <cell r="B1373" t="str">
            <v>GARV INDUSTRIES LTD</v>
          </cell>
          <cell r="C1373">
            <v>541276</v>
          </cell>
          <cell r="D1373" t="str">
            <v>Not Listed</v>
          </cell>
          <cell r="E1373" t="str">
            <v>Comm.Trading  &amp; Distribution</v>
          </cell>
        </row>
        <row r="1374">
          <cell r="B1374" t="str">
            <v>GARWARE MARINE INDUSTRIES LTD</v>
          </cell>
          <cell r="C1374">
            <v>509563</v>
          </cell>
          <cell r="D1374" t="str">
            <v>Not Listed</v>
          </cell>
          <cell r="E1374" t="str">
            <v>Textiles</v>
          </cell>
        </row>
        <row r="1375">
          <cell r="B1375" t="str">
            <v>GARWARE POLYESTER LTD</v>
          </cell>
          <cell r="C1375">
            <v>500655</v>
          </cell>
          <cell r="D1375" t="str">
            <v>Not Listed</v>
          </cell>
          <cell r="E1375" t="str">
            <v>Commodity Chemicals</v>
          </cell>
        </row>
        <row r="1376">
          <cell r="B1376" t="str">
            <v>GARWARE SYNTHETICS LTD</v>
          </cell>
          <cell r="C1376">
            <v>514400</v>
          </cell>
          <cell r="D1376" t="str">
            <v>Not Listed</v>
          </cell>
          <cell r="E1376" t="str">
            <v>Comm.Trading  &amp; Distribution</v>
          </cell>
        </row>
        <row r="1377">
          <cell r="B1377" t="str">
            <v>GARWARE TECHNICAL FIBRES LTD</v>
          </cell>
          <cell r="C1377">
            <v>509557</v>
          </cell>
          <cell r="D1377" t="str">
            <v>GARFIBRES</v>
          </cell>
          <cell r="E1377" t="str">
            <v>Textiles</v>
          </cell>
        </row>
        <row r="1378">
          <cell r="B1378" t="str">
            <v>GATEWAY DISTRIPARKS LTD</v>
          </cell>
          <cell r="C1378">
            <v>532622</v>
          </cell>
          <cell r="D1378" t="str">
            <v>GDL</v>
          </cell>
          <cell r="E1378" t="str">
            <v>Transportation - Logistics</v>
          </cell>
        </row>
        <row r="1379">
          <cell r="B1379" t="str">
            <v>GATI LTD</v>
          </cell>
          <cell r="C1379">
            <v>532345</v>
          </cell>
          <cell r="D1379" t="str">
            <v>GATI</v>
          </cell>
          <cell r="E1379" t="str">
            <v>Transportation - Logistics</v>
          </cell>
        </row>
        <row r="1380">
          <cell r="B1380" t="str">
            <v>GAURAV MERCANTILES LTD</v>
          </cell>
          <cell r="C1380">
            <v>539515</v>
          </cell>
          <cell r="D1380" t="str">
            <v>Not Listed</v>
          </cell>
          <cell r="E1380" t="str">
            <v>Comm.Trading  &amp; Distribution</v>
          </cell>
        </row>
        <row r="1381">
          <cell r="B1381" t="str">
            <v>GAUTAM EXIM LTD</v>
          </cell>
          <cell r="C1381">
            <v>540613</v>
          </cell>
          <cell r="D1381" t="str">
            <v>Not Listed</v>
          </cell>
          <cell r="E1381" t="str">
            <v>Comm.Trading  &amp; Distribution</v>
          </cell>
        </row>
        <row r="1382">
          <cell r="B1382" t="str">
            <v>GAUTAM GEMS LTD</v>
          </cell>
          <cell r="C1382">
            <v>540936</v>
          </cell>
          <cell r="D1382" t="str">
            <v>Not Listed</v>
          </cell>
          <cell r="E1382" t="str">
            <v>Comm.Trading  &amp; Distribution</v>
          </cell>
        </row>
        <row r="1383">
          <cell r="B1383" t="str">
            <v>GAYATRI BIOORGANICS LTD</v>
          </cell>
          <cell r="C1383">
            <v>524564</v>
          </cell>
          <cell r="D1383" t="str">
            <v>Not Listed</v>
          </cell>
          <cell r="E1383" t="str">
            <v>Commodity Chemicals</v>
          </cell>
        </row>
        <row r="1384">
          <cell r="B1384" t="str">
            <v>GAYATRI HIGHWAYS LTD</v>
          </cell>
          <cell r="C1384">
            <v>541546</v>
          </cell>
          <cell r="D1384" t="str">
            <v>GAYAHWS</v>
          </cell>
          <cell r="E1384" t="str">
            <v>Construction &amp; Engineering</v>
          </cell>
        </row>
        <row r="1385">
          <cell r="B1385" t="str">
            <v>GAYATRI PROJECTS LTD</v>
          </cell>
          <cell r="C1385">
            <v>532767</v>
          </cell>
          <cell r="D1385" t="str">
            <v>GAYAPROJ</v>
          </cell>
          <cell r="E1385" t="str">
            <v>Construction &amp; Engineering</v>
          </cell>
        </row>
        <row r="1386">
          <cell r="B1386" t="str">
            <v>GAYATRI SUGARS LTD</v>
          </cell>
          <cell r="C1386">
            <v>532183</v>
          </cell>
          <cell r="D1386" t="str">
            <v>Not Listed</v>
          </cell>
          <cell r="E1386" t="str">
            <v>Sugar</v>
          </cell>
        </row>
        <row r="1387">
          <cell r="B1387" t="str">
            <v>GBL INDUSTRIES LTD</v>
          </cell>
          <cell r="C1387">
            <v>539009</v>
          </cell>
          <cell r="D1387" t="str">
            <v>Not Listed</v>
          </cell>
          <cell r="E1387" t="str">
            <v>Construction &amp; Engineering</v>
          </cell>
        </row>
        <row r="1388">
          <cell r="B1388" t="str">
            <v>GCM CAPITAL ADVISORS LTD</v>
          </cell>
          <cell r="C1388">
            <v>538319</v>
          </cell>
          <cell r="D1388" t="str">
            <v>Not Listed</v>
          </cell>
          <cell r="E1388" t="str">
            <v>Other Financial Services</v>
          </cell>
        </row>
        <row r="1389">
          <cell r="B1389" t="str">
            <v>GCM COMMODITY &amp; DERIVATIVES LTD</v>
          </cell>
          <cell r="C1389">
            <v>535917</v>
          </cell>
          <cell r="D1389" t="str">
            <v>Not Listed</v>
          </cell>
          <cell r="E1389" t="str">
            <v>Other Financial Services</v>
          </cell>
        </row>
        <row r="1390">
          <cell r="B1390" t="str">
            <v>GCM SECURITIES LTD</v>
          </cell>
          <cell r="C1390">
            <v>535431</v>
          </cell>
          <cell r="D1390" t="str">
            <v>Not Listed</v>
          </cell>
          <cell r="E1390" t="str">
            <v>Other Financial Services</v>
          </cell>
        </row>
        <row r="1391">
          <cell r="B1391" t="str">
            <v>GDL LEASING &amp; FINANCE LTD</v>
          </cell>
          <cell r="C1391">
            <v>530855</v>
          </cell>
          <cell r="D1391" t="str">
            <v>Not Listed</v>
          </cell>
          <cell r="E1391" t="str">
            <v>Finance (including NBFCs)</v>
          </cell>
        </row>
        <row r="1392">
          <cell r="B1392" t="str">
            <v>GE POWER (INDIA) LTD</v>
          </cell>
          <cell r="C1392">
            <v>532309</v>
          </cell>
          <cell r="D1392" t="str">
            <v>GEPIL</v>
          </cell>
          <cell r="E1392" t="str">
            <v>Heavy Electrical Equipment</v>
          </cell>
        </row>
        <row r="1393">
          <cell r="B1393" t="str">
            <v>GE POWER INDIA LTD</v>
          </cell>
          <cell r="C1393">
            <v>532309</v>
          </cell>
          <cell r="D1393" t="str">
            <v>GEPIL</v>
          </cell>
          <cell r="E1393" t="str">
            <v>Heavy Electrical Equipment</v>
          </cell>
        </row>
        <row r="1394">
          <cell r="B1394" t="str">
            <v>GE T&amp;D (INDIA) LTD</v>
          </cell>
          <cell r="C1394">
            <v>522275</v>
          </cell>
          <cell r="D1394" t="str">
            <v>GET&amp;D</v>
          </cell>
          <cell r="E1394" t="str">
            <v>Electric Utilities</v>
          </cell>
        </row>
        <row r="1395">
          <cell r="B1395" t="str">
            <v>GE T&amp;D INDIA LTD</v>
          </cell>
          <cell r="C1395">
            <v>522275</v>
          </cell>
          <cell r="D1395" t="str">
            <v>GET&amp;D</v>
          </cell>
          <cell r="E1395" t="str">
            <v>Electric Utilities</v>
          </cell>
        </row>
        <row r="1396">
          <cell r="B1396" t="str">
            <v>GEE LTD</v>
          </cell>
          <cell r="C1396">
            <v>504028</v>
          </cell>
          <cell r="D1396" t="str">
            <v>Not Listed</v>
          </cell>
          <cell r="E1396" t="str">
            <v>Other Industrial Goods</v>
          </cell>
        </row>
        <row r="1397">
          <cell r="B1397" t="str">
            <v>GEECEE VENTURES LTD</v>
          </cell>
          <cell r="C1397">
            <v>532764</v>
          </cell>
          <cell r="D1397" t="str">
            <v>GEECEE</v>
          </cell>
          <cell r="E1397" t="str">
            <v>Realty</v>
          </cell>
        </row>
        <row r="1398">
          <cell r="B1398" t="str">
            <v>GEEFCEE FINANCE LTD</v>
          </cell>
          <cell r="C1398">
            <v>530389</v>
          </cell>
          <cell r="D1398" t="str">
            <v>Not Listed</v>
          </cell>
          <cell r="E1398" t="str">
            <v>Investment Companies</v>
          </cell>
        </row>
        <row r="1399">
          <cell r="B1399" t="str">
            <v>GEEKAY WIRES LTD</v>
          </cell>
          <cell r="C1399" t="str">
            <v>Not Listed</v>
          </cell>
          <cell r="D1399" t="str">
            <v>GEEKAYWIRE</v>
          </cell>
          <cell r="E1399" t="str">
            <v>SME</v>
          </cell>
        </row>
        <row r="1400">
          <cell r="B1400" t="str">
            <v>GEETANJALI CREDIT AND CAPITAL LTD</v>
          </cell>
          <cell r="C1400">
            <v>539486</v>
          </cell>
          <cell r="D1400" t="str">
            <v>Not Listed</v>
          </cell>
          <cell r="E1400" t="str">
            <v>Finance (including NBFCs)</v>
          </cell>
        </row>
        <row r="1401">
          <cell r="B1401" t="str">
            <v>GEM SPINNERS (INDIA) LTD</v>
          </cell>
          <cell r="C1401">
            <v>521133</v>
          </cell>
          <cell r="D1401" t="str">
            <v>Not Listed</v>
          </cell>
          <cell r="E1401" t="str">
            <v>Textiles</v>
          </cell>
        </row>
        <row r="1402">
          <cell r="B1402" t="str">
            <v>GEM SPINNERS INDIA LTD</v>
          </cell>
          <cell r="C1402">
            <v>521133</v>
          </cell>
          <cell r="D1402" t="str">
            <v>Not Listed</v>
          </cell>
          <cell r="E1402" t="str">
            <v>Textiles</v>
          </cell>
        </row>
        <row r="1403">
          <cell r="B1403" t="str">
            <v>GEMINI COMMUNICATION LTD</v>
          </cell>
          <cell r="C1403">
            <v>532318</v>
          </cell>
          <cell r="D1403" t="str">
            <v>GEMINI</v>
          </cell>
          <cell r="E1403" t="str">
            <v>IT Networking Equipment</v>
          </cell>
        </row>
        <row r="1404">
          <cell r="B1404" t="str">
            <v>GEMSTONE INVESTMENTS LTD</v>
          </cell>
          <cell r="C1404">
            <v>531137</v>
          </cell>
          <cell r="D1404" t="str">
            <v>Not Listed</v>
          </cell>
          <cell r="E1404" t="str">
            <v>Misc.Commercial Services</v>
          </cell>
        </row>
        <row r="1405">
          <cell r="B1405" t="str">
            <v>GENERA AGRI CORP LTD</v>
          </cell>
          <cell r="C1405">
            <v>541999</v>
          </cell>
          <cell r="D1405" t="str">
            <v>Not Listed</v>
          </cell>
          <cell r="E1405" t="str">
            <v>Other Agricultural Products</v>
          </cell>
        </row>
        <row r="1406">
          <cell r="B1406" t="str">
            <v>GENERAL INSURANCE CORPORATION OF INDIA</v>
          </cell>
          <cell r="C1406">
            <v>540755</v>
          </cell>
          <cell r="D1406" t="str">
            <v>GICRE</v>
          </cell>
          <cell r="E1406" t="str">
            <v>General Insurance</v>
          </cell>
        </row>
        <row r="1407">
          <cell r="B1407" t="str">
            <v>GENERIC ENGINEERING CONSTRUCTION AND PROJECTS LTD</v>
          </cell>
          <cell r="C1407">
            <v>539407</v>
          </cell>
          <cell r="D1407" t="str">
            <v>Not Listed</v>
          </cell>
          <cell r="E1407" t="str">
            <v>Construction &amp; Engineering</v>
          </cell>
        </row>
        <row r="1408">
          <cell r="B1408" t="str">
            <v>GENESIS IBRC (INDIA) LTD</v>
          </cell>
          <cell r="C1408">
            <v>514336</v>
          </cell>
          <cell r="D1408" t="str">
            <v>Not Listed</v>
          </cell>
          <cell r="E1408" t="str">
            <v>Biotechnology</v>
          </cell>
        </row>
        <row r="1409">
          <cell r="B1409" t="str">
            <v>GENESIS IBRC INDIA LTD</v>
          </cell>
          <cell r="C1409">
            <v>514336</v>
          </cell>
          <cell r="D1409" t="str">
            <v>Not Listed</v>
          </cell>
          <cell r="E1409" t="str">
            <v>Biotechnology</v>
          </cell>
        </row>
        <row r="1410">
          <cell r="B1410" t="str">
            <v>GENESYS INTERNATIONAL CORPORATION LTD</v>
          </cell>
          <cell r="C1410">
            <v>506109</v>
          </cell>
          <cell r="D1410" t="str">
            <v>GENESYS</v>
          </cell>
          <cell r="E1410" t="str">
            <v>IT Software Products</v>
          </cell>
        </row>
        <row r="1411">
          <cell r="B1411" t="str">
            <v>GENNEX LABORATORIES LTD</v>
          </cell>
          <cell r="C1411">
            <v>531739</v>
          </cell>
          <cell r="D1411" t="str">
            <v>Not Listed</v>
          </cell>
          <cell r="E1411" t="str">
            <v>Pharmaceuticals</v>
          </cell>
        </row>
        <row r="1412">
          <cell r="B1412" t="str">
            <v>GENOMIC VALLEY BIOTECH LTD</v>
          </cell>
          <cell r="C1412">
            <v>539206</v>
          </cell>
          <cell r="D1412" t="str">
            <v>Not Listed</v>
          </cell>
          <cell r="E1412" t="str">
            <v>Biotechnology</v>
          </cell>
        </row>
        <row r="1413">
          <cell r="B1413" t="str">
            <v>GENUS PAPER &amp; BOARDS LTD</v>
          </cell>
          <cell r="C1413">
            <v>538961</v>
          </cell>
          <cell r="D1413" t="str">
            <v>GENUSPAPER</v>
          </cell>
          <cell r="E1413" t="str">
            <v>Paper &amp; Paper Products</v>
          </cell>
        </row>
        <row r="1414">
          <cell r="B1414" t="str">
            <v>GENUS POWER INFRASTRUCTURES LTD</v>
          </cell>
          <cell r="C1414">
            <v>530343</v>
          </cell>
          <cell r="D1414" t="str">
            <v>GENUSPOWER</v>
          </cell>
          <cell r="E1414" t="str">
            <v>Other Elect.Equip./ Prod.</v>
          </cell>
        </row>
        <row r="1415">
          <cell r="B1415" t="str">
            <v>GEOJIT FINANCIAL SERVICES LTD</v>
          </cell>
          <cell r="C1415">
            <v>532285</v>
          </cell>
          <cell r="D1415" t="str">
            <v>GEOJITFSL</v>
          </cell>
          <cell r="E1415" t="str">
            <v>Other Financial Services</v>
          </cell>
        </row>
        <row r="1416">
          <cell r="B1416" t="str">
            <v>GHCL LTD</v>
          </cell>
          <cell r="C1416">
            <v>500171</v>
          </cell>
          <cell r="D1416" t="str">
            <v>GHCL</v>
          </cell>
          <cell r="E1416" t="str">
            <v>Commodity Chemicals</v>
          </cell>
        </row>
        <row r="1417">
          <cell r="B1417" t="str">
            <v>GI ENGINEERING SOLUTIONS LTD</v>
          </cell>
          <cell r="C1417">
            <v>533048</v>
          </cell>
          <cell r="D1417" t="str">
            <v>GISOLUTION</v>
          </cell>
          <cell r="E1417" t="str">
            <v>Construction &amp; Engineering</v>
          </cell>
        </row>
        <row r="1418">
          <cell r="B1418" t="str">
            <v>GIC HOUSING FINANCE LTD</v>
          </cell>
          <cell r="C1418">
            <v>511676</v>
          </cell>
          <cell r="D1418" t="str">
            <v>GICHSGFIN</v>
          </cell>
          <cell r="E1418" t="str">
            <v xml:space="preserve">Housing Finance </v>
          </cell>
        </row>
        <row r="1419">
          <cell r="B1419" t="str">
            <v>GILADA FINANCE &amp; INVESTMENTS LTD</v>
          </cell>
          <cell r="C1419">
            <v>538788</v>
          </cell>
          <cell r="D1419" t="str">
            <v>Not Listed</v>
          </cell>
          <cell r="E1419" t="str">
            <v>Finance (including NBFCs)</v>
          </cell>
        </row>
        <row r="1420">
          <cell r="B1420" t="str">
            <v>GILLANDERS ARBUTHNOT &amp; COMPANY LTD</v>
          </cell>
          <cell r="C1420">
            <v>532716</v>
          </cell>
          <cell r="D1420" t="str">
            <v>GILLANDERS</v>
          </cell>
          <cell r="E1420" t="str">
            <v>Diversified</v>
          </cell>
        </row>
        <row r="1421">
          <cell r="B1421" t="str">
            <v>GILLETTE (INDIA) LTD</v>
          </cell>
          <cell r="C1421">
            <v>507815</v>
          </cell>
          <cell r="D1421" t="str">
            <v>GILLETTE</v>
          </cell>
          <cell r="E1421" t="str">
            <v>Personal Products</v>
          </cell>
        </row>
        <row r="1422">
          <cell r="B1422" t="str">
            <v>GILLETTE INDIA LTD</v>
          </cell>
          <cell r="C1422">
            <v>507815</v>
          </cell>
          <cell r="D1422" t="str">
            <v>GILLETTE</v>
          </cell>
          <cell r="E1422" t="str">
            <v>Personal Products</v>
          </cell>
        </row>
        <row r="1423">
          <cell r="B1423" t="str">
            <v>GINI SILK MILLS LTD</v>
          </cell>
          <cell r="C1423">
            <v>531744</v>
          </cell>
          <cell r="D1423" t="str">
            <v>Not Listed</v>
          </cell>
          <cell r="E1423" t="str">
            <v>Comm.Trading  &amp; Distribution</v>
          </cell>
        </row>
        <row r="1424">
          <cell r="B1424" t="str">
            <v>GINNI FILAMENTS LTD</v>
          </cell>
          <cell r="C1424">
            <v>590025</v>
          </cell>
          <cell r="D1424" t="str">
            <v>GINNIFILA</v>
          </cell>
          <cell r="E1424" t="str">
            <v>Textiles</v>
          </cell>
        </row>
        <row r="1425">
          <cell r="B1425" t="str">
            <v>GIRDHARILAL SUGAR &amp; ALLIED INDUSTRIES LTD</v>
          </cell>
          <cell r="C1425">
            <v>507506</v>
          </cell>
          <cell r="D1425" t="str">
            <v>Not Listed</v>
          </cell>
          <cell r="E1425" t="str">
            <v>Sugar</v>
          </cell>
        </row>
        <row r="1426">
          <cell r="B1426" t="str">
            <v>GIRIRAJ CIVIL DEVELOPERS LTD</v>
          </cell>
          <cell r="C1426" t="str">
            <v>Not Listed</v>
          </cell>
          <cell r="D1426" t="str">
            <v>GIRIRAJ</v>
          </cell>
          <cell r="E1426" t="str">
            <v>SME</v>
          </cell>
        </row>
        <row r="1427">
          <cell r="B1427" t="str">
            <v>GITA RENEWABLE ENERGY LTD</v>
          </cell>
          <cell r="C1427">
            <v>539013</v>
          </cell>
          <cell r="D1427" t="str">
            <v>Not Listed</v>
          </cell>
          <cell r="E1427" t="str">
            <v>Electric Utilities</v>
          </cell>
        </row>
        <row r="1428">
          <cell r="B1428" t="str">
            <v>GKB OPHTHALMICS LTD</v>
          </cell>
          <cell r="C1428">
            <v>533212</v>
          </cell>
          <cell r="D1428" t="str">
            <v>Not Listed</v>
          </cell>
          <cell r="E1428" t="str">
            <v>Healthcare Services</v>
          </cell>
        </row>
        <row r="1429">
          <cell r="B1429" t="str">
            <v>GKW LTD</v>
          </cell>
          <cell r="C1429" t="str">
            <v>Not Listed</v>
          </cell>
          <cell r="D1429" t="str">
            <v>GKWLIMITED</v>
          </cell>
          <cell r="E1429" t="str">
            <v>Others</v>
          </cell>
        </row>
        <row r="1430">
          <cell r="B1430" t="str">
            <v>GLANCE FINANCE LTD</v>
          </cell>
          <cell r="C1430">
            <v>531199</v>
          </cell>
          <cell r="D1430" t="str">
            <v>Not Listed</v>
          </cell>
          <cell r="E1430" t="str">
            <v>Finance (including NBFCs)</v>
          </cell>
        </row>
        <row r="1431">
          <cell r="B1431" t="str">
            <v>GLAXOSMITHKLINE CONSUMER HEALTHCARE LTD</v>
          </cell>
          <cell r="C1431">
            <v>500676</v>
          </cell>
          <cell r="D1431" t="str">
            <v>GSKCONS</v>
          </cell>
          <cell r="E1431" t="str">
            <v>Packaged Foods</v>
          </cell>
        </row>
        <row r="1432">
          <cell r="B1432" t="str">
            <v>GLAXOSMITHKLINE PHARMACEUTICALS LTD</v>
          </cell>
          <cell r="C1432">
            <v>500660</v>
          </cell>
          <cell r="D1432" t="str">
            <v>GLAXO</v>
          </cell>
          <cell r="E1432" t="str">
            <v>Pharmaceuticals</v>
          </cell>
        </row>
        <row r="1433">
          <cell r="B1433" t="str">
            <v>Gleam Fabmat Ltd</v>
          </cell>
          <cell r="C1433">
            <v>542477</v>
          </cell>
          <cell r="D1433" t="str">
            <v>GLEAM</v>
          </cell>
          <cell r="E1433" t="str">
            <v>Comm.Trading  &amp;amp; Distribution</v>
          </cell>
        </row>
        <row r="1434">
          <cell r="B1434" t="str">
            <v>GLENMARK PHARMACEUTICALS LTD</v>
          </cell>
          <cell r="C1434">
            <v>532296</v>
          </cell>
          <cell r="D1434" t="str">
            <v>GLENMARK</v>
          </cell>
          <cell r="E1434" t="str">
            <v>Pharmaceuticals</v>
          </cell>
        </row>
        <row r="1435">
          <cell r="B1435" t="str">
            <v>GLITTEK GRANITES LTD</v>
          </cell>
          <cell r="C1435">
            <v>513528</v>
          </cell>
          <cell r="D1435" t="str">
            <v>Not Listed</v>
          </cell>
          <cell r="E1435" t="str">
            <v>Construction Materials</v>
          </cell>
        </row>
        <row r="1436">
          <cell r="B1436" t="str">
            <v>GLOBAL CAPITAL MARKETS LTD</v>
          </cell>
          <cell r="C1436">
            <v>530263</v>
          </cell>
          <cell r="D1436" t="str">
            <v>Not Listed</v>
          </cell>
          <cell r="E1436" t="str">
            <v>Finance (including NBFCs)</v>
          </cell>
        </row>
        <row r="1437">
          <cell r="B1437" t="str">
            <v>GLOBAL EDUCATION LTD</v>
          </cell>
          <cell r="C1437" t="str">
            <v>Not Listed</v>
          </cell>
          <cell r="D1437" t="str">
            <v>GLOBAL</v>
          </cell>
          <cell r="E1437" t="str">
            <v>SME</v>
          </cell>
        </row>
        <row r="1438">
          <cell r="B1438" t="str">
            <v>GLOBAL INFRATECH &amp; FINANCE LTD</v>
          </cell>
          <cell r="C1438">
            <v>531463</v>
          </cell>
          <cell r="D1438" t="str">
            <v>Not Listed</v>
          </cell>
          <cell r="E1438" t="str">
            <v>Misc.Commercial Services</v>
          </cell>
        </row>
        <row r="1439">
          <cell r="B1439" t="str">
            <v>GLOBAL LAND MASTERS CORPORATION LTD</v>
          </cell>
          <cell r="C1439">
            <v>531479</v>
          </cell>
          <cell r="D1439" t="str">
            <v>Not Listed</v>
          </cell>
          <cell r="E1439" t="str">
            <v>Realty</v>
          </cell>
        </row>
        <row r="1440">
          <cell r="B1440" t="str">
            <v>GLOBAL OFFSHORE SERVICES LTD</v>
          </cell>
          <cell r="C1440">
            <v>501848</v>
          </cell>
          <cell r="D1440" t="str">
            <v>GLOBOFFS</v>
          </cell>
          <cell r="E1440" t="str">
            <v>Shipping</v>
          </cell>
        </row>
        <row r="1441">
          <cell r="B1441" t="str">
            <v>GLOBAL VECTRA HELICORP LTD</v>
          </cell>
          <cell r="C1441">
            <v>532773</v>
          </cell>
          <cell r="D1441" t="str">
            <v>GLOBALVECT</v>
          </cell>
          <cell r="E1441" t="str">
            <v>Airlines</v>
          </cell>
        </row>
        <row r="1442">
          <cell r="B1442" t="str">
            <v>GLOBALSPACE TECHNOLOGIES LTD</v>
          </cell>
          <cell r="C1442">
            <v>540654</v>
          </cell>
          <cell r="D1442" t="str">
            <v>Not Listed</v>
          </cell>
          <cell r="E1442" t="str">
            <v>IT Consulting &amp; Software</v>
          </cell>
        </row>
        <row r="1443">
          <cell r="B1443" t="str">
            <v>GLOBE COMMERCIALS LTD</v>
          </cell>
          <cell r="C1443">
            <v>540266</v>
          </cell>
          <cell r="D1443" t="str">
            <v>Not Listed</v>
          </cell>
          <cell r="E1443" t="str">
            <v>Comm.Trading  &amp; Distribution</v>
          </cell>
        </row>
        <row r="1444">
          <cell r="B1444" t="str">
            <v>GLOBE INTERNATIONAL CARRIERS LTD</v>
          </cell>
          <cell r="C1444" t="str">
            <v>Not Listed</v>
          </cell>
          <cell r="D1444" t="str">
            <v>GICL</v>
          </cell>
          <cell r="E1444" t="str">
            <v>SME</v>
          </cell>
        </row>
        <row r="1445">
          <cell r="B1445" t="str">
            <v>GLOBE TEXTILES (INDIA) LTD</v>
          </cell>
          <cell r="C1445" t="str">
            <v>Not Listed</v>
          </cell>
          <cell r="D1445" t="str">
            <v>GLOBE</v>
          </cell>
          <cell r="E1445" t="str">
            <v>SME</v>
          </cell>
        </row>
        <row r="1446">
          <cell r="B1446" t="str">
            <v>GLOBE TEXTILES INDIA LTD</v>
          </cell>
          <cell r="C1446" t="str">
            <v>Not Listed</v>
          </cell>
          <cell r="D1446" t="str">
            <v>GLOBE</v>
          </cell>
          <cell r="E1446" t="str">
            <v>SME</v>
          </cell>
        </row>
        <row r="1447">
          <cell r="B1447" t="str">
            <v>GLOBUS CONSTRUCTORS &amp; DEVELOPERS LTD</v>
          </cell>
          <cell r="C1447">
            <v>526025</v>
          </cell>
          <cell r="D1447" t="str">
            <v>Not Listed</v>
          </cell>
          <cell r="E1447" t="str">
            <v>Textiles</v>
          </cell>
        </row>
        <row r="1448">
          <cell r="B1448" t="str">
            <v>GLOBUS CORPORATION LTD.-$</v>
          </cell>
          <cell r="C1448">
            <v>531904</v>
          </cell>
          <cell r="D1448" t="str">
            <v>GLOBUSCOR</v>
          </cell>
          <cell r="E1448" t="str">
            <v>Comm.Trading  &amp;amp; Distribution</v>
          </cell>
        </row>
        <row r="1449">
          <cell r="B1449" t="str">
            <v>GLOBUS SPIRITS LTD</v>
          </cell>
          <cell r="C1449">
            <v>533104</v>
          </cell>
          <cell r="D1449" t="str">
            <v>GLOBUSSPR</v>
          </cell>
          <cell r="E1449" t="str">
            <v>Breweries &amp; Distilleries</v>
          </cell>
        </row>
        <row r="1450">
          <cell r="B1450" t="str">
            <v>Gloster Ltd</v>
          </cell>
          <cell r="C1450">
            <v>542351</v>
          </cell>
          <cell r="D1450" t="str">
            <v>GLOSTERLTD</v>
          </cell>
          <cell r="E1450" t="str">
            <v>Jute &amp;amp; Jute Products</v>
          </cell>
        </row>
        <row r="1451">
          <cell r="B1451" t="str">
            <v>GM BREWERIES LTD</v>
          </cell>
          <cell r="C1451">
            <v>507488</v>
          </cell>
          <cell r="D1451" t="str">
            <v>GMBREW</v>
          </cell>
          <cell r="E1451" t="str">
            <v>Breweries &amp; Distilleries</v>
          </cell>
        </row>
        <row r="1452">
          <cell r="B1452" t="str">
            <v>GMM PFAUDLER LTD</v>
          </cell>
          <cell r="C1452">
            <v>505255</v>
          </cell>
          <cell r="D1452" t="str">
            <v>GMMPFAUDLR</v>
          </cell>
          <cell r="E1452" t="str">
            <v>Industrial Machinery</v>
          </cell>
        </row>
        <row r="1453">
          <cell r="B1453" t="str">
            <v>GMR INFRASTRUCTURE LTD</v>
          </cell>
          <cell r="C1453">
            <v>532754</v>
          </cell>
          <cell r="D1453" t="str">
            <v>GMRINFRA</v>
          </cell>
          <cell r="E1453" t="str">
            <v>Electric Utilities</v>
          </cell>
        </row>
        <row r="1454">
          <cell r="B1454" t="str">
            <v>GNA AXLES LTD</v>
          </cell>
          <cell r="C1454">
            <v>540124</v>
          </cell>
          <cell r="D1454" t="str">
            <v>GNA</v>
          </cell>
          <cell r="E1454" t="str">
            <v>Auto Parts &amp; Equipment</v>
          </cell>
        </row>
        <row r="1455">
          <cell r="B1455" t="str">
            <v>GOA CARBON LTD</v>
          </cell>
          <cell r="C1455">
            <v>509567</v>
          </cell>
          <cell r="D1455" t="str">
            <v>GOACARBON</v>
          </cell>
          <cell r="E1455" t="str">
            <v>Refineries/ Petro-Products</v>
          </cell>
        </row>
        <row r="1456">
          <cell r="B1456" t="str">
            <v>GOCL CORPORATION LTD</v>
          </cell>
          <cell r="C1456">
            <v>506480</v>
          </cell>
          <cell r="D1456" t="str">
            <v>GOCLCORP</v>
          </cell>
          <cell r="E1456" t="str">
            <v>Oil Marketing &amp; Distribution</v>
          </cell>
        </row>
        <row r="1457">
          <cell r="B1457" t="str">
            <v>GODAVARI DRUGS LTD</v>
          </cell>
          <cell r="C1457">
            <v>530317</v>
          </cell>
          <cell r="D1457" t="str">
            <v>Not Listed</v>
          </cell>
          <cell r="E1457" t="str">
            <v>Pharmaceuticals</v>
          </cell>
        </row>
        <row r="1458">
          <cell r="B1458" t="str">
            <v>GODAWARI POWER AND ISPAT LTD</v>
          </cell>
          <cell r="C1458">
            <v>532734</v>
          </cell>
          <cell r="D1458" t="str">
            <v>GPIL</v>
          </cell>
          <cell r="E1458" t="str">
            <v>Iron &amp; Steel/Interm.Products</v>
          </cell>
        </row>
        <row r="1459">
          <cell r="B1459" t="str">
            <v>GODFREY PHILLIPS (INDIA) LTD</v>
          </cell>
          <cell r="C1459">
            <v>500163</v>
          </cell>
          <cell r="D1459" t="str">
            <v>GODFRYPHLP</v>
          </cell>
          <cell r="E1459" t="str">
            <v>Cigarettes-Tobacco Products</v>
          </cell>
        </row>
        <row r="1460">
          <cell r="B1460" t="str">
            <v>GODFREY PHILLIPS INDIA LTD</v>
          </cell>
          <cell r="C1460">
            <v>500163</v>
          </cell>
          <cell r="D1460" t="str">
            <v>GODFRYPHLP</v>
          </cell>
          <cell r="E1460" t="str">
            <v>Cigarettes-Tobacco Products</v>
          </cell>
        </row>
        <row r="1461">
          <cell r="B1461" t="str">
            <v>GODHA CABCON &amp; INSULATION LTD</v>
          </cell>
          <cell r="C1461" t="str">
            <v>Not Listed</v>
          </cell>
          <cell r="D1461" t="str">
            <v>GODHA</v>
          </cell>
          <cell r="E1461" t="str">
            <v>SME</v>
          </cell>
        </row>
        <row r="1462">
          <cell r="B1462" t="str">
            <v>GODREJ AGROVET LTD</v>
          </cell>
          <cell r="C1462">
            <v>540743</v>
          </cell>
          <cell r="D1462" t="str">
            <v>GODREJAGRO</v>
          </cell>
          <cell r="E1462" t="str">
            <v>Other Agricultural Products</v>
          </cell>
        </row>
        <row r="1463">
          <cell r="B1463" t="str">
            <v>GODREJ CONSUMER PRODUCTS LTD</v>
          </cell>
          <cell r="C1463">
            <v>532424</v>
          </cell>
          <cell r="D1463" t="str">
            <v>GODREJCP</v>
          </cell>
          <cell r="E1463" t="str">
            <v>Personal Products</v>
          </cell>
        </row>
        <row r="1464">
          <cell r="B1464" t="str">
            <v>GODREJ INDUSTRIES LTD</v>
          </cell>
          <cell r="C1464">
            <v>500164</v>
          </cell>
          <cell r="D1464" t="str">
            <v>GODREJIND</v>
          </cell>
          <cell r="E1464" t="str">
            <v>Commodity Chemicals</v>
          </cell>
        </row>
        <row r="1465">
          <cell r="B1465" t="str">
            <v>GODREJ PROPERTIES LTD</v>
          </cell>
          <cell r="C1465">
            <v>533150</v>
          </cell>
          <cell r="D1465" t="str">
            <v>GODREJPROP</v>
          </cell>
          <cell r="E1465" t="str">
            <v>Realty</v>
          </cell>
        </row>
        <row r="1466">
          <cell r="B1466" t="str">
            <v>GOENKA BUSINESS &amp; FINANCE LTD</v>
          </cell>
          <cell r="C1466">
            <v>538787</v>
          </cell>
          <cell r="D1466" t="str">
            <v>Not Listed</v>
          </cell>
          <cell r="E1466" t="str">
            <v>Finance (including NBFCs)</v>
          </cell>
        </row>
        <row r="1467">
          <cell r="B1467" t="str">
            <v>GOENKA DIAMOND AND JEWELS LTD</v>
          </cell>
          <cell r="C1467">
            <v>533189</v>
          </cell>
          <cell r="D1467" t="str">
            <v>GOENKA</v>
          </cell>
          <cell r="E1467" t="str">
            <v>Other Apparels &amp; Accessories</v>
          </cell>
        </row>
        <row r="1468">
          <cell r="B1468" t="str">
            <v>GOGIA CAPITAL SERVICES LTD</v>
          </cell>
          <cell r="C1468">
            <v>531600</v>
          </cell>
          <cell r="D1468" t="str">
            <v>Not Listed</v>
          </cell>
          <cell r="E1468" t="str">
            <v>Other Financial Services</v>
          </cell>
        </row>
        <row r="1469">
          <cell r="B1469" t="str">
            <v>GOKAK TEXTILES LTD</v>
          </cell>
          <cell r="C1469">
            <v>532957</v>
          </cell>
          <cell r="D1469" t="str">
            <v>Not Listed</v>
          </cell>
          <cell r="E1469" t="str">
            <v>Textiles</v>
          </cell>
        </row>
        <row r="1470">
          <cell r="B1470" t="str">
            <v>GOKALDAS EXPORTS LTD</v>
          </cell>
          <cell r="C1470">
            <v>532630</v>
          </cell>
          <cell r="D1470" t="str">
            <v>GOKEX</v>
          </cell>
          <cell r="E1470" t="str">
            <v>Other Apparels &amp; Accessories</v>
          </cell>
        </row>
        <row r="1471">
          <cell r="B1471" t="str">
            <v>GOKUL AGRO RESOURCES LTD</v>
          </cell>
          <cell r="C1471">
            <v>539725</v>
          </cell>
          <cell r="D1471" t="str">
            <v>GOKULAGRO</v>
          </cell>
          <cell r="E1471" t="str">
            <v>Edible Oils</v>
          </cell>
        </row>
        <row r="1472">
          <cell r="B1472" t="str">
            <v>GOKUL REFOILS AND SOLVENT LTD</v>
          </cell>
          <cell r="C1472">
            <v>532980</v>
          </cell>
          <cell r="D1472" t="str">
            <v>GOKUL</v>
          </cell>
          <cell r="E1472" t="str">
            <v>Edible Oils</v>
          </cell>
        </row>
        <row r="1473">
          <cell r="B1473" t="str">
            <v>GOKUL SOLUTIONS LTD</v>
          </cell>
          <cell r="C1473">
            <v>780012</v>
          </cell>
          <cell r="D1473" t="str">
            <v>Not Listed</v>
          </cell>
          <cell r="E1473" t="str">
            <v>Others</v>
          </cell>
        </row>
        <row r="1474">
          <cell r="B1474" t="str">
            <v>GOLD COIN HEALTH FOODS LTD</v>
          </cell>
          <cell r="C1474">
            <v>538542</v>
          </cell>
          <cell r="D1474" t="str">
            <v>Not Listed</v>
          </cell>
          <cell r="E1474" t="str">
            <v>Packaged Foods</v>
          </cell>
        </row>
        <row r="1475">
          <cell r="B1475" t="str">
            <v>Gold Line International Finvest Ltd</v>
          </cell>
          <cell r="C1475">
            <v>538180</v>
          </cell>
          <cell r="D1475" t="str">
            <v>GOLDLINE</v>
          </cell>
          <cell r="E1475" t="str">
            <v>Investment Companies</v>
          </cell>
        </row>
        <row r="1476">
          <cell r="B1476" t="str">
            <v>GOLDCREST CORPORATION LTD</v>
          </cell>
          <cell r="C1476">
            <v>505576</v>
          </cell>
          <cell r="D1476" t="str">
            <v>Not Listed</v>
          </cell>
          <cell r="E1476" t="str">
            <v>Finance (including NBFCs)</v>
          </cell>
        </row>
        <row r="1477">
          <cell r="B1477" t="str">
            <v>GOLDEN CARPETS LTD</v>
          </cell>
          <cell r="C1477">
            <v>531928</v>
          </cell>
          <cell r="D1477" t="str">
            <v>Not Listed</v>
          </cell>
          <cell r="E1477" t="str">
            <v>Furniture-Furnishing-Paints</v>
          </cell>
        </row>
        <row r="1478">
          <cell r="B1478" t="str">
            <v>GOLDEN CREST EDUCATION &amp; SERVICES LTD</v>
          </cell>
          <cell r="C1478">
            <v>540062</v>
          </cell>
          <cell r="D1478" t="str">
            <v>Not Listed</v>
          </cell>
          <cell r="E1478" t="str">
            <v>Education</v>
          </cell>
        </row>
        <row r="1479">
          <cell r="B1479" t="str">
            <v>GOLDEN GOENKA FINCORP LTD</v>
          </cell>
          <cell r="C1479">
            <v>530579</v>
          </cell>
          <cell r="D1479" t="str">
            <v>Not Listed</v>
          </cell>
          <cell r="E1479" t="str">
            <v>Finance (including NBFCs)</v>
          </cell>
        </row>
        <row r="1480">
          <cell r="B1480" t="str">
            <v>GOLDEN TOBACCO LTD</v>
          </cell>
          <cell r="C1480">
            <v>500151</v>
          </cell>
          <cell r="D1480" t="str">
            <v>GOLDENTOBC</v>
          </cell>
          <cell r="E1480" t="str">
            <v>Cigarettes-Tobacco Products</v>
          </cell>
        </row>
        <row r="1481">
          <cell r="B1481" t="str">
            <v>GOLDIAM INTERNATIONAL LTD</v>
          </cell>
          <cell r="C1481">
            <v>526729</v>
          </cell>
          <cell r="D1481" t="str">
            <v>GOLDIAM</v>
          </cell>
          <cell r="E1481" t="str">
            <v>Other Apparels &amp; Accessories</v>
          </cell>
        </row>
        <row r="1482">
          <cell r="B1482" t="str">
            <v>GOLDSTAR POWER LTD</v>
          </cell>
          <cell r="C1482" t="str">
            <v>Not Listed</v>
          </cell>
          <cell r="D1482" t="str">
            <v>GOLDSTAR</v>
          </cell>
          <cell r="E1482" t="str">
            <v>SME</v>
          </cell>
        </row>
        <row r="1483">
          <cell r="B1483" t="str">
            <v>GOLDSTONE TECHNOLOGIES LTD</v>
          </cell>
          <cell r="C1483">
            <v>531439</v>
          </cell>
          <cell r="D1483" t="str">
            <v>GOLDTECH</v>
          </cell>
          <cell r="E1483" t="str">
            <v>IT Consulting &amp; Software</v>
          </cell>
        </row>
        <row r="1484">
          <cell r="B1484" t="str">
            <v>GOLECHHA GLOBAL FINANCE LTD</v>
          </cell>
          <cell r="C1484">
            <v>531360</v>
          </cell>
          <cell r="D1484" t="str">
            <v>Not Listed</v>
          </cell>
          <cell r="E1484" t="str">
            <v>Misc.Commercial Services</v>
          </cell>
        </row>
        <row r="1485">
          <cell r="B1485" t="str">
            <v>GOLKONDA ALUMINIUM EXTRUSIONS LTD</v>
          </cell>
          <cell r="C1485">
            <v>513309</v>
          </cell>
          <cell r="D1485" t="str">
            <v>Not Listed</v>
          </cell>
          <cell r="E1485" t="str">
            <v>Aluminium</v>
          </cell>
        </row>
        <row r="1486">
          <cell r="B1486" t="str">
            <v>GOLKUNDA DIAMONDS &amp; JEWELLERY LTD</v>
          </cell>
          <cell r="C1486">
            <v>523676</v>
          </cell>
          <cell r="D1486" t="str">
            <v>Not Listed</v>
          </cell>
          <cell r="E1486" t="str">
            <v>Other Apparels &amp; Accessories</v>
          </cell>
        </row>
        <row r="1487">
          <cell r="B1487" t="str">
            <v>GOODLUCK (INDIA) LTD</v>
          </cell>
          <cell r="C1487">
            <v>530655</v>
          </cell>
          <cell r="D1487" t="str">
            <v>GOODLUCK</v>
          </cell>
          <cell r="E1487" t="str">
            <v>Iron &amp; Steel Products</v>
          </cell>
        </row>
        <row r="1488">
          <cell r="B1488" t="str">
            <v>GOODLUCK INDIA LTD</v>
          </cell>
          <cell r="C1488">
            <v>530655</v>
          </cell>
          <cell r="D1488" t="str">
            <v>GOODLUCK</v>
          </cell>
          <cell r="E1488" t="str">
            <v>Iron &amp; Steel Products</v>
          </cell>
        </row>
        <row r="1489">
          <cell r="B1489" t="str">
            <v>GOODRICKE GROUP LTD</v>
          </cell>
          <cell r="C1489">
            <v>500166</v>
          </cell>
          <cell r="D1489" t="str">
            <v>Not Listed</v>
          </cell>
          <cell r="E1489" t="str">
            <v>Tea &amp; Coffee</v>
          </cell>
        </row>
        <row r="1490">
          <cell r="B1490" t="str">
            <v>GOODYEAR (INDIA) LTD</v>
          </cell>
          <cell r="C1490">
            <v>500168</v>
          </cell>
          <cell r="D1490" t="str">
            <v>Not Listed</v>
          </cell>
          <cell r="E1490" t="str">
            <v>Auto Tyres &amp; Rubber Products</v>
          </cell>
        </row>
        <row r="1491">
          <cell r="B1491" t="str">
            <v>GOODYEAR INDIA LTD</v>
          </cell>
          <cell r="C1491">
            <v>500168</v>
          </cell>
          <cell r="D1491" t="str">
            <v>Not Listed</v>
          </cell>
          <cell r="E1491" t="str">
            <v>Auto Tyres &amp; Rubber Products</v>
          </cell>
        </row>
        <row r="1492">
          <cell r="B1492" t="str">
            <v>GOPAL IRON &amp; STEELS CO GUJARAT LTD</v>
          </cell>
          <cell r="C1492">
            <v>531913</v>
          </cell>
          <cell r="D1492" t="str">
            <v>Not Listed</v>
          </cell>
          <cell r="E1492" t="str">
            <v>Iron &amp; Steel Products</v>
          </cell>
        </row>
        <row r="1493">
          <cell r="B1493" t="str">
            <v>GOPALA POLYPLAST LTD</v>
          </cell>
          <cell r="C1493">
            <v>526717</v>
          </cell>
          <cell r="D1493" t="str">
            <v>Not Listed</v>
          </cell>
          <cell r="E1493" t="str">
            <v>Containers &amp; Packaging</v>
          </cell>
        </row>
        <row r="1494">
          <cell r="B1494" t="str">
            <v>GORANI INDUSTRIES LTD</v>
          </cell>
          <cell r="C1494">
            <v>531608</v>
          </cell>
          <cell r="D1494" t="str">
            <v>Not Listed</v>
          </cell>
          <cell r="E1494" t="str">
            <v>Houseware</v>
          </cell>
        </row>
        <row r="1495">
          <cell r="B1495" t="str">
            <v>GOTHI PLASCON (INDIA) LTD</v>
          </cell>
          <cell r="C1495">
            <v>531111</v>
          </cell>
          <cell r="D1495" t="str">
            <v>Not Listed</v>
          </cell>
          <cell r="E1495" t="str">
            <v>Houseware</v>
          </cell>
        </row>
        <row r="1496">
          <cell r="B1496" t="str">
            <v>GOTHI PLASCON INDIA LTD</v>
          </cell>
          <cell r="C1496">
            <v>531111</v>
          </cell>
          <cell r="D1496" t="str">
            <v>Not Listed</v>
          </cell>
          <cell r="E1496" t="str">
            <v>Houseware</v>
          </cell>
        </row>
        <row r="1497">
          <cell r="B1497" t="str">
            <v>GOVIND RUBBER LTD</v>
          </cell>
          <cell r="C1497">
            <v>509148</v>
          </cell>
          <cell r="D1497" t="str">
            <v>Not Listed</v>
          </cell>
          <cell r="E1497" t="str">
            <v>Auto Tyres &amp; Rubber Products</v>
          </cell>
        </row>
        <row r="1498">
          <cell r="B1498" t="str">
            <v>GOWRA LEASING &amp; FINANCE LTD</v>
          </cell>
          <cell r="C1498">
            <v>530709</v>
          </cell>
          <cell r="D1498" t="str">
            <v>Not Listed</v>
          </cell>
          <cell r="E1498" t="str">
            <v>Finance (including NBFCs)</v>
          </cell>
        </row>
        <row r="1499">
          <cell r="B1499" t="str">
            <v>GOYAL ASSOCIATES LTD</v>
          </cell>
          <cell r="C1499">
            <v>530663</v>
          </cell>
          <cell r="D1499" t="str">
            <v>Not Listed</v>
          </cell>
          <cell r="E1499" t="str">
            <v>Other Financial Services</v>
          </cell>
        </row>
        <row r="1500">
          <cell r="B1500" t="str">
            <v>GP PETROLEUMS LTD</v>
          </cell>
          <cell r="C1500">
            <v>532543</v>
          </cell>
          <cell r="D1500" t="str">
            <v>GULFPETRO</v>
          </cell>
          <cell r="E1500" t="str">
            <v>Oil Marketing &amp; Distribution</v>
          </cell>
        </row>
        <row r="1501">
          <cell r="B1501" t="str">
            <v>GPT INFRAPROJECTS LTD</v>
          </cell>
          <cell r="C1501">
            <v>533761</v>
          </cell>
          <cell r="D1501" t="str">
            <v>GPTINFRA</v>
          </cell>
          <cell r="E1501" t="str">
            <v>Construction &amp; Engineering</v>
          </cell>
        </row>
        <row r="1502">
          <cell r="B1502" t="str">
            <v>GRACIOUS SOFTWARE LTD</v>
          </cell>
          <cell r="C1502">
            <v>780002</v>
          </cell>
          <cell r="D1502" t="str">
            <v>Not Listed</v>
          </cell>
          <cell r="E1502" t="str">
            <v>Others</v>
          </cell>
        </row>
        <row r="1503">
          <cell r="B1503" t="str">
            <v>GRADIENTE INFOTAINMENT LTD</v>
          </cell>
          <cell r="C1503">
            <v>590126</v>
          </cell>
          <cell r="D1503" t="str">
            <v>Not Listed</v>
          </cell>
          <cell r="E1503" t="str">
            <v>Advertising &amp; Media</v>
          </cell>
        </row>
        <row r="1504">
          <cell r="B1504" t="str">
            <v>GRANDEUR PRODUCTS LTD</v>
          </cell>
          <cell r="C1504">
            <v>539235</v>
          </cell>
          <cell r="D1504" t="str">
            <v>Not Listed</v>
          </cell>
          <cell r="E1504" t="str">
            <v>Tea &amp; Coffee</v>
          </cell>
        </row>
        <row r="1505">
          <cell r="B1505" t="str">
            <v>GRANULES (INDIA) LTD</v>
          </cell>
          <cell r="C1505">
            <v>532482</v>
          </cell>
          <cell r="D1505" t="str">
            <v>GRANULES</v>
          </cell>
          <cell r="E1505" t="str">
            <v>Pharmaceuticals</v>
          </cell>
        </row>
        <row r="1506">
          <cell r="B1506" t="str">
            <v>GRANULES INDIA LTD</v>
          </cell>
          <cell r="C1506">
            <v>532482</v>
          </cell>
          <cell r="D1506" t="str">
            <v>GRANULES</v>
          </cell>
          <cell r="E1506" t="str">
            <v>Pharmaceuticals</v>
          </cell>
        </row>
        <row r="1507">
          <cell r="B1507" t="str">
            <v>GRAPHITE (INDIA) LTD</v>
          </cell>
          <cell r="C1507">
            <v>509488</v>
          </cell>
          <cell r="D1507" t="str">
            <v>GRAPHITE</v>
          </cell>
          <cell r="E1507" t="str">
            <v>Other Industrial Goods</v>
          </cell>
        </row>
        <row r="1508">
          <cell r="B1508" t="str">
            <v>GRAPHITE INDIA LTD</v>
          </cell>
          <cell r="C1508">
            <v>509488</v>
          </cell>
          <cell r="D1508" t="str">
            <v>GRAPHITE</v>
          </cell>
          <cell r="E1508" t="str">
            <v>Other Industrial Goods</v>
          </cell>
        </row>
        <row r="1509">
          <cell r="B1509" t="str">
            <v>GRASIM INDUSTRIES LTD</v>
          </cell>
          <cell r="C1509">
            <v>500300</v>
          </cell>
          <cell r="D1509" t="str">
            <v>GRASIM</v>
          </cell>
          <cell r="E1509" t="str">
            <v>Cement &amp; Cement Products</v>
          </cell>
        </row>
        <row r="1510">
          <cell r="B1510" t="str">
            <v>GRATEX INDUSTRIES LTD</v>
          </cell>
          <cell r="C1510">
            <v>526751</v>
          </cell>
          <cell r="D1510" t="str">
            <v>Not Listed</v>
          </cell>
          <cell r="E1510" t="str">
            <v>Paper &amp; Paper Products</v>
          </cell>
        </row>
        <row r="1511">
          <cell r="B1511" t="str">
            <v>GRAUER &amp; WEIL (INDIA) LTD</v>
          </cell>
          <cell r="C1511">
            <v>505710</v>
          </cell>
          <cell r="D1511" t="str">
            <v>Not Listed</v>
          </cell>
          <cell r="E1511" t="str">
            <v>Commodity Chemicals</v>
          </cell>
        </row>
        <row r="1512">
          <cell r="B1512" t="str">
            <v>GRAUER &amp; WEIL INDIA LTD</v>
          </cell>
          <cell r="C1512">
            <v>505710</v>
          </cell>
          <cell r="D1512" t="str">
            <v>Not Listed</v>
          </cell>
          <cell r="E1512" t="str">
            <v>Commodity Chemicals</v>
          </cell>
        </row>
        <row r="1513">
          <cell r="B1513" t="str">
            <v>GRAVISS HOSPITALITY LTD</v>
          </cell>
          <cell r="C1513">
            <v>509546</v>
          </cell>
          <cell r="D1513" t="str">
            <v>Not Listed</v>
          </cell>
          <cell r="E1513" t="str">
            <v>Hotels</v>
          </cell>
        </row>
        <row r="1514">
          <cell r="B1514" t="str">
            <v>GRAVITA (INDIA) LTD</v>
          </cell>
          <cell r="C1514">
            <v>533282</v>
          </cell>
          <cell r="D1514" t="str">
            <v>GRAVITA</v>
          </cell>
          <cell r="E1514" t="str">
            <v>Other Non-Ferrous Metals</v>
          </cell>
        </row>
        <row r="1515">
          <cell r="B1515" t="str">
            <v>GRAVITA INDIA LTD</v>
          </cell>
          <cell r="C1515">
            <v>533282</v>
          </cell>
          <cell r="D1515" t="str">
            <v>GRAVITA</v>
          </cell>
          <cell r="E1515" t="str">
            <v>Other Non-Ferrous Metals</v>
          </cell>
        </row>
        <row r="1516">
          <cell r="B1516" t="str">
            <v>GRAVITY (INDIA) LTD</v>
          </cell>
          <cell r="C1516">
            <v>532015</v>
          </cell>
          <cell r="D1516" t="str">
            <v>Not Listed</v>
          </cell>
          <cell r="E1516" t="str">
            <v>Textiles</v>
          </cell>
        </row>
        <row r="1517">
          <cell r="B1517" t="str">
            <v>GRAVITY INDIA LTD</v>
          </cell>
          <cell r="C1517">
            <v>532015</v>
          </cell>
          <cell r="D1517" t="str">
            <v>Not Listed</v>
          </cell>
          <cell r="E1517" t="str">
            <v>Textiles</v>
          </cell>
        </row>
        <row r="1518">
          <cell r="B1518" t="str">
            <v>GREAVES COTTON LTD</v>
          </cell>
          <cell r="C1518">
            <v>501455</v>
          </cell>
          <cell r="D1518" t="str">
            <v>GREAVESCOT</v>
          </cell>
          <cell r="E1518" t="str">
            <v>Industrial Machinery</v>
          </cell>
        </row>
        <row r="1519">
          <cell r="B1519" t="str">
            <v>GREENCREST FINANCIAL SERVICES LTD</v>
          </cell>
          <cell r="C1519">
            <v>531737</v>
          </cell>
          <cell r="D1519" t="str">
            <v>Not Listed</v>
          </cell>
          <cell r="E1519" t="str">
            <v>Misc.Commercial Services</v>
          </cell>
        </row>
        <row r="1520">
          <cell r="B1520" t="str">
            <v>GREENLAM INDUSTRIES LTD</v>
          </cell>
          <cell r="C1520">
            <v>538979</v>
          </cell>
          <cell r="D1520" t="str">
            <v>GREENLAM</v>
          </cell>
          <cell r="E1520" t="str">
            <v>Furniture-Furnishing-Paints</v>
          </cell>
        </row>
        <row r="1521">
          <cell r="B1521" t="str">
            <v>GREENPLY INDUSTRIES LTD</v>
          </cell>
          <cell r="C1521">
            <v>526797</v>
          </cell>
          <cell r="D1521" t="str">
            <v>GREENPLY</v>
          </cell>
          <cell r="E1521" t="str">
            <v>Forest Products</v>
          </cell>
        </row>
        <row r="1522">
          <cell r="B1522" t="str">
            <v>GRETEX INDUSTRIES LTD</v>
          </cell>
          <cell r="C1522" t="str">
            <v>Not Listed</v>
          </cell>
          <cell r="D1522" t="str">
            <v>GRETEX</v>
          </cell>
          <cell r="E1522" t="str">
            <v>SME</v>
          </cell>
        </row>
        <row r="1523">
          <cell r="B1523" t="str">
            <v>GREYCELLS EDUCATION LTD</v>
          </cell>
          <cell r="C1523">
            <v>508918</v>
          </cell>
          <cell r="D1523" t="str">
            <v>Not Listed</v>
          </cell>
          <cell r="E1523" t="str">
            <v>Education</v>
          </cell>
        </row>
        <row r="1524">
          <cell r="B1524" t="str">
            <v>GRINDWELL NORTON LTD</v>
          </cell>
          <cell r="C1524">
            <v>506076</v>
          </cell>
          <cell r="D1524" t="str">
            <v>GRINDWELL</v>
          </cell>
          <cell r="E1524" t="str">
            <v>Other Industrial Products</v>
          </cell>
        </row>
        <row r="1525">
          <cell r="B1525" t="str">
            <v>GRM OVERSEAS LTD</v>
          </cell>
          <cell r="C1525">
            <v>531449</v>
          </cell>
          <cell r="D1525" t="str">
            <v>Not Listed</v>
          </cell>
          <cell r="E1525" t="str">
            <v>Other Agricultural Products</v>
          </cell>
        </row>
        <row r="1526">
          <cell r="B1526" t="str">
            <v>GROMO TRADE &amp; CONSULTANCY LTD</v>
          </cell>
          <cell r="C1526">
            <v>501314</v>
          </cell>
          <cell r="D1526" t="str">
            <v>Not Listed</v>
          </cell>
          <cell r="E1526" t="str">
            <v>Comm.Trading  &amp; Distribution</v>
          </cell>
        </row>
        <row r="1527">
          <cell r="B1527" t="str">
            <v>GROVY (INDIA) LTD</v>
          </cell>
          <cell r="C1527">
            <v>539522</v>
          </cell>
          <cell r="D1527" t="str">
            <v>Not Listed</v>
          </cell>
          <cell r="E1527" t="str">
            <v>Real Estate Investment</v>
          </cell>
        </row>
        <row r="1528">
          <cell r="B1528" t="str">
            <v>GROVY INDIA LTD</v>
          </cell>
          <cell r="C1528">
            <v>539522</v>
          </cell>
          <cell r="D1528" t="str">
            <v>Not Listed</v>
          </cell>
          <cell r="E1528" t="str">
            <v>Real Estate Investment</v>
          </cell>
        </row>
        <row r="1529">
          <cell r="B1529" t="str">
            <v>GRP LTD</v>
          </cell>
          <cell r="C1529">
            <v>509152</v>
          </cell>
          <cell r="D1529" t="str">
            <v>GRPLTD</v>
          </cell>
          <cell r="E1529" t="str">
            <v>Auto Tyres &amp; Rubber Products</v>
          </cell>
        </row>
        <row r="1530">
          <cell r="B1530" t="str">
            <v>GRUH FINANCE LTD</v>
          </cell>
          <cell r="C1530">
            <v>511288</v>
          </cell>
          <cell r="D1530" t="str">
            <v>GRUH</v>
          </cell>
          <cell r="E1530" t="str">
            <v xml:space="preserve">Housing Finance </v>
          </cell>
        </row>
        <row r="1531">
          <cell r="B1531" t="str">
            <v>GSB FINANCE LTD</v>
          </cell>
          <cell r="C1531">
            <v>511543</v>
          </cell>
          <cell r="D1531" t="str">
            <v>Not Listed</v>
          </cell>
          <cell r="E1531" t="str">
            <v>Finance (including NBFCs)</v>
          </cell>
        </row>
        <row r="1532">
          <cell r="B1532" t="str">
            <v>GSL NOVA PETROCHEMICALS LTD</v>
          </cell>
          <cell r="C1532">
            <v>530605</v>
          </cell>
          <cell r="D1532" t="str">
            <v>Not Listed</v>
          </cell>
          <cell r="E1532" t="str">
            <v>Textiles</v>
          </cell>
        </row>
        <row r="1533">
          <cell r="B1533" t="str">
            <v>GSL SECURITIES LTD</v>
          </cell>
          <cell r="C1533">
            <v>530469</v>
          </cell>
          <cell r="D1533" t="str">
            <v>Not Listed</v>
          </cell>
          <cell r="E1533" t="str">
            <v>Finance (including NBFCs)</v>
          </cell>
        </row>
        <row r="1534">
          <cell r="B1534" t="str">
            <v>GSS INFOTECH LTD</v>
          </cell>
          <cell r="C1534">
            <v>532951</v>
          </cell>
          <cell r="D1534" t="str">
            <v>GSS</v>
          </cell>
          <cell r="E1534" t="str">
            <v>IT Consulting &amp; Software</v>
          </cell>
        </row>
        <row r="1535">
          <cell r="B1535" t="str">
            <v>G-TECH INFO-TRAINING LTD</v>
          </cell>
          <cell r="C1535">
            <v>532139</v>
          </cell>
          <cell r="D1535" t="str">
            <v>Not Listed</v>
          </cell>
          <cell r="E1535" t="str">
            <v>BPO/KPO</v>
          </cell>
        </row>
        <row r="1536">
          <cell r="B1536" t="str">
            <v>GTL INFRASTRUCTURE LTD</v>
          </cell>
          <cell r="C1536">
            <v>532775</v>
          </cell>
          <cell r="D1536" t="str">
            <v>GTLINFRA</v>
          </cell>
          <cell r="E1536" t="str">
            <v>Telecom Equipment</v>
          </cell>
        </row>
        <row r="1537">
          <cell r="B1537" t="str">
            <v>GTL LTD</v>
          </cell>
          <cell r="C1537">
            <v>500160</v>
          </cell>
          <cell r="D1537" t="str">
            <v>GTL</v>
          </cell>
          <cell r="E1537" t="str">
            <v>Other Telecom Services</v>
          </cell>
        </row>
        <row r="1538">
          <cell r="B1538" t="str">
            <v>GTN INDUSTRIES LTD</v>
          </cell>
          <cell r="C1538">
            <v>500170</v>
          </cell>
          <cell r="D1538" t="str">
            <v>GTNIND</v>
          </cell>
          <cell r="E1538" t="str">
            <v>Textiles</v>
          </cell>
        </row>
        <row r="1539">
          <cell r="B1539" t="str">
            <v>GTN TEXTILES LTD</v>
          </cell>
          <cell r="C1539">
            <v>532744</v>
          </cell>
          <cell r="D1539" t="str">
            <v>GTNTEX</v>
          </cell>
          <cell r="E1539" t="str">
            <v>Textiles</v>
          </cell>
        </row>
        <row r="1540">
          <cell r="B1540" t="str">
            <v>GTPL HATHWAY LTD</v>
          </cell>
          <cell r="C1540">
            <v>540602</v>
          </cell>
          <cell r="D1540" t="str">
            <v>GTPL</v>
          </cell>
          <cell r="E1540" t="str">
            <v>Other Telecom Services</v>
          </cell>
        </row>
        <row r="1541">
          <cell r="B1541" t="str">
            <v>GTV ENGINEERING LTD</v>
          </cell>
          <cell r="C1541">
            <v>539479</v>
          </cell>
          <cell r="D1541" t="str">
            <v>Not Listed</v>
          </cell>
          <cell r="E1541" t="str">
            <v>Industrial Machinery</v>
          </cell>
        </row>
        <row r="1542">
          <cell r="B1542" t="str">
            <v>GUFIC BIOSCIENCES LTD</v>
          </cell>
          <cell r="C1542">
            <v>509079</v>
          </cell>
          <cell r="D1542" t="str">
            <v>GUFICBIO</v>
          </cell>
          <cell r="E1542" t="str">
            <v>Pharmaceuticals</v>
          </cell>
        </row>
        <row r="1543">
          <cell r="B1543" t="str">
            <v>GUJARAT ALKALIES AND CHEMICALS LTD</v>
          </cell>
          <cell r="C1543">
            <v>530001</v>
          </cell>
          <cell r="D1543" t="str">
            <v>GUJALKALI</v>
          </cell>
          <cell r="E1543" t="str">
            <v>Commodity Chemicals</v>
          </cell>
        </row>
        <row r="1544">
          <cell r="B1544" t="str">
            <v>GUJARAT AMBUJA EXPORTS LTD</v>
          </cell>
          <cell r="C1544">
            <v>524226</v>
          </cell>
          <cell r="D1544" t="str">
            <v>GAEL</v>
          </cell>
          <cell r="E1544" t="str">
            <v>Other Agricultural Products</v>
          </cell>
        </row>
        <row r="1545">
          <cell r="B1545" t="str">
            <v>GUJARAT APOLLO INDUSTRIES LTD</v>
          </cell>
          <cell r="C1545">
            <v>522217</v>
          </cell>
          <cell r="D1545" t="str">
            <v>GUJAPOLLO</v>
          </cell>
          <cell r="E1545" t="str">
            <v>Commercial Vehicles</v>
          </cell>
        </row>
        <row r="1546">
          <cell r="B1546" t="str">
            <v>GUJARAT BOROSIL LTD</v>
          </cell>
          <cell r="C1546">
            <v>523768</v>
          </cell>
          <cell r="D1546" t="str">
            <v>Not Listed</v>
          </cell>
          <cell r="E1546" t="str">
            <v>Construction Materials</v>
          </cell>
        </row>
        <row r="1547">
          <cell r="B1547" t="str">
            <v>GUJARAT CONTAINERS LTD</v>
          </cell>
          <cell r="C1547">
            <v>513507</v>
          </cell>
          <cell r="D1547" t="str">
            <v>Not Listed</v>
          </cell>
          <cell r="E1547" t="str">
            <v>Iron &amp; Steel Products</v>
          </cell>
        </row>
        <row r="1548">
          <cell r="B1548" t="str">
            <v>GUJARAT COTEX LTD</v>
          </cell>
          <cell r="C1548">
            <v>514386</v>
          </cell>
          <cell r="D1548" t="str">
            <v>Not Listed</v>
          </cell>
          <cell r="E1548" t="str">
            <v>Textiles</v>
          </cell>
        </row>
        <row r="1549">
          <cell r="B1549" t="str">
            <v>GUJARAT CRAFT INDUSTRIES LTD</v>
          </cell>
          <cell r="C1549">
            <v>526965</v>
          </cell>
          <cell r="D1549" t="str">
            <v>Not Listed</v>
          </cell>
          <cell r="E1549" t="str">
            <v>Containers &amp; Packaging</v>
          </cell>
        </row>
        <row r="1550">
          <cell r="B1550" t="str">
            <v>GUJARAT CREDIT CORPORATION LTD</v>
          </cell>
          <cell r="C1550">
            <v>511441</v>
          </cell>
          <cell r="D1550" t="str">
            <v>Not Listed</v>
          </cell>
          <cell r="E1550" t="str">
            <v>Other Financial Services</v>
          </cell>
        </row>
        <row r="1551">
          <cell r="B1551" t="str">
            <v>GUJARAT FLUOROCHEMICALS LTD</v>
          </cell>
          <cell r="C1551">
            <v>500173</v>
          </cell>
          <cell r="D1551" t="str">
            <v>GUJFLUORO</v>
          </cell>
          <cell r="E1551" t="str">
            <v>Industrial Gases</v>
          </cell>
        </row>
        <row r="1552">
          <cell r="B1552" t="str">
            <v>GUJARAT FOILS LTD</v>
          </cell>
          <cell r="C1552">
            <v>531410</v>
          </cell>
          <cell r="D1552" t="str">
            <v>Not Listed</v>
          </cell>
          <cell r="E1552" t="str">
            <v>Aluminium</v>
          </cell>
        </row>
        <row r="1553">
          <cell r="B1553" t="str">
            <v>GUJARAT GAS LTD</v>
          </cell>
          <cell r="C1553">
            <v>539336</v>
          </cell>
          <cell r="D1553" t="str">
            <v>GUJGASLTD</v>
          </cell>
          <cell r="E1553" t="str">
            <v>Integrated Oil &amp; Gas</v>
          </cell>
        </row>
        <row r="1554">
          <cell r="B1554" t="str">
            <v>GUJARAT HOTELS LTD</v>
          </cell>
          <cell r="C1554">
            <v>507960</v>
          </cell>
          <cell r="D1554" t="str">
            <v>Not Listed</v>
          </cell>
          <cell r="E1554" t="str">
            <v>Hotels</v>
          </cell>
        </row>
        <row r="1555">
          <cell r="B1555" t="str">
            <v>GUJARAT HY-SPIN LTD</v>
          </cell>
          <cell r="C1555">
            <v>540938</v>
          </cell>
          <cell r="D1555" t="str">
            <v>Not Listed</v>
          </cell>
          <cell r="E1555" t="str">
            <v>Textiles</v>
          </cell>
        </row>
        <row r="1556">
          <cell r="B1556" t="str">
            <v>GUJARAT INDUSTRIES POWER COMPANY LTD</v>
          </cell>
          <cell r="C1556">
            <v>517300</v>
          </cell>
          <cell r="D1556" t="str">
            <v>GIPCL</v>
          </cell>
          <cell r="E1556" t="str">
            <v>Electric Utilities</v>
          </cell>
        </row>
        <row r="1557">
          <cell r="B1557" t="str">
            <v>GUJARAT INTRUX LTD</v>
          </cell>
          <cell r="C1557">
            <v>517372</v>
          </cell>
          <cell r="D1557" t="str">
            <v>Not Listed</v>
          </cell>
          <cell r="E1557" t="str">
            <v>Other Industrial Products</v>
          </cell>
        </row>
        <row r="1558">
          <cell r="B1558" t="str">
            <v>GUJARAT INVESTA LTD</v>
          </cell>
          <cell r="C1558">
            <v>531341</v>
          </cell>
          <cell r="D1558" t="str">
            <v>Not Listed</v>
          </cell>
          <cell r="E1558" t="str">
            <v>Finance (including NBFCs)</v>
          </cell>
        </row>
        <row r="1559">
          <cell r="B1559" t="str">
            <v>GUJARAT LEASE FINANCING LTD</v>
          </cell>
          <cell r="C1559">
            <v>500174</v>
          </cell>
          <cell r="D1559" t="str">
            <v>GLFL</v>
          </cell>
          <cell r="E1559" t="str">
            <v>Finance (including NBFCs)</v>
          </cell>
        </row>
        <row r="1560">
          <cell r="B1560" t="str">
            <v>GUJARAT MEDITECH LTD</v>
          </cell>
          <cell r="C1560">
            <v>524754</v>
          </cell>
          <cell r="D1560" t="str">
            <v>Not Listed</v>
          </cell>
          <cell r="E1560" t="str">
            <v>Healthcare Supplies</v>
          </cell>
        </row>
        <row r="1561">
          <cell r="B1561" t="str">
            <v>GUJARAT METALLIC COAL &amp; COKE LTD</v>
          </cell>
          <cell r="C1561">
            <v>531881</v>
          </cell>
          <cell r="D1561" t="str">
            <v>Not Listed</v>
          </cell>
          <cell r="E1561" t="str">
            <v>Comm.Trading  &amp; Distribution</v>
          </cell>
        </row>
        <row r="1562">
          <cell r="B1562" t="str">
            <v>GUJARAT MINERAL DEVELOPMENT CORPORATION LTD</v>
          </cell>
          <cell r="C1562">
            <v>532181</v>
          </cell>
          <cell r="D1562" t="str">
            <v>GMDCLTD</v>
          </cell>
          <cell r="E1562" t="str">
            <v>Coal</v>
          </cell>
        </row>
        <row r="1563">
          <cell r="B1563" t="str">
            <v>GUJARAT NARMADA VALLEY FERTILIZERS AND CHEMICALS LTD</v>
          </cell>
          <cell r="C1563">
            <v>500670</v>
          </cell>
          <cell r="D1563" t="str">
            <v>GNFC</v>
          </cell>
          <cell r="E1563" t="str">
            <v>Fertilizers</v>
          </cell>
        </row>
        <row r="1564">
          <cell r="B1564" t="str">
            <v>GUJARAT NATURAL RESOURCES LTD</v>
          </cell>
          <cell r="C1564">
            <v>513536</v>
          </cell>
          <cell r="D1564" t="str">
            <v>Not Listed</v>
          </cell>
          <cell r="E1564" t="str">
            <v>Exploration &amp; Production</v>
          </cell>
        </row>
        <row r="1565">
          <cell r="B1565" t="str">
            <v>GUJARAT PETROSYNTHESE LTD</v>
          </cell>
          <cell r="C1565">
            <v>506858</v>
          </cell>
          <cell r="D1565" t="str">
            <v>Not Listed</v>
          </cell>
          <cell r="E1565" t="str">
            <v>Fibres &amp; Plastics</v>
          </cell>
        </row>
        <row r="1566">
          <cell r="B1566" t="str">
            <v>GUJARAT PIPAVAV PORT LTD</v>
          </cell>
          <cell r="C1566">
            <v>533248</v>
          </cell>
          <cell r="D1566" t="str">
            <v>GPPL</v>
          </cell>
          <cell r="E1566" t="str">
            <v>Marine Port &amp; Services</v>
          </cell>
        </row>
        <row r="1567">
          <cell r="B1567" t="str">
            <v>GUJARAT POLY ELECTRONICS LTD</v>
          </cell>
          <cell r="C1567">
            <v>517288</v>
          </cell>
          <cell r="D1567" t="str">
            <v>Not Listed</v>
          </cell>
          <cell r="E1567" t="str">
            <v>Other Elect.Equip./ Prod.</v>
          </cell>
        </row>
        <row r="1568">
          <cell r="B1568" t="str">
            <v>GUJARAT RAFFIA INDUSTRIES LTD</v>
          </cell>
          <cell r="C1568">
            <v>523836</v>
          </cell>
          <cell r="D1568" t="str">
            <v>GUJRAFFIA</v>
          </cell>
          <cell r="E1568" t="str">
            <v>Containers &amp; Packaging</v>
          </cell>
        </row>
        <row r="1569">
          <cell r="B1569" t="str">
            <v>GUJARAT SIDHEE CEMENT LTD</v>
          </cell>
          <cell r="C1569">
            <v>518029</v>
          </cell>
          <cell r="D1569" t="str">
            <v>GSCLCEMENT</v>
          </cell>
          <cell r="E1569" t="str">
            <v>Cement &amp; Cement Products</v>
          </cell>
        </row>
        <row r="1570">
          <cell r="B1570" t="str">
            <v>GUJARAT STATE FERTILIZERS &amp; CHEMICALS LTD</v>
          </cell>
          <cell r="C1570">
            <v>500690</v>
          </cell>
          <cell r="D1570" t="str">
            <v>GSFC</v>
          </cell>
          <cell r="E1570" t="str">
            <v>Fertilizers</v>
          </cell>
        </row>
        <row r="1571">
          <cell r="B1571" t="str">
            <v>GUJARAT STATE FINANCIAL CORPORATION LTD</v>
          </cell>
          <cell r="C1571">
            <v>532160</v>
          </cell>
          <cell r="D1571" t="str">
            <v>Not Listed</v>
          </cell>
          <cell r="E1571" t="str">
            <v>Financial Institutions</v>
          </cell>
        </row>
        <row r="1572">
          <cell r="B1572" t="str">
            <v>GUJARAT STATE PETRONET LTD</v>
          </cell>
          <cell r="C1572">
            <v>532702</v>
          </cell>
          <cell r="D1572" t="str">
            <v>GSPL</v>
          </cell>
          <cell r="E1572" t="str">
            <v>Utilities:Non-Elec.</v>
          </cell>
        </row>
        <row r="1573">
          <cell r="B1573" t="str">
            <v>GUJARAT TERCE LABORATORIES LTD</v>
          </cell>
          <cell r="C1573">
            <v>524314</v>
          </cell>
          <cell r="D1573" t="str">
            <v>Not Listed</v>
          </cell>
          <cell r="E1573" t="str">
            <v>Pharmaceuticals</v>
          </cell>
        </row>
        <row r="1574">
          <cell r="B1574" t="str">
            <v>GUJARAT THEMIS BIOSYN LTD</v>
          </cell>
          <cell r="C1574">
            <v>506879</v>
          </cell>
          <cell r="D1574" t="str">
            <v>Not Listed</v>
          </cell>
          <cell r="E1574" t="str">
            <v>Pharmaceuticals</v>
          </cell>
        </row>
        <row r="1575">
          <cell r="B1575" t="str">
            <v>GUJARAT TOOLROOM LTD</v>
          </cell>
          <cell r="C1575">
            <v>513337</v>
          </cell>
          <cell r="D1575" t="str">
            <v>Not Listed</v>
          </cell>
          <cell r="E1575" t="str">
            <v>Plastic Products</v>
          </cell>
        </row>
        <row r="1576">
          <cell r="B1576" t="str">
            <v>GUJCHEM DISTILLERS (INDIA) LTD</v>
          </cell>
          <cell r="C1576">
            <v>506640</v>
          </cell>
          <cell r="D1576" t="str">
            <v>Not Listed</v>
          </cell>
          <cell r="E1576" t="str">
            <v>Commodity Chemicals</v>
          </cell>
        </row>
        <row r="1577">
          <cell r="B1577" t="str">
            <v>GUJCHEM DISTILLERS INDIA LTD</v>
          </cell>
          <cell r="C1577">
            <v>506640</v>
          </cell>
          <cell r="D1577" t="str">
            <v>Not Listed</v>
          </cell>
          <cell r="E1577" t="str">
            <v>Commodity Chemicals</v>
          </cell>
        </row>
        <row r="1578">
          <cell r="B1578" t="str">
            <v>GULF OIL LUBRICANTS (INDIA) LTD</v>
          </cell>
          <cell r="C1578">
            <v>538567</v>
          </cell>
          <cell r="D1578" t="str">
            <v>GULFOILLUB</v>
          </cell>
          <cell r="E1578" t="str">
            <v>Oil Marketing &amp; Distribution</v>
          </cell>
        </row>
        <row r="1579">
          <cell r="B1579" t="str">
            <v>GULF OIL LUBRICANTS INDIA LTD</v>
          </cell>
          <cell r="C1579">
            <v>538567</v>
          </cell>
          <cell r="D1579" t="str">
            <v>GULFOILLUB</v>
          </cell>
          <cell r="E1579" t="str">
            <v>Oil Marketing &amp; Distribution</v>
          </cell>
        </row>
        <row r="1580">
          <cell r="B1580" t="str">
            <v>GULSHAN CHEMFILL LTD</v>
          </cell>
          <cell r="C1580">
            <v>532425</v>
          </cell>
          <cell r="D1580" t="str">
            <v>Not Listed</v>
          </cell>
          <cell r="E1580" t="str">
            <v>Commodity Chemicals</v>
          </cell>
        </row>
        <row r="1581">
          <cell r="B1581" t="str">
            <v>GULSHAN POLYOLS LTD</v>
          </cell>
          <cell r="C1581">
            <v>532457</v>
          </cell>
          <cell r="D1581" t="str">
            <v>GULPOLY</v>
          </cell>
          <cell r="E1581" t="str">
            <v>Commodity Chemicals</v>
          </cell>
        </row>
        <row r="1582">
          <cell r="B1582" t="str">
            <v>GV FILMS LTD</v>
          </cell>
          <cell r="C1582">
            <v>523277</v>
          </cell>
          <cell r="D1582" t="str">
            <v>Not Listed</v>
          </cell>
          <cell r="E1582" t="str">
            <v>Movies &amp; Entertainment</v>
          </cell>
        </row>
        <row r="1583">
          <cell r="B1583" t="str">
            <v>GVK POWER &amp; INFRASTRUCTURE LTD</v>
          </cell>
          <cell r="C1583">
            <v>532708</v>
          </cell>
          <cell r="D1583" t="str">
            <v>GVKPIL</v>
          </cell>
          <cell r="E1583" t="str">
            <v>Electric Utilities</v>
          </cell>
        </row>
        <row r="1584">
          <cell r="B1584" t="str">
            <v>GYAN DEVELOPERS &amp; BUILDERS LTD</v>
          </cell>
          <cell r="C1584">
            <v>530141</v>
          </cell>
          <cell r="D1584" t="str">
            <v>Not Listed</v>
          </cell>
          <cell r="E1584" t="str">
            <v>Realty</v>
          </cell>
        </row>
        <row r="1585">
          <cell r="B1585" t="str">
            <v>GYSCOAL ALLOYS LTD</v>
          </cell>
          <cell r="C1585">
            <v>533275</v>
          </cell>
          <cell r="D1585" t="str">
            <v>GAL</v>
          </cell>
          <cell r="E1585" t="str">
            <v>Iron &amp; Steel/Interm.Products</v>
          </cell>
        </row>
        <row r="1586">
          <cell r="B1586" t="str">
            <v>H G INFRA ENGINEERING LTD</v>
          </cell>
          <cell r="C1586">
            <v>541019</v>
          </cell>
          <cell r="D1586" t="str">
            <v>HGINFRA</v>
          </cell>
          <cell r="E1586" t="str">
            <v>Construction &amp; Engineering</v>
          </cell>
        </row>
        <row r="1587">
          <cell r="B1587" t="str">
            <v>H K  TRADE INTERNATIONAL LTD</v>
          </cell>
          <cell r="C1587">
            <v>539337</v>
          </cell>
          <cell r="D1587" t="str">
            <v>Not Listed</v>
          </cell>
          <cell r="E1587" t="str">
            <v>Containers &amp; Packaging</v>
          </cell>
        </row>
        <row r="1588">
          <cell r="B1588" t="str">
            <v>H P COTTON TEXTILE MILLS LTD</v>
          </cell>
          <cell r="C1588">
            <v>502873</v>
          </cell>
          <cell r="D1588" t="str">
            <v>Not Listed</v>
          </cell>
          <cell r="E1588" t="str">
            <v>Textiles</v>
          </cell>
        </row>
        <row r="1589">
          <cell r="B1589" t="str">
            <v>H S (INDIA) LTD</v>
          </cell>
          <cell r="C1589">
            <v>532145</v>
          </cell>
          <cell r="D1589" t="str">
            <v>Not Listed</v>
          </cell>
          <cell r="E1589" t="str">
            <v>Hotels</v>
          </cell>
        </row>
        <row r="1590">
          <cell r="B1590" t="str">
            <v>H S INDIA LTD</v>
          </cell>
          <cell r="C1590">
            <v>532145</v>
          </cell>
          <cell r="D1590" t="str">
            <v>Not Listed</v>
          </cell>
          <cell r="E1590" t="str">
            <v>Hotels</v>
          </cell>
        </row>
        <row r="1591">
          <cell r="B1591" t="str">
            <v>HALDER VENTURE LTD</v>
          </cell>
          <cell r="C1591">
            <v>539854</v>
          </cell>
          <cell r="D1591" t="str">
            <v>Not Listed</v>
          </cell>
          <cell r="E1591" t="str">
            <v>Other Agricultural Products</v>
          </cell>
        </row>
        <row r="1592">
          <cell r="B1592" t="str">
            <v>HALDYN GLASS LTD</v>
          </cell>
          <cell r="C1592">
            <v>515147</v>
          </cell>
          <cell r="D1592" t="str">
            <v>Not Listed</v>
          </cell>
          <cell r="E1592" t="str">
            <v>Containers &amp; Packaging</v>
          </cell>
        </row>
        <row r="1593">
          <cell r="B1593" t="str">
            <v>HARDCASTLE &amp; WAUD MFG CO LTD</v>
          </cell>
          <cell r="C1593">
            <v>509597</v>
          </cell>
          <cell r="D1593" t="str">
            <v>Not Listed</v>
          </cell>
          <cell r="E1593" t="str">
            <v>Specialty Chemicals</v>
          </cell>
        </row>
        <row r="1594">
          <cell r="B1594" t="str">
            <v>HARI GOVIND INTERNATIONAL LTD</v>
          </cell>
          <cell r="C1594">
            <v>531971</v>
          </cell>
          <cell r="D1594" t="str">
            <v>Not Listed</v>
          </cell>
          <cell r="E1594" t="str">
            <v>Textiles</v>
          </cell>
        </row>
        <row r="1595">
          <cell r="B1595" t="str">
            <v>HARIA APPARELS LTD</v>
          </cell>
          <cell r="C1595">
            <v>538081</v>
          </cell>
          <cell r="D1595" t="str">
            <v>Not Listed</v>
          </cell>
          <cell r="E1595" t="str">
            <v>Textiles</v>
          </cell>
        </row>
        <row r="1596">
          <cell r="B1596" t="str">
            <v>HARIA EXPORTS LTD</v>
          </cell>
          <cell r="C1596">
            <v>512604</v>
          </cell>
          <cell r="D1596" t="str">
            <v>Not Listed</v>
          </cell>
          <cell r="E1596" t="str">
            <v>Other Apparels &amp; Accessories</v>
          </cell>
        </row>
        <row r="1597">
          <cell r="B1597" t="str">
            <v>Harish Textile Engineers Ltd</v>
          </cell>
          <cell r="C1597">
            <v>542682</v>
          </cell>
          <cell r="D1597" t="str">
            <v>HARISH</v>
          </cell>
          <cell r="E1597" t="str">
            <v>Industrial Machinery</v>
          </cell>
        </row>
        <row r="1598">
          <cell r="B1598" t="str">
            <v>HARITA SEATING SYSTEMS LTD</v>
          </cell>
          <cell r="C1598">
            <v>590043</v>
          </cell>
          <cell r="D1598" t="str">
            <v>HARITASEAT</v>
          </cell>
          <cell r="E1598" t="str">
            <v>Auto Parts &amp; Equipment</v>
          </cell>
        </row>
        <row r="1599">
          <cell r="B1599" t="str">
            <v>HARIYANA METALS LTD</v>
          </cell>
          <cell r="C1599">
            <v>506024</v>
          </cell>
          <cell r="D1599" t="str">
            <v>Not Listed</v>
          </cell>
          <cell r="E1599" t="str">
            <v>Iron &amp; Steel/Interm.Products</v>
          </cell>
        </row>
        <row r="1600">
          <cell r="B1600" t="str">
            <v>HARIYANA SHIP BREAKERS LTD</v>
          </cell>
          <cell r="C1600">
            <v>526931</v>
          </cell>
          <cell r="D1600" t="str">
            <v>Not Listed</v>
          </cell>
          <cell r="E1600" t="str">
            <v>Other Industrial Goods</v>
          </cell>
        </row>
        <row r="1601">
          <cell r="B1601" t="str">
            <v>HARMONY CAPITAL SERVICES LTD</v>
          </cell>
          <cell r="C1601">
            <v>530055</v>
          </cell>
          <cell r="D1601" t="str">
            <v>Not Listed</v>
          </cell>
          <cell r="E1601" t="str">
            <v>Misc.Commercial Services</v>
          </cell>
        </row>
        <row r="1602">
          <cell r="B1602" t="str">
            <v>HARRISONS MALAYALAM LTD</v>
          </cell>
          <cell r="C1602">
            <v>500467</v>
          </cell>
          <cell r="D1602" t="str">
            <v>HARRMALAYA</v>
          </cell>
          <cell r="E1602" t="str">
            <v>Auto Tyres &amp; Rubber Products</v>
          </cell>
        </row>
        <row r="1603">
          <cell r="B1603" t="str">
            <v>HARYANA CAPFIN LTD</v>
          </cell>
          <cell r="C1603">
            <v>532855</v>
          </cell>
          <cell r="D1603" t="str">
            <v>Not Listed</v>
          </cell>
          <cell r="E1603" t="str">
            <v>Investment Companies</v>
          </cell>
        </row>
        <row r="1604">
          <cell r="B1604" t="str">
            <v>HARYANA FINANCIAL CORPORATION LTD</v>
          </cell>
          <cell r="C1604">
            <v>530927</v>
          </cell>
          <cell r="D1604" t="str">
            <v>Not Listed</v>
          </cell>
          <cell r="E1604" t="str">
            <v>Financial Institutions</v>
          </cell>
        </row>
        <row r="1605">
          <cell r="B1605" t="str">
            <v>HARYANA LEATHER CHEMICALS LTD</v>
          </cell>
          <cell r="C1605">
            <v>524080</v>
          </cell>
          <cell r="D1605" t="str">
            <v>Not Listed</v>
          </cell>
          <cell r="E1605" t="str">
            <v>Commodity Chemicals</v>
          </cell>
        </row>
        <row r="1606">
          <cell r="B1606" t="str">
            <v>HAS LIFESTYLE LTD</v>
          </cell>
          <cell r="C1606">
            <v>780014</v>
          </cell>
          <cell r="D1606" t="str">
            <v>Not Listed</v>
          </cell>
          <cell r="E1606" t="str">
            <v>Others</v>
          </cell>
        </row>
        <row r="1607">
          <cell r="B1607" t="str">
            <v>HASTI FINANCE LTD</v>
          </cell>
          <cell r="C1607">
            <v>531387</v>
          </cell>
          <cell r="D1607" t="str">
            <v>Not Listed</v>
          </cell>
          <cell r="E1607" t="str">
            <v>Finance (including NBFCs)</v>
          </cell>
        </row>
        <row r="1608">
          <cell r="B1608" t="str">
            <v>HATHWAY BHAWANI CABLETEL &amp;amp; DATACOM LTD.</v>
          </cell>
          <cell r="C1608">
            <v>509073</v>
          </cell>
          <cell r="D1608" t="str">
            <v>HATHWAYB</v>
          </cell>
          <cell r="E1608" t="str">
            <v>Broadcasting &amp;amp; Cable TV</v>
          </cell>
        </row>
        <row r="1609">
          <cell r="B1609" t="str">
            <v>HATHWAY CABLE &amp; DATACOM LTD</v>
          </cell>
          <cell r="C1609">
            <v>533162</v>
          </cell>
          <cell r="D1609" t="str">
            <v>HATHWAY</v>
          </cell>
          <cell r="E1609" t="str">
            <v>Broadcasting &amp; Cable TV</v>
          </cell>
        </row>
        <row r="1610">
          <cell r="B1610" t="str">
            <v>HATSUN AGRO PRODUCT LTD</v>
          </cell>
          <cell r="C1610">
            <v>531531</v>
          </cell>
          <cell r="D1610" t="str">
            <v>HATSUN</v>
          </cell>
          <cell r="E1610" t="str">
            <v>Packaged Foods</v>
          </cell>
        </row>
        <row r="1611">
          <cell r="B1611" t="str">
            <v>HAVELLS (INDIA) LTD</v>
          </cell>
          <cell r="C1611">
            <v>517354</v>
          </cell>
          <cell r="D1611" t="str">
            <v>HAVELLS</v>
          </cell>
          <cell r="E1611" t="str">
            <v>Other Elect.Equip./ Prod.</v>
          </cell>
        </row>
        <row r="1612">
          <cell r="B1612" t="str">
            <v>HAVELLS INDIA LTD</v>
          </cell>
          <cell r="C1612">
            <v>517354</v>
          </cell>
          <cell r="D1612" t="str">
            <v>HAVELLS</v>
          </cell>
          <cell r="E1612" t="str">
            <v>Other Elect.Equip./ Prod.</v>
          </cell>
        </row>
        <row r="1613">
          <cell r="B1613" t="str">
            <v>HAWA ENGINEERS LTD</v>
          </cell>
          <cell r="C1613">
            <v>539176</v>
          </cell>
          <cell r="D1613" t="str">
            <v>Not Listed</v>
          </cell>
          <cell r="E1613" t="str">
            <v>Industrial Machinery</v>
          </cell>
        </row>
        <row r="1614">
          <cell r="B1614" t="str">
            <v>HAWKINS COOKERS LTD</v>
          </cell>
          <cell r="C1614">
            <v>508486</v>
          </cell>
          <cell r="D1614" t="str">
            <v>Not Listed</v>
          </cell>
          <cell r="E1614" t="str">
            <v>Houseware</v>
          </cell>
        </row>
        <row r="1615">
          <cell r="B1615" t="str">
            <v>HAZOOR MULTI PROJECTS LTD</v>
          </cell>
          <cell r="C1615">
            <v>532467</v>
          </cell>
          <cell r="D1615" t="str">
            <v>Not Listed</v>
          </cell>
          <cell r="E1615" t="str">
            <v>Movies &amp; Entertainment</v>
          </cell>
        </row>
        <row r="1616">
          <cell r="B1616" t="str">
            <v>HB ESTATE DEVELOPERS LTD</v>
          </cell>
          <cell r="C1616">
            <v>532334</v>
          </cell>
          <cell r="D1616" t="str">
            <v>Not Listed</v>
          </cell>
          <cell r="E1616" t="str">
            <v>Realty</v>
          </cell>
        </row>
        <row r="1617">
          <cell r="B1617" t="str">
            <v>HB LEASING &amp; FINANCE CO LTD</v>
          </cell>
          <cell r="C1617">
            <v>508956</v>
          </cell>
          <cell r="D1617" t="str">
            <v>Not Listed</v>
          </cell>
          <cell r="E1617" t="str">
            <v>Finance (including NBFCs)</v>
          </cell>
        </row>
        <row r="1618">
          <cell r="B1618" t="str">
            <v>HB PORTFOLIO LTD</v>
          </cell>
          <cell r="C1618">
            <v>532333</v>
          </cell>
          <cell r="D1618" t="str">
            <v>Not Listed</v>
          </cell>
          <cell r="E1618" t="str">
            <v>Other Financial Services</v>
          </cell>
        </row>
        <row r="1619">
          <cell r="B1619" t="str">
            <v>HB STOCKHOLDINGS LTD</v>
          </cell>
          <cell r="C1619">
            <v>532216</v>
          </cell>
          <cell r="D1619" t="str">
            <v>HBSL</v>
          </cell>
          <cell r="E1619" t="str">
            <v>Finance (including NBFCs)</v>
          </cell>
        </row>
        <row r="1620">
          <cell r="B1620" t="str">
            <v>HBL POWER SYSTEMS LTD</v>
          </cell>
          <cell r="C1620">
            <v>517271</v>
          </cell>
          <cell r="D1620" t="str">
            <v>HBLPOWER</v>
          </cell>
          <cell r="E1620" t="str">
            <v>Other Elect.Equip./ Prod.</v>
          </cell>
        </row>
        <row r="1621">
          <cell r="B1621" t="str">
            <v>HCKK VENTURES LTD</v>
          </cell>
          <cell r="C1621">
            <v>539224</v>
          </cell>
          <cell r="D1621" t="str">
            <v>Not Listed</v>
          </cell>
          <cell r="E1621" t="str">
            <v>Diversified</v>
          </cell>
        </row>
        <row r="1622">
          <cell r="B1622" t="str">
            <v>HCL INFOSYSTEMS LTD</v>
          </cell>
          <cell r="C1622">
            <v>500179</v>
          </cell>
          <cell r="D1622" t="str">
            <v>HCL-INSYS</v>
          </cell>
          <cell r="E1622" t="str">
            <v>Computer Hardware</v>
          </cell>
        </row>
        <row r="1623">
          <cell r="B1623" t="str">
            <v>HCL TECHNOLOGIES LTD</v>
          </cell>
          <cell r="C1623">
            <v>532281</v>
          </cell>
          <cell r="D1623" t="str">
            <v>HCLTECH</v>
          </cell>
          <cell r="E1623" t="str">
            <v>IT Consulting &amp; Software</v>
          </cell>
        </row>
        <row r="1624">
          <cell r="B1624" t="str">
            <v>HDFC ASSET MANAGEMENT COMPANY LTD</v>
          </cell>
          <cell r="C1624">
            <v>541729</v>
          </cell>
          <cell r="D1624" t="str">
            <v>HDFCAMC</v>
          </cell>
          <cell r="E1624" t="str">
            <v>Asset Management Cos.</v>
          </cell>
        </row>
        <row r="1625">
          <cell r="B1625" t="str">
            <v>HDFC BANK LTD</v>
          </cell>
          <cell r="C1625">
            <v>500180</v>
          </cell>
          <cell r="D1625" t="str">
            <v>HDFCBANK</v>
          </cell>
          <cell r="E1625" t="str">
            <v>Banks</v>
          </cell>
        </row>
        <row r="1626">
          <cell r="B1626" t="str">
            <v>HDFC Mutual Fund - HDFC Gold Exchange Traded Fund</v>
          </cell>
          <cell r="C1626">
            <v>533230</v>
          </cell>
          <cell r="D1626" t="str">
            <v>HDFCMFGETF</v>
          </cell>
          <cell r="E1626" t="str">
            <v>Other Financial Services</v>
          </cell>
        </row>
        <row r="1627">
          <cell r="B1627" t="str">
            <v>HDFC STANDARD LIFE INSURANCE COMPANY LTD</v>
          </cell>
          <cell r="C1627">
            <v>540777</v>
          </cell>
          <cell r="D1627" t="str">
            <v>HDFCLIFE</v>
          </cell>
          <cell r="E1627" t="str">
            <v>Life Insurance</v>
          </cell>
        </row>
        <row r="1628">
          <cell r="B1628" t="str">
            <v>HEALTHCARE GLOBAL ENTERPRISES LTD</v>
          </cell>
          <cell r="C1628">
            <v>539787</v>
          </cell>
          <cell r="D1628" t="str">
            <v>HCG</v>
          </cell>
          <cell r="E1628" t="str">
            <v>Healthcare Facilities</v>
          </cell>
        </row>
        <row r="1629">
          <cell r="B1629" t="str">
            <v>HEALTHY INVESTMENTS LTD</v>
          </cell>
          <cell r="C1629">
            <v>503689</v>
          </cell>
          <cell r="D1629" t="str">
            <v>Not Listed</v>
          </cell>
          <cell r="E1629" t="str">
            <v>Misc.Commercial Services</v>
          </cell>
        </row>
        <row r="1630">
          <cell r="B1630" t="str">
            <v>HEC INFRA PROJECTS LTD</v>
          </cell>
          <cell r="C1630" t="str">
            <v>Not Listed</v>
          </cell>
          <cell r="D1630" t="str">
            <v>HECPROJECT</v>
          </cell>
          <cell r="E1630" t="str">
            <v>SME</v>
          </cell>
        </row>
        <row r="1631">
          <cell r="B1631" t="str">
            <v>HEERA ISPAT LTD</v>
          </cell>
          <cell r="C1631">
            <v>526967</v>
          </cell>
          <cell r="D1631" t="str">
            <v>Not Listed</v>
          </cell>
          <cell r="E1631" t="str">
            <v>Iron &amp; Steel/Interm.Products</v>
          </cell>
        </row>
        <row r="1632">
          <cell r="B1632" t="str">
            <v>HEG LTD</v>
          </cell>
          <cell r="C1632">
            <v>509631</v>
          </cell>
          <cell r="D1632" t="str">
            <v>HEG</v>
          </cell>
          <cell r="E1632" t="str">
            <v>Other Industrial Goods</v>
          </cell>
        </row>
        <row r="1633">
          <cell r="B1633" t="str">
            <v>HEIDELBERGCEMENT (INDIA) LTD</v>
          </cell>
          <cell r="C1633">
            <v>500292</v>
          </cell>
          <cell r="D1633" t="str">
            <v>HEIDELBERG</v>
          </cell>
          <cell r="E1633" t="str">
            <v>Cement &amp; Cement Products</v>
          </cell>
        </row>
        <row r="1634">
          <cell r="B1634" t="str">
            <v>HEIDELBERGCEMENT INDIA LTD</v>
          </cell>
          <cell r="C1634">
            <v>500292</v>
          </cell>
          <cell r="D1634" t="str">
            <v>HEIDELBERG</v>
          </cell>
          <cell r="E1634" t="str">
            <v>Cement &amp; Cement Products</v>
          </cell>
        </row>
        <row r="1635">
          <cell r="B1635" t="str">
            <v>Helpage Finlease Ltd</v>
          </cell>
          <cell r="C1635">
            <v>539174</v>
          </cell>
          <cell r="D1635" t="str">
            <v>HELPAGE</v>
          </cell>
          <cell r="E1635" t="str">
            <v>Finance (including NBFCs)</v>
          </cell>
        </row>
        <row r="1636">
          <cell r="B1636" t="str">
            <v>HEM HOLDINGS &amp; TRADING LTD</v>
          </cell>
          <cell r="C1636">
            <v>505520</v>
          </cell>
          <cell r="D1636" t="str">
            <v>Not Listed</v>
          </cell>
          <cell r="E1636" t="str">
            <v>Misc.Commercial Services</v>
          </cell>
        </row>
        <row r="1637">
          <cell r="B1637" t="str">
            <v>HEMANG RESOURCES LTD</v>
          </cell>
          <cell r="C1637">
            <v>531178</v>
          </cell>
          <cell r="D1637" t="str">
            <v>Not Listed</v>
          </cell>
          <cell r="E1637" t="str">
            <v>Comm.Trading  &amp; Distribution</v>
          </cell>
        </row>
        <row r="1638">
          <cell r="B1638" t="str">
            <v>HEMO ORGANIC LTD</v>
          </cell>
          <cell r="C1638">
            <v>524590</v>
          </cell>
          <cell r="D1638" t="str">
            <v>Not Listed</v>
          </cell>
          <cell r="E1638" t="str">
            <v>Comm.Trading  &amp; Distribution</v>
          </cell>
        </row>
        <row r="1639">
          <cell r="B1639" t="str">
            <v>HERCULES HOISTS LTD</v>
          </cell>
          <cell r="C1639">
            <v>505720</v>
          </cell>
          <cell r="D1639" t="str">
            <v>HERCULES</v>
          </cell>
          <cell r="E1639" t="str">
            <v>Industrial Machinery</v>
          </cell>
        </row>
        <row r="1640">
          <cell r="B1640" t="str">
            <v>HERITAGE FOODS LTD</v>
          </cell>
          <cell r="C1640">
            <v>519552</v>
          </cell>
          <cell r="D1640" t="str">
            <v>HERITGFOOD</v>
          </cell>
          <cell r="E1640" t="str">
            <v>Packaged Foods</v>
          </cell>
        </row>
        <row r="1641">
          <cell r="B1641" t="str">
            <v>HERO MOTOCORP LTD</v>
          </cell>
          <cell r="C1641">
            <v>500182</v>
          </cell>
          <cell r="D1641" t="str">
            <v>HEROMOTOCO</v>
          </cell>
          <cell r="E1641" t="str">
            <v>2/3 Wheelers</v>
          </cell>
        </row>
        <row r="1642">
          <cell r="B1642" t="str">
            <v>HESTER BIOSCIENCES LTD</v>
          </cell>
          <cell r="C1642">
            <v>524669</v>
          </cell>
          <cell r="D1642" t="str">
            <v>HESTERBIO</v>
          </cell>
          <cell r="E1642" t="str">
            <v>Pharmaceuticals</v>
          </cell>
        </row>
        <row r="1643">
          <cell r="B1643" t="str">
            <v>HEXA TRADEX LTD</v>
          </cell>
          <cell r="C1643">
            <v>534328</v>
          </cell>
          <cell r="D1643" t="str">
            <v>HEXATRADEX</v>
          </cell>
          <cell r="E1643" t="str">
            <v>Comm.Trading  &amp; Distribution</v>
          </cell>
        </row>
        <row r="1644">
          <cell r="B1644" t="str">
            <v>HEXAWARE TECHNOLOGIES LTD</v>
          </cell>
          <cell r="C1644">
            <v>532129</v>
          </cell>
          <cell r="D1644" t="str">
            <v>HEXAWARE</v>
          </cell>
          <cell r="E1644" t="str">
            <v>IT Consulting &amp; Software</v>
          </cell>
        </row>
        <row r="1645">
          <cell r="B1645" t="str">
            <v>HIGH ENERGY BATTERIES (INDIA) LTD</v>
          </cell>
          <cell r="C1645">
            <v>504176</v>
          </cell>
          <cell r="D1645" t="str">
            <v>Not Listed</v>
          </cell>
          <cell r="E1645" t="str">
            <v>Non-Durable Household Prod.</v>
          </cell>
        </row>
        <row r="1646">
          <cell r="B1646" t="str">
            <v>HIGH ENERGY BATTERIES INDIA LTD</v>
          </cell>
          <cell r="C1646">
            <v>504176</v>
          </cell>
          <cell r="D1646" t="str">
            <v>Not Listed</v>
          </cell>
          <cell r="E1646" t="str">
            <v>Non-Durable Household Prod.</v>
          </cell>
        </row>
        <row r="1647">
          <cell r="B1647" t="str">
            <v>HIGH GROUND ENTERPRISE LTD</v>
          </cell>
          <cell r="C1647">
            <v>517080</v>
          </cell>
          <cell r="D1647" t="str">
            <v>HIGHGROUND</v>
          </cell>
          <cell r="E1647" t="str">
            <v>Construction &amp; Engineering</v>
          </cell>
        </row>
        <row r="1648">
          <cell r="B1648" t="str">
            <v>HIGH STREET FILATEX LTD</v>
          </cell>
          <cell r="C1648">
            <v>531301</v>
          </cell>
          <cell r="D1648" t="str">
            <v>Not Listed</v>
          </cell>
          <cell r="E1648" t="str">
            <v>Textiles</v>
          </cell>
        </row>
        <row r="1649">
          <cell r="B1649" t="str">
            <v>HIKAL LTD</v>
          </cell>
          <cell r="C1649">
            <v>524735</v>
          </cell>
          <cell r="D1649" t="str">
            <v>HIKAL</v>
          </cell>
          <cell r="E1649" t="str">
            <v>Pharmaceuticals</v>
          </cell>
        </row>
        <row r="1650">
          <cell r="B1650" t="str">
            <v>Hi-Klass Trading and Investment Ltd</v>
          </cell>
          <cell r="C1650">
            <v>542332</v>
          </cell>
          <cell r="D1650" t="str">
            <v>HIKLASS</v>
          </cell>
          <cell r="E1650" t="str">
            <v>Other Financial Services</v>
          </cell>
        </row>
        <row r="1651">
          <cell r="B1651" t="str">
            <v>HIL LTD</v>
          </cell>
          <cell r="C1651">
            <v>509675</v>
          </cell>
          <cell r="D1651" t="str">
            <v>HIL</v>
          </cell>
          <cell r="E1651" t="str">
            <v>Cement &amp; Cement Products</v>
          </cell>
        </row>
        <row r="1652">
          <cell r="B1652" t="str">
            <v>HILTON METAL FORGING LTD</v>
          </cell>
          <cell r="C1652">
            <v>532847</v>
          </cell>
          <cell r="D1652" t="str">
            <v>HILTON</v>
          </cell>
          <cell r="E1652" t="str">
            <v>Other Industrial Products</v>
          </cell>
        </row>
        <row r="1653">
          <cell r="B1653" t="str">
            <v>HIM TEKNOFORGE LTD</v>
          </cell>
          <cell r="C1653">
            <v>505712</v>
          </cell>
          <cell r="D1653" t="str">
            <v>Not Listed</v>
          </cell>
          <cell r="E1653" t="str">
            <v>Auto Parts &amp; Equipment</v>
          </cell>
        </row>
        <row r="1654">
          <cell r="B1654" t="str">
            <v>HIMACHAL FIBRES LTD</v>
          </cell>
          <cell r="C1654">
            <v>514010</v>
          </cell>
          <cell r="D1654" t="str">
            <v>Not Listed</v>
          </cell>
          <cell r="E1654" t="str">
            <v>Textiles</v>
          </cell>
        </row>
        <row r="1655">
          <cell r="B1655" t="str">
            <v>HIMACHAL FUTURISTIC COMMUNICATIONS LTD</v>
          </cell>
          <cell r="C1655">
            <v>500183</v>
          </cell>
          <cell r="D1655" t="str">
            <v>HFCL</v>
          </cell>
          <cell r="E1655" t="str">
            <v>Telecom Cables</v>
          </cell>
        </row>
        <row r="1656">
          <cell r="B1656" t="str">
            <v>HIMADRI SPECIALITY CHEMICAL LTD</v>
          </cell>
          <cell r="C1656">
            <v>500184</v>
          </cell>
          <cell r="D1656" t="str">
            <v>HSCL</v>
          </cell>
          <cell r="E1656" t="str">
            <v>Specialty Chemicals</v>
          </cell>
        </row>
        <row r="1657">
          <cell r="B1657" t="str">
            <v>HIMALAYA FOOD INTERNATIONAL LTD</v>
          </cell>
          <cell r="C1657">
            <v>526899</v>
          </cell>
          <cell r="D1657" t="str">
            <v>Not Listed</v>
          </cell>
          <cell r="E1657" t="str">
            <v>Other Agricultural Products</v>
          </cell>
        </row>
        <row r="1658">
          <cell r="B1658" t="str">
            <v>HIMALAYA GRANITES LTD</v>
          </cell>
          <cell r="C1658">
            <v>513723</v>
          </cell>
          <cell r="D1658" t="str">
            <v>Not Listed</v>
          </cell>
          <cell r="E1658" t="str">
            <v>Construction Materials</v>
          </cell>
        </row>
        <row r="1659">
          <cell r="B1659" t="str">
            <v>HIMALCHULI FOOD PRODUCTS LTD</v>
          </cell>
          <cell r="C1659">
            <v>511169</v>
          </cell>
          <cell r="D1659" t="str">
            <v>Not Listed</v>
          </cell>
          <cell r="E1659" t="str">
            <v>Finance (including NBFCs)</v>
          </cell>
        </row>
        <row r="1660">
          <cell r="B1660" t="str">
            <v>HIMATSINGKA SEIDE LTD</v>
          </cell>
          <cell r="C1660">
            <v>514043</v>
          </cell>
          <cell r="D1660" t="str">
            <v>HIMATSEIDE</v>
          </cell>
          <cell r="E1660" t="str">
            <v>Textiles</v>
          </cell>
        </row>
        <row r="1661">
          <cell r="B1661" t="str">
            <v>HIND ALUMINIUM INDUSTRIES LTD</v>
          </cell>
          <cell r="C1661">
            <v>531979</v>
          </cell>
          <cell r="D1661" t="str">
            <v>Not Listed</v>
          </cell>
          <cell r="E1661" t="str">
            <v>Aluminium</v>
          </cell>
        </row>
        <row r="1662">
          <cell r="B1662" t="str">
            <v>HIND COMMERCE LTD</v>
          </cell>
          <cell r="C1662">
            <v>538652</v>
          </cell>
          <cell r="D1662" t="str">
            <v>Not Listed</v>
          </cell>
          <cell r="E1662" t="str">
            <v>Comm.Trading  &amp; Distribution</v>
          </cell>
        </row>
        <row r="1663">
          <cell r="B1663" t="str">
            <v>HIND RECTIFIERS LTD</v>
          </cell>
          <cell r="C1663">
            <v>504036</v>
          </cell>
          <cell r="D1663" t="str">
            <v>HIRECT</v>
          </cell>
          <cell r="E1663" t="str">
            <v>Electronic Components</v>
          </cell>
        </row>
        <row r="1664">
          <cell r="B1664" t="str">
            <v>HIND SECURITIES &amp; CREDITS LTD</v>
          </cell>
          <cell r="C1664">
            <v>539114</v>
          </cell>
          <cell r="D1664" t="str">
            <v>Not Listed</v>
          </cell>
          <cell r="E1664" t="str">
            <v>Finance (including NBFCs)</v>
          </cell>
        </row>
        <row r="1665">
          <cell r="B1665" t="str">
            <v>HIND SYNTEX LTD</v>
          </cell>
          <cell r="C1665">
            <v>503881</v>
          </cell>
          <cell r="D1665" t="str">
            <v>HINDSYNTEX</v>
          </cell>
          <cell r="E1665" t="str">
            <v>Textiles</v>
          </cell>
        </row>
        <row r="1666">
          <cell r="B1666" t="str">
            <v>HINDALCO INDUSTRIES LTD</v>
          </cell>
          <cell r="C1666">
            <v>500440</v>
          </cell>
          <cell r="D1666" t="str">
            <v>HINDALCO</v>
          </cell>
          <cell r="E1666" t="str">
            <v>Aluminium</v>
          </cell>
        </row>
        <row r="1667">
          <cell r="B1667" t="str">
            <v>HINDCON CHEMICALS LTD</v>
          </cell>
          <cell r="C1667" t="str">
            <v>Not Listed</v>
          </cell>
          <cell r="D1667" t="str">
            <v>HINDCON</v>
          </cell>
          <cell r="E1667" t="str">
            <v>SME</v>
          </cell>
        </row>
        <row r="1668">
          <cell r="B1668" t="str">
            <v>HINDOOSTAN MILLS LTD</v>
          </cell>
          <cell r="C1668">
            <v>509895</v>
          </cell>
          <cell r="D1668" t="str">
            <v>Not Listed</v>
          </cell>
          <cell r="E1668" t="str">
            <v>Textiles</v>
          </cell>
        </row>
        <row r="1669">
          <cell r="B1669" t="str">
            <v>HINDUJA GLOBAL SOLUTIONS LTD</v>
          </cell>
          <cell r="C1669">
            <v>532859</v>
          </cell>
          <cell r="D1669" t="str">
            <v>HGS</v>
          </cell>
          <cell r="E1669" t="str">
            <v>BPO/KPO</v>
          </cell>
        </row>
        <row r="1670">
          <cell r="B1670" t="str">
            <v>HINDUJA VENTURES LTD</v>
          </cell>
          <cell r="C1670">
            <v>500189</v>
          </cell>
          <cell r="D1670" t="str">
            <v>HINDUJAVEN</v>
          </cell>
          <cell r="E1670" t="str">
            <v>Broadcasting &amp; Cable TV</v>
          </cell>
        </row>
        <row r="1671">
          <cell r="B1671" t="str">
            <v>HINDUSTAN ADHESIVES LTD</v>
          </cell>
          <cell r="C1671">
            <v>514428</v>
          </cell>
          <cell r="D1671" t="str">
            <v>Not Listed</v>
          </cell>
          <cell r="E1671" t="str">
            <v>Plastic Products</v>
          </cell>
        </row>
        <row r="1672">
          <cell r="B1672" t="str">
            <v>HINDUSTAN AERONAUTICS LTD</v>
          </cell>
          <cell r="C1672">
            <v>541154</v>
          </cell>
          <cell r="D1672" t="str">
            <v>HAL</v>
          </cell>
          <cell r="E1672" t="str">
            <v>Aerospace</v>
          </cell>
        </row>
        <row r="1673">
          <cell r="B1673" t="str">
            <v>HINDUSTAN APPLIANCES LTD</v>
          </cell>
          <cell r="C1673">
            <v>531918</v>
          </cell>
          <cell r="D1673" t="str">
            <v>Not Listed</v>
          </cell>
          <cell r="E1673" t="str">
            <v>Comm.Trading  &amp; Distribution</v>
          </cell>
        </row>
        <row r="1674">
          <cell r="B1674" t="str">
            <v>HINDUSTAN BIO SCIENCES LTD.</v>
          </cell>
          <cell r="C1674">
            <v>532041</v>
          </cell>
          <cell r="D1674" t="str">
            <v>HINDBIO</v>
          </cell>
          <cell r="E1674" t="str">
            <v>IT Software Products</v>
          </cell>
        </row>
        <row r="1675">
          <cell r="B1675" t="str">
            <v>HINDUSTAN COMPOSITES LTD</v>
          </cell>
          <cell r="C1675">
            <v>509635</v>
          </cell>
          <cell r="D1675" t="str">
            <v>HINDCOMPOS</v>
          </cell>
          <cell r="E1675" t="str">
            <v>Auto Parts &amp; Equipment</v>
          </cell>
        </row>
        <row r="1676">
          <cell r="B1676" t="str">
            <v>HINDUSTAN CONSTRUCTION COMPANY LTD</v>
          </cell>
          <cell r="C1676">
            <v>500185</v>
          </cell>
          <cell r="D1676" t="str">
            <v>HCC</v>
          </cell>
          <cell r="E1676" t="str">
            <v>Construction &amp; Engineering</v>
          </cell>
        </row>
        <row r="1677">
          <cell r="B1677" t="str">
            <v>HINDUSTAN COPPER LTD</v>
          </cell>
          <cell r="C1677">
            <v>513599</v>
          </cell>
          <cell r="D1677" t="str">
            <v>HINDCOPPER</v>
          </cell>
          <cell r="E1677" t="str">
            <v>Copper</v>
          </cell>
        </row>
        <row r="1678">
          <cell r="B1678" t="str">
            <v>HINDUSTAN EVEREST TOOLS LTD.</v>
          </cell>
          <cell r="C1678">
            <v>505725</v>
          </cell>
          <cell r="D1678" t="str">
            <v>HINDEVER</v>
          </cell>
          <cell r="E1678" t="str">
            <v>Other Industrial Goods</v>
          </cell>
        </row>
        <row r="1679">
          <cell r="B1679" t="str">
            <v>HINDUSTAN FLUOROCARBONS LTD</v>
          </cell>
          <cell r="C1679">
            <v>524013</v>
          </cell>
          <cell r="D1679" t="str">
            <v>Not Listed</v>
          </cell>
          <cell r="E1679" t="str">
            <v>Fibres &amp; Plastics</v>
          </cell>
        </row>
        <row r="1680">
          <cell r="B1680" t="str">
            <v>HINDUSTAN FOODS LTD</v>
          </cell>
          <cell r="C1680">
            <v>519126</v>
          </cell>
          <cell r="D1680" t="str">
            <v>Not Listed</v>
          </cell>
          <cell r="E1680" t="str">
            <v>Packaged Foods</v>
          </cell>
        </row>
        <row r="1681">
          <cell r="B1681" t="str">
            <v>HINDUSTAN HARDY SPICER LTD</v>
          </cell>
          <cell r="C1681">
            <v>505893</v>
          </cell>
          <cell r="D1681" t="str">
            <v>Not Listed</v>
          </cell>
          <cell r="E1681" t="str">
            <v>Auto Parts &amp; Equipment</v>
          </cell>
        </row>
        <row r="1682">
          <cell r="B1682" t="str">
            <v>HINDUSTAN HOUSING CO LTD</v>
          </cell>
          <cell r="C1682">
            <v>509650</v>
          </cell>
          <cell r="D1682" t="str">
            <v>Not Listed</v>
          </cell>
          <cell r="E1682" t="str">
            <v xml:space="preserve">Housing Finance </v>
          </cell>
        </row>
        <row r="1683">
          <cell r="B1683" t="str">
            <v>HINDUSTAN MEDIA VENTURES LTD</v>
          </cell>
          <cell r="C1683">
            <v>533217</v>
          </cell>
          <cell r="D1683" t="str">
            <v>HMVL</v>
          </cell>
          <cell r="E1683" t="str">
            <v>Publishing</v>
          </cell>
        </row>
        <row r="1684">
          <cell r="B1684" t="str">
            <v>HINDUSTAN MOTORS LTD</v>
          </cell>
          <cell r="C1684">
            <v>500500</v>
          </cell>
          <cell r="D1684" t="str">
            <v>HINDMOTORS</v>
          </cell>
          <cell r="E1684" t="str">
            <v>Cars &amp; Utility Vehicles</v>
          </cell>
        </row>
        <row r="1685">
          <cell r="B1685" t="str">
            <v>HINDUSTAN OIL EXPLORATION COMPANY LTD</v>
          </cell>
          <cell r="C1685">
            <v>500186</v>
          </cell>
          <cell r="D1685" t="str">
            <v>HINDOILEXP</v>
          </cell>
          <cell r="E1685" t="str">
            <v>Exploration &amp; Production</v>
          </cell>
        </row>
        <row r="1686">
          <cell r="B1686" t="str">
            <v>HINDUSTAN ORGANIC CHEMICALS LTD</v>
          </cell>
          <cell r="C1686">
            <v>500449</v>
          </cell>
          <cell r="D1686" t="str">
            <v>Not Listed</v>
          </cell>
          <cell r="E1686" t="str">
            <v>Commodity Chemicals</v>
          </cell>
        </row>
        <row r="1687">
          <cell r="B1687" t="str">
            <v>HINDUSTAN PETROLEUM CORPORATION LTD</v>
          </cell>
          <cell r="C1687">
            <v>500104</v>
          </cell>
          <cell r="D1687" t="str">
            <v>HINDPETRO</v>
          </cell>
          <cell r="E1687" t="str">
            <v>Refineries/ Petro-Products</v>
          </cell>
        </row>
        <row r="1688">
          <cell r="B1688" t="str">
            <v>HINDUSTAN TIN WORKS LTD</v>
          </cell>
          <cell r="C1688">
            <v>530315</v>
          </cell>
          <cell r="D1688" t="str">
            <v>Not Listed</v>
          </cell>
          <cell r="E1688" t="str">
            <v>Containers &amp; Packaging</v>
          </cell>
        </row>
        <row r="1689">
          <cell r="B1689" t="str">
            <v>HINDUSTAN UNILEVER LTD</v>
          </cell>
          <cell r="C1689">
            <v>500696</v>
          </cell>
          <cell r="D1689" t="str">
            <v>HINDUNILVR</v>
          </cell>
          <cell r="E1689" t="str">
            <v>Personal Products</v>
          </cell>
        </row>
        <row r="1690">
          <cell r="B1690" t="str">
            <v>HINDUSTAN WIRES LTD</v>
          </cell>
          <cell r="C1690">
            <v>504713</v>
          </cell>
          <cell r="D1690" t="str">
            <v>Not Listed</v>
          </cell>
          <cell r="E1690" t="str">
            <v>Other Industrial Products</v>
          </cell>
        </row>
        <row r="1691">
          <cell r="B1691" t="str">
            <v>HINDUSTAN ZINC LTD</v>
          </cell>
          <cell r="C1691">
            <v>500188</v>
          </cell>
          <cell r="D1691" t="str">
            <v>HINDZINC</v>
          </cell>
          <cell r="E1691" t="str">
            <v>Zinc</v>
          </cell>
        </row>
        <row r="1692">
          <cell r="B1692" t="str">
            <v>HINDUSTHAN NATIONAL GLASS &amp; INDUSTRIES LTD</v>
          </cell>
          <cell r="C1692">
            <v>515145</v>
          </cell>
          <cell r="D1692" t="str">
            <v>HINDNATGLS</v>
          </cell>
          <cell r="E1692" t="str">
            <v>Containers &amp; Packaging</v>
          </cell>
        </row>
        <row r="1693">
          <cell r="B1693" t="str">
            <v>HINDUSTHAN UDYOG LTD</v>
          </cell>
          <cell r="C1693">
            <v>513039</v>
          </cell>
          <cell r="D1693" t="str">
            <v>Not Listed</v>
          </cell>
          <cell r="E1693" t="str">
            <v>Industrial Machinery</v>
          </cell>
        </row>
        <row r="1694">
          <cell r="B1694" t="str">
            <v>HINDUSTHAN URBAN INFRASTRUCTURE LTD</v>
          </cell>
          <cell r="C1694">
            <v>539984</v>
          </cell>
          <cell r="D1694" t="str">
            <v>Not Listed</v>
          </cell>
          <cell r="E1694" t="str">
            <v>Electronic Components</v>
          </cell>
        </row>
        <row r="1695">
          <cell r="B1695" t="str">
            <v>HIPOLIN LTD</v>
          </cell>
          <cell r="C1695">
            <v>530853</v>
          </cell>
          <cell r="D1695" t="str">
            <v>Not Listed</v>
          </cell>
          <cell r="E1695" t="str">
            <v>Household Products</v>
          </cell>
        </row>
        <row r="1696">
          <cell r="B1696" t="str">
            <v>HIRA AUTOMOBILES LTD</v>
          </cell>
          <cell r="C1696">
            <v>531743</v>
          </cell>
          <cell r="D1696" t="str">
            <v>Not Listed</v>
          </cell>
          <cell r="E1696" t="str">
            <v>Comm.Trading  &amp; Distribution</v>
          </cell>
        </row>
        <row r="1697">
          <cell r="B1697" t="str">
            <v>HISAR METAL INDUSTRIES LTD</v>
          </cell>
          <cell r="C1697">
            <v>590018</v>
          </cell>
          <cell r="D1697" t="str">
            <v>HISARMETAL</v>
          </cell>
          <cell r="E1697" t="str">
            <v>Iron &amp; Steel/Interm.Products</v>
          </cell>
        </row>
        <row r="1698">
          <cell r="B1698" t="str">
            <v>HISAR SPINNING MILLS LTD</v>
          </cell>
          <cell r="C1698">
            <v>521068</v>
          </cell>
          <cell r="D1698" t="str">
            <v>Not Listed</v>
          </cell>
          <cell r="E1698" t="str">
            <v>Textiles</v>
          </cell>
        </row>
        <row r="1699">
          <cell r="B1699" t="str">
            <v>HIT KIT GLOBAL SOLUTIONS LTD</v>
          </cell>
          <cell r="C1699">
            <v>532359</v>
          </cell>
          <cell r="D1699" t="str">
            <v>Not Listed</v>
          </cell>
          <cell r="E1699" t="str">
            <v>IT Software Products</v>
          </cell>
        </row>
        <row r="1700">
          <cell r="B1700" t="str">
            <v>HITECH CORPORATION LTD</v>
          </cell>
          <cell r="C1700">
            <v>526217</v>
          </cell>
          <cell r="D1700" t="str">
            <v>HITECHCORP</v>
          </cell>
          <cell r="E1700" t="str">
            <v>Containers &amp; Packaging</v>
          </cell>
        </row>
        <row r="1701">
          <cell r="B1701" t="str">
            <v>HI-TECH PIPES LTD</v>
          </cell>
          <cell r="C1701" t="str">
            <v>Not Listed</v>
          </cell>
          <cell r="D1701" t="str">
            <v>HITECH</v>
          </cell>
          <cell r="E1701" t="str">
            <v>Others</v>
          </cell>
        </row>
        <row r="1702">
          <cell r="B1702" t="str">
            <v>Hi-Tech Winding Systems Ltd</v>
          </cell>
          <cell r="C1702">
            <v>541627</v>
          </cell>
          <cell r="D1702" t="str">
            <v>HITECHWIND</v>
          </cell>
          <cell r="E1702" t="str">
            <v>Paper &amp;amp; Paper Products</v>
          </cell>
        </row>
        <row r="1703">
          <cell r="B1703" t="str">
            <v>HITTCO TOOLS LTD</v>
          </cell>
          <cell r="C1703">
            <v>531661</v>
          </cell>
          <cell r="D1703" t="str">
            <v>Not Listed</v>
          </cell>
          <cell r="E1703" t="str">
            <v>Industrial Machinery</v>
          </cell>
        </row>
        <row r="1704">
          <cell r="B1704" t="str">
            <v>HMT LTD</v>
          </cell>
          <cell r="C1704">
            <v>500191</v>
          </cell>
          <cell r="D1704" t="str">
            <v>HMT</v>
          </cell>
          <cell r="E1704" t="str">
            <v>Commercial Vehicles</v>
          </cell>
        </row>
        <row r="1705">
          <cell r="B1705" t="str">
            <v>HONDA SIEL POWER PRODUCTS LTD</v>
          </cell>
          <cell r="C1705">
            <v>522064</v>
          </cell>
          <cell r="D1705" t="str">
            <v>HONDAPOWER</v>
          </cell>
          <cell r="E1705" t="str">
            <v>Industrial Machinery</v>
          </cell>
        </row>
        <row r="1706">
          <cell r="B1706" t="str">
            <v>HONEYWELL AUTOMATION (INDIA) LTD</v>
          </cell>
          <cell r="C1706">
            <v>517174</v>
          </cell>
          <cell r="D1706" t="str">
            <v>HONAUT</v>
          </cell>
          <cell r="E1706" t="str">
            <v>Other Elect.Equip./ Prod.</v>
          </cell>
        </row>
        <row r="1707">
          <cell r="B1707" t="str">
            <v>HONEYWELL AUTOMATION INDIA LTD</v>
          </cell>
          <cell r="C1707">
            <v>517174</v>
          </cell>
          <cell r="D1707" t="str">
            <v>HONAUT</v>
          </cell>
          <cell r="E1707" t="str">
            <v>Other Elect.Equip./ Prod.</v>
          </cell>
        </row>
        <row r="1708">
          <cell r="B1708" t="str">
            <v>HOTEL LEELA VENTURE LTD</v>
          </cell>
          <cell r="C1708">
            <v>500193</v>
          </cell>
          <cell r="D1708" t="str">
            <v>HOTELEELA</v>
          </cell>
          <cell r="E1708" t="str">
            <v>Hotels</v>
          </cell>
        </row>
        <row r="1709">
          <cell r="B1709" t="str">
            <v>HOTEL RUGBY LTD</v>
          </cell>
          <cell r="C1709">
            <v>526683</v>
          </cell>
          <cell r="D1709" t="str">
            <v>HOTELRUGBY</v>
          </cell>
          <cell r="E1709" t="str">
            <v>Hotels</v>
          </cell>
        </row>
        <row r="1710">
          <cell r="B1710" t="str">
            <v>HOUSING &amp; URBAN DEVELOPMENT CORPORATION LTD</v>
          </cell>
          <cell r="C1710">
            <v>540530</v>
          </cell>
          <cell r="D1710" t="str">
            <v>HUDCO</v>
          </cell>
          <cell r="E1710" t="str">
            <v xml:space="preserve">Housing Finance </v>
          </cell>
        </row>
        <row r="1711">
          <cell r="B1711" t="str">
            <v>HOUSING DEVELOPMENT AND INFRASTRUCTURE LTD</v>
          </cell>
          <cell r="C1711">
            <v>532873</v>
          </cell>
          <cell r="D1711" t="str">
            <v>HDIL</v>
          </cell>
          <cell r="E1711" t="str">
            <v>Realty</v>
          </cell>
        </row>
        <row r="1712">
          <cell r="B1712" t="str">
            <v>HOUSING DEVELOPMENT FINANCE CORPORATION LTD</v>
          </cell>
          <cell r="C1712">
            <v>500010</v>
          </cell>
          <cell r="D1712" t="str">
            <v>HDFC</v>
          </cell>
          <cell r="E1712" t="str">
            <v xml:space="preserve">Housing Finance </v>
          </cell>
        </row>
        <row r="1713">
          <cell r="B1713" t="str">
            <v>HOV SERVICES LTD</v>
          </cell>
          <cell r="C1713">
            <v>532761</v>
          </cell>
          <cell r="D1713" t="str">
            <v>HOVS</v>
          </cell>
          <cell r="E1713" t="str">
            <v>BPO/KPO</v>
          </cell>
        </row>
        <row r="1714">
          <cell r="B1714" t="str">
            <v>HOWARD HOTELS LTD</v>
          </cell>
          <cell r="C1714">
            <v>526761</v>
          </cell>
          <cell r="D1714" t="str">
            <v>Not Listed</v>
          </cell>
          <cell r="E1714" t="str">
            <v>Hotels</v>
          </cell>
        </row>
        <row r="1715">
          <cell r="B1715" t="str">
            <v>HPC BIOSCIENCES LTD</v>
          </cell>
          <cell r="C1715">
            <v>535217</v>
          </cell>
          <cell r="D1715" t="str">
            <v>Not Listed</v>
          </cell>
          <cell r="E1715" t="str">
            <v>Other Agricultural Products</v>
          </cell>
        </row>
        <row r="1716">
          <cell r="B1716" t="str">
            <v>HPL ELECTRIC &amp; POWER LTD</v>
          </cell>
          <cell r="C1716">
            <v>540136</v>
          </cell>
          <cell r="D1716" t="str">
            <v>HPL</v>
          </cell>
          <cell r="E1716" t="str">
            <v>Heavy Electrical Equipment</v>
          </cell>
        </row>
        <row r="1717">
          <cell r="B1717" t="str">
            <v>HRB FLORICULTURE LTD</v>
          </cell>
          <cell r="C1717">
            <v>531724</v>
          </cell>
          <cell r="D1717" t="str">
            <v>Not Listed</v>
          </cell>
          <cell r="E1717" t="str">
            <v>Misc.Commercial Services</v>
          </cell>
        </row>
        <row r="1718">
          <cell r="B1718" t="str">
            <v>HSIL LTD</v>
          </cell>
          <cell r="C1718">
            <v>500187</v>
          </cell>
          <cell r="D1718" t="str">
            <v>HSIL</v>
          </cell>
          <cell r="E1718" t="str">
            <v>Containers &amp; Packaging</v>
          </cell>
        </row>
        <row r="1719">
          <cell r="B1719" t="str">
            <v>HT MEDIA LTD</v>
          </cell>
          <cell r="C1719">
            <v>532662</v>
          </cell>
          <cell r="D1719" t="str">
            <v>HTMEDIA</v>
          </cell>
          <cell r="E1719" t="str">
            <v>Publishing</v>
          </cell>
        </row>
        <row r="1720">
          <cell r="B1720" t="str">
            <v>HUBTOWN LTD</v>
          </cell>
          <cell r="C1720">
            <v>532799</v>
          </cell>
          <cell r="D1720" t="str">
            <v>HUBTOWN</v>
          </cell>
          <cell r="E1720" t="str">
            <v>Realty</v>
          </cell>
        </row>
        <row r="1721">
          <cell r="B1721" t="str">
            <v>HUHTAMAKI PPL LTD</v>
          </cell>
          <cell r="C1721">
            <v>509820</v>
          </cell>
          <cell r="D1721" t="str">
            <v>PAPERPROD</v>
          </cell>
          <cell r="E1721" t="str">
            <v>Containers &amp; Packaging</v>
          </cell>
        </row>
        <row r="1722">
          <cell r="B1722" t="str">
            <v>Humming Bird Education Ltd</v>
          </cell>
          <cell r="C1722">
            <v>542592</v>
          </cell>
          <cell r="D1722" t="str">
            <v>HBEL</v>
          </cell>
          <cell r="E1722" t="str">
            <v>Education</v>
          </cell>
        </row>
        <row r="1723">
          <cell r="B1723" t="str">
            <v>HUSYS CONSULTING LTD</v>
          </cell>
          <cell r="C1723" t="str">
            <v>Not Listed</v>
          </cell>
          <cell r="D1723" t="str">
            <v>HUSYSLTD</v>
          </cell>
          <cell r="E1723" t="str">
            <v>SME</v>
          </cell>
        </row>
        <row r="1724">
          <cell r="B1724" t="str">
            <v>HYPERSOFT TECHNOLOGIES LTD</v>
          </cell>
          <cell r="C1724">
            <v>539724</v>
          </cell>
          <cell r="D1724" t="str">
            <v>Not Listed</v>
          </cell>
          <cell r="E1724" t="str">
            <v>IT Consulting &amp; Software</v>
          </cell>
        </row>
        <row r="1725">
          <cell r="B1725" t="str">
            <v>IB INFOTECH ENTERPRISES LTD</v>
          </cell>
          <cell r="C1725">
            <v>519463</v>
          </cell>
          <cell r="D1725" t="str">
            <v>Not Listed</v>
          </cell>
          <cell r="E1725" t="str">
            <v>Other Agricultural Products</v>
          </cell>
        </row>
        <row r="1726">
          <cell r="B1726" t="str">
            <v>ICE MAKE REFRIGERATION LTD</v>
          </cell>
          <cell r="C1726" t="str">
            <v>Not Listed</v>
          </cell>
          <cell r="D1726" t="str">
            <v>ICEMAKE</v>
          </cell>
          <cell r="E1726" t="str">
            <v>SME</v>
          </cell>
        </row>
        <row r="1727">
          <cell r="B1727" t="str">
            <v>ICICI BANK LTD</v>
          </cell>
          <cell r="C1727">
            <v>532174</v>
          </cell>
          <cell r="D1727" t="str">
            <v>ICICIBANK</v>
          </cell>
          <cell r="E1727" t="str">
            <v>Banks</v>
          </cell>
        </row>
        <row r="1728">
          <cell r="B1728" t="str">
            <v>ICICI LOMBARD GENERAL INSURANCE COMPANY LTD</v>
          </cell>
          <cell r="C1728">
            <v>540716</v>
          </cell>
          <cell r="D1728" t="str">
            <v>ICICIGI</v>
          </cell>
          <cell r="E1728" t="str">
            <v>General Insurance</v>
          </cell>
        </row>
        <row r="1729">
          <cell r="B1729" t="str">
            <v>ICICI Prudential Gold ETF</v>
          </cell>
          <cell r="C1729">
            <v>533244</v>
          </cell>
          <cell r="D1729" t="str">
            <v>ICICIGOLD</v>
          </cell>
          <cell r="E1729" t="str">
            <v>Other Financial Services</v>
          </cell>
        </row>
        <row r="1730">
          <cell r="B1730" t="str">
            <v>ICICI PRUDENTIAL LIFE INSURANCE COMPANY LTD</v>
          </cell>
          <cell r="C1730">
            <v>540133</v>
          </cell>
          <cell r="D1730" t="str">
            <v>ICICIPRULI</v>
          </cell>
          <cell r="E1730" t="str">
            <v>Life Insurance</v>
          </cell>
        </row>
        <row r="1731">
          <cell r="B1731" t="str">
            <v>ICICI Prudential Sensex ETF</v>
          </cell>
          <cell r="C1731">
            <v>555555</v>
          </cell>
          <cell r="D1731" t="str">
            <v>ICICISENSX</v>
          </cell>
          <cell r="E1731" t="str">
            <v>Other Financial Services</v>
          </cell>
        </row>
        <row r="1732">
          <cell r="B1732" t="str">
            <v>ICICI SECURITIES LTD</v>
          </cell>
          <cell r="C1732">
            <v>541179</v>
          </cell>
          <cell r="D1732" t="str">
            <v>ISEC</v>
          </cell>
          <cell r="E1732" t="str">
            <v>Other Financial Services</v>
          </cell>
        </row>
        <row r="1733">
          <cell r="B1733" t="str">
            <v>ICRA LTD</v>
          </cell>
          <cell r="C1733">
            <v>532835</v>
          </cell>
          <cell r="D1733" t="str">
            <v>ICRA</v>
          </cell>
          <cell r="E1733" t="str">
            <v>Other Financial Services</v>
          </cell>
        </row>
        <row r="1734">
          <cell r="B1734" t="str">
            <v>ICSA (INDIA) LTD</v>
          </cell>
          <cell r="C1734">
            <v>531524</v>
          </cell>
          <cell r="D1734" t="str">
            <v>ICSA</v>
          </cell>
          <cell r="E1734" t="str">
            <v>Other Elect.Equip./ Prod.</v>
          </cell>
        </row>
        <row r="1735">
          <cell r="B1735" t="str">
            <v>ICSA INDIA LTD</v>
          </cell>
          <cell r="C1735">
            <v>531524</v>
          </cell>
          <cell r="D1735" t="str">
            <v>ICSA</v>
          </cell>
          <cell r="E1735" t="str">
            <v>Other Elect.Equip./ Prod.</v>
          </cell>
        </row>
        <row r="1736">
          <cell r="B1736" t="str">
            <v>IDBI BANK LTD</v>
          </cell>
          <cell r="C1736">
            <v>500116</v>
          </cell>
          <cell r="D1736" t="str">
            <v>IDBI</v>
          </cell>
          <cell r="E1736" t="str">
            <v>Banks</v>
          </cell>
        </row>
        <row r="1737">
          <cell r="B1737" t="str">
            <v>IDFC BANK LTD</v>
          </cell>
          <cell r="C1737">
            <v>539437</v>
          </cell>
          <cell r="D1737" t="str">
            <v>IDFCBANK</v>
          </cell>
          <cell r="E1737" t="str">
            <v>Banks</v>
          </cell>
        </row>
        <row r="1738">
          <cell r="B1738" t="str">
            <v>IDFC First Bank LTD</v>
          </cell>
          <cell r="C1738" t="str">
            <v>Not Listed</v>
          </cell>
          <cell r="D1738" t="str">
            <v>IDFCFIRSTB</v>
          </cell>
          <cell r="E1738" t="str">
            <v>Banks</v>
          </cell>
        </row>
        <row r="1739">
          <cell r="B1739" t="str">
            <v>IDFC LTD</v>
          </cell>
          <cell r="C1739">
            <v>532659</v>
          </cell>
          <cell r="D1739" t="str">
            <v>IDFC</v>
          </cell>
          <cell r="E1739" t="str">
            <v>Finance (including NBFCs)</v>
          </cell>
        </row>
        <row r="1740">
          <cell r="B1740" t="str">
            <v>IFB AGRO INDUSTRIES LTD</v>
          </cell>
          <cell r="C1740">
            <v>507438</v>
          </cell>
          <cell r="D1740" t="str">
            <v>IFBAGRO</v>
          </cell>
          <cell r="E1740" t="str">
            <v>Breweries &amp; Distilleries</v>
          </cell>
        </row>
        <row r="1741">
          <cell r="B1741" t="str">
            <v>IFB INDUSTRIES LTD</v>
          </cell>
          <cell r="C1741">
            <v>505726</v>
          </cell>
          <cell r="D1741" t="str">
            <v>IFBIND</v>
          </cell>
          <cell r="E1741" t="str">
            <v>Household Appliances</v>
          </cell>
        </row>
        <row r="1742">
          <cell r="B1742" t="str">
            <v>IFCI LTD</v>
          </cell>
          <cell r="C1742">
            <v>500106</v>
          </cell>
          <cell r="D1742" t="str">
            <v>IFCI</v>
          </cell>
          <cell r="E1742" t="str">
            <v>Financial Institutions</v>
          </cell>
        </row>
        <row r="1743">
          <cell r="B1743" t="str">
            <v>IFGL REFRACTORIES LTD</v>
          </cell>
          <cell r="C1743">
            <v>540774</v>
          </cell>
          <cell r="D1743" t="str">
            <v>IFGLEXPOR</v>
          </cell>
          <cell r="E1743" t="str">
            <v>Other Industrial Goods</v>
          </cell>
        </row>
        <row r="1744">
          <cell r="B1744" t="str">
            <v>IFL ENTERPRISES LTD</v>
          </cell>
          <cell r="C1744">
            <v>540377</v>
          </cell>
          <cell r="D1744" t="str">
            <v>Not Listed</v>
          </cell>
          <cell r="E1744" t="str">
            <v>Comm.Trading  &amp; Distribution</v>
          </cell>
        </row>
        <row r="1745">
          <cell r="B1745" t="str">
            <v>IFM IMPEX GLOBAL LTD</v>
          </cell>
          <cell r="C1745">
            <v>522289</v>
          </cell>
          <cell r="D1745" t="str">
            <v>Not Listed</v>
          </cell>
          <cell r="E1745" t="str">
            <v>Comm.Trading  &amp; Distribution</v>
          </cell>
        </row>
        <row r="1746">
          <cell r="B1746" t="str">
            <v>IG PETROCHEMICALS LTD</v>
          </cell>
          <cell r="C1746">
            <v>500199</v>
          </cell>
          <cell r="D1746" t="str">
            <v>IGPL</v>
          </cell>
          <cell r="E1746" t="str">
            <v>Commodity Chemicals</v>
          </cell>
        </row>
        <row r="1747">
          <cell r="B1747" t="str">
            <v>IGARASHI MOTORS (INDIA) LTD</v>
          </cell>
          <cell r="C1747">
            <v>517380</v>
          </cell>
          <cell r="D1747" t="str">
            <v>IGARASHI</v>
          </cell>
          <cell r="E1747" t="str">
            <v>Auto Parts &amp; Equipment</v>
          </cell>
        </row>
        <row r="1748">
          <cell r="B1748" t="str">
            <v>IGARASHI MOTORS INDIA LTD</v>
          </cell>
          <cell r="C1748">
            <v>517380</v>
          </cell>
          <cell r="D1748" t="str">
            <v>IGARASHI</v>
          </cell>
          <cell r="E1748" t="str">
            <v>Auto Parts &amp; Equipment</v>
          </cell>
        </row>
        <row r="1749">
          <cell r="B1749" t="str">
            <v>IGC INDUSTRIES LTD</v>
          </cell>
          <cell r="C1749">
            <v>539449</v>
          </cell>
          <cell r="D1749" t="str">
            <v>Not Listed</v>
          </cell>
          <cell r="E1749" t="str">
            <v>Comm.Trading  &amp; Distribution</v>
          </cell>
        </row>
        <row r="1750">
          <cell r="B1750" t="str">
            <v>IIFL HOLDINGS LTD</v>
          </cell>
          <cell r="C1750">
            <v>532636</v>
          </cell>
          <cell r="D1750" t="str">
            <v>IIFL</v>
          </cell>
          <cell r="E1750" t="str">
            <v>Other Financial Services</v>
          </cell>
        </row>
        <row r="1751">
          <cell r="B1751" t="str">
            <v>IITL PROJECTS LTD</v>
          </cell>
          <cell r="C1751">
            <v>531968</v>
          </cell>
          <cell r="D1751" t="str">
            <v>IITLPROJ</v>
          </cell>
          <cell r="E1751" t="str">
            <v>Realty</v>
          </cell>
        </row>
        <row r="1752">
          <cell r="B1752" t="str">
            <v>IKAB SECURITIES &amp; INVESTMENT LTD</v>
          </cell>
          <cell r="C1752">
            <v>514238</v>
          </cell>
          <cell r="D1752" t="str">
            <v>Not Listed</v>
          </cell>
          <cell r="E1752" t="str">
            <v>Other Financial Services</v>
          </cell>
        </row>
        <row r="1753">
          <cell r="B1753" t="str">
            <v>IKF TECHNOLOGIES LTD</v>
          </cell>
          <cell r="C1753">
            <v>532414</v>
          </cell>
          <cell r="D1753" t="str">
            <v>Not Listed</v>
          </cell>
          <cell r="E1753" t="str">
            <v>IT Software Products</v>
          </cell>
        </row>
        <row r="1754">
          <cell r="B1754" t="str">
            <v>IL&amp;FS ENGINEERING AND CONSTRUCTION COMPANY LTD</v>
          </cell>
          <cell r="C1754">
            <v>532907</v>
          </cell>
          <cell r="D1754" t="str">
            <v>IL&amp;FSENGG</v>
          </cell>
          <cell r="E1754" t="str">
            <v>Construction &amp; Engineering</v>
          </cell>
        </row>
        <row r="1755">
          <cell r="B1755" t="str">
            <v>IL&amp;FS INVESTMENT MANAGERS LTD</v>
          </cell>
          <cell r="C1755">
            <v>511208</v>
          </cell>
          <cell r="D1755" t="str">
            <v>IVC</v>
          </cell>
          <cell r="E1755" t="str">
            <v>Asset Management Cos.</v>
          </cell>
        </row>
        <row r="1756">
          <cell r="B1756" t="str">
            <v>IL&amp;FS TRANSPORTATION NETWORKS LTD</v>
          </cell>
          <cell r="C1756">
            <v>533177</v>
          </cell>
          <cell r="D1756" t="str">
            <v>IL&amp;FSTRANS</v>
          </cell>
          <cell r="E1756" t="str">
            <v>Roads &amp; Highways</v>
          </cell>
        </row>
        <row r="1757">
          <cell r="B1757" t="str">
            <v>IM+ CAPITALS LTD</v>
          </cell>
          <cell r="C1757">
            <v>511628</v>
          </cell>
          <cell r="D1757" t="str">
            <v>Not Listed</v>
          </cell>
          <cell r="E1757" t="str">
            <v>Finance (including NBFCs)</v>
          </cell>
        </row>
        <row r="1758">
          <cell r="B1758" t="str">
            <v>IMC FINANCE LTD</v>
          </cell>
          <cell r="C1758">
            <v>505539</v>
          </cell>
          <cell r="D1758" t="str">
            <v>Not Listed</v>
          </cell>
          <cell r="E1758" t="str">
            <v>Misc.Commercial Services</v>
          </cell>
        </row>
        <row r="1759">
          <cell r="B1759" t="str">
            <v>IMEC SERVICES LTD</v>
          </cell>
          <cell r="C1759">
            <v>513295</v>
          </cell>
          <cell r="D1759" t="str">
            <v>Not Listed</v>
          </cell>
          <cell r="E1759" t="str">
            <v>Iron &amp; Steel/Interm.Products</v>
          </cell>
        </row>
        <row r="1760">
          <cell r="B1760" t="str">
            <v>IMP POWERS LTD</v>
          </cell>
          <cell r="C1760">
            <v>517571</v>
          </cell>
          <cell r="D1760" t="str">
            <v>INDLMETER</v>
          </cell>
          <cell r="E1760" t="str">
            <v>Heavy Electrical Equipment</v>
          </cell>
        </row>
        <row r="1761">
          <cell r="B1761" t="str">
            <v>IMPEX FERRO TECH LTD</v>
          </cell>
          <cell r="C1761">
            <v>532614</v>
          </cell>
          <cell r="D1761" t="str">
            <v>IMPEXFERRO</v>
          </cell>
          <cell r="E1761" t="str">
            <v>Iron &amp; Steel/Interm.Products</v>
          </cell>
        </row>
        <row r="1762">
          <cell r="B1762" t="str">
            <v>INANI MARBLES &amp; INDUSTRIES LTD</v>
          </cell>
          <cell r="C1762">
            <v>531129</v>
          </cell>
          <cell r="D1762" t="str">
            <v>Not Listed</v>
          </cell>
          <cell r="E1762" t="str">
            <v>Construction Materials</v>
          </cell>
        </row>
        <row r="1763">
          <cell r="B1763" t="str">
            <v>INANI SECURITIES LTD</v>
          </cell>
          <cell r="C1763">
            <v>531672</v>
          </cell>
          <cell r="D1763" t="str">
            <v>Not Listed</v>
          </cell>
          <cell r="E1763" t="str">
            <v>Other Financial Services</v>
          </cell>
        </row>
        <row r="1764">
          <cell r="B1764" t="str">
            <v>INCAP LTD</v>
          </cell>
          <cell r="C1764">
            <v>517370</v>
          </cell>
          <cell r="D1764" t="str">
            <v>Not Listed</v>
          </cell>
          <cell r="E1764" t="str">
            <v>Other Elect.Equip./ Prod.</v>
          </cell>
        </row>
        <row r="1765">
          <cell r="B1765" t="str">
            <v>INCEPTUM ENTERPRISES LTD</v>
          </cell>
          <cell r="C1765">
            <v>538541</v>
          </cell>
          <cell r="D1765" t="str">
            <v>Not Listed</v>
          </cell>
          <cell r="E1765" t="str">
            <v>Comm.Trading  &amp; Distribution</v>
          </cell>
        </row>
        <row r="1766">
          <cell r="B1766" t="str">
            <v>INCON ENGINEERS LTD</v>
          </cell>
          <cell r="C1766">
            <v>531594</v>
          </cell>
          <cell r="D1766" t="str">
            <v>Not Listed</v>
          </cell>
          <cell r="E1766" t="str">
            <v>Industrial Machinery</v>
          </cell>
        </row>
        <row r="1767">
          <cell r="B1767" t="str">
            <v>IND BANK HOUSING LTD</v>
          </cell>
          <cell r="C1767">
            <v>523465</v>
          </cell>
          <cell r="D1767" t="str">
            <v>Not Listed</v>
          </cell>
          <cell r="E1767" t="str">
            <v xml:space="preserve">Housing Finance </v>
          </cell>
        </row>
        <row r="1768">
          <cell r="B1768" t="str">
            <v>IND RENEWABLE ENERGY LTD</v>
          </cell>
          <cell r="C1768">
            <v>536709</v>
          </cell>
          <cell r="D1768" t="str">
            <v>Not Listed</v>
          </cell>
          <cell r="E1768" t="str">
            <v>Electric Utilities</v>
          </cell>
        </row>
        <row r="1769">
          <cell r="B1769" t="str">
            <v>INDAG RUBBER LTD</v>
          </cell>
          <cell r="C1769">
            <v>509162</v>
          </cell>
          <cell r="D1769" t="str">
            <v>Not Listed</v>
          </cell>
          <cell r="E1769" t="str">
            <v>Auto Tyres &amp; Rubber Products</v>
          </cell>
        </row>
        <row r="1770">
          <cell r="B1770" t="str">
            <v>IND-AGIV COMMERCE LTD</v>
          </cell>
          <cell r="C1770">
            <v>517077</v>
          </cell>
          <cell r="D1770" t="str">
            <v>Not Listed</v>
          </cell>
          <cell r="E1770" t="str">
            <v>Comm.Trading  &amp; Distribution</v>
          </cell>
        </row>
        <row r="1771">
          <cell r="B1771" t="str">
            <v>INDBANK MERCHANT BANKING SERVICES LTD</v>
          </cell>
          <cell r="C1771">
            <v>511473</v>
          </cell>
          <cell r="D1771" t="str">
            <v>INDBANK</v>
          </cell>
          <cell r="E1771" t="str">
            <v>Other Financial Services</v>
          </cell>
        </row>
        <row r="1772">
          <cell r="B1772" t="str">
            <v>INDERGIRI FINANCE LTD</v>
          </cell>
          <cell r="C1772">
            <v>531505</v>
          </cell>
          <cell r="D1772" t="str">
            <v>Not Listed</v>
          </cell>
          <cell r="E1772" t="str">
            <v>Finance (including NBFCs)</v>
          </cell>
        </row>
        <row r="1773">
          <cell r="B1773" t="str">
            <v>INDIA CEMENTS CAPITAL LTD</v>
          </cell>
          <cell r="C1773">
            <v>511355</v>
          </cell>
          <cell r="D1773" t="str">
            <v>Not Listed</v>
          </cell>
          <cell r="E1773" t="str">
            <v>Finance (including NBFCs)</v>
          </cell>
        </row>
        <row r="1774">
          <cell r="B1774" t="str">
            <v>INDIA FINSEC LTD</v>
          </cell>
          <cell r="C1774">
            <v>535667</v>
          </cell>
          <cell r="D1774" t="str">
            <v>Not Listed</v>
          </cell>
          <cell r="E1774" t="str">
            <v>Finance (including NBFCs)</v>
          </cell>
        </row>
        <row r="1775">
          <cell r="B1775" t="str">
            <v>INDIA GELATINE &amp; CHEMICALS LTD</v>
          </cell>
          <cell r="C1775">
            <v>531253</v>
          </cell>
          <cell r="D1775" t="str">
            <v>Not Listed</v>
          </cell>
          <cell r="E1775" t="str">
            <v>Specialty Chemicals</v>
          </cell>
        </row>
        <row r="1776">
          <cell r="B1776" t="str">
            <v>INDIA GLYCOLS LTD</v>
          </cell>
          <cell r="C1776">
            <v>500201</v>
          </cell>
          <cell r="D1776" t="str">
            <v>INDIAGLYCO</v>
          </cell>
          <cell r="E1776" t="str">
            <v>Commodity Chemicals</v>
          </cell>
        </row>
        <row r="1777">
          <cell r="B1777" t="str">
            <v>INDIA GREEN REALITY LTD</v>
          </cell>
          <cell r="C1777">
            <v>540152</v>
          </cell>
          <cell r="D1777" t="str">
            <v>Not Listed</v>
          </cell>
          <cell r="E1777" t="str">
            <v>Realty</v>
          </cell>
        </row>
        <row r="1778">
          <cell r="B1778" t="str">
            <v>India Grid Trust</v>
          </cell>
          <cell r="C1778">
            <v>540565</v>
          </cell>
          <cell r="D1778" t="str">
            <v>INDIGRID</v>
          </cell>
          <cell r="E1778" t="str">
            <v>Investment Companies</v>
          </cell>
        </row>
        <row r="1779">
          <cell r="B1779" t="str">
            <v>INDIA HOME LOAN LTD</v>
          </cell>
          <cell r="C1779">
            <v>530979</v>
          </cell>
          <cell r="D1779" t="str">
            <v>Not Listed</v>
          </cell>
          <cell r="E1779" t="str">
            <v xml:space="preserve">Housing Finance </v>
          </cell>
        </row>
        <row r="1780">
          <cell r="B1780" t="str">
            <v>INDIA INFRASPACE LTD</v>
          </cell>
          <cell r="C1780">
            <v>531343</v>
          </cell>
          <cell r="D1780" t="str">
            <v>Not Listed</v>
          </cell>
          <cell r="E1780" t="str">
            <v>Misc.Commercial Services</v>
          </cell>
        </row>
        <row r="1781">
          <cell r="B1781" t="str">
            <v>INDIA MOTOR PARTS AND ACCESSORIES LTD</v>
          </cell>
          <cell r="C1781">
            <v>590065</v>
          </cell>
          <cell r="D1781" t="str">
            <v>IMPAL</v>
          </cell>
          <cell r="E1781" t="str">
            <v>Comm.Trading  &amp; Distribution</v>
          </cell>
        </row>
        <row r="1782">
          <cell r="B1782" t="str">
            <v>INDIA NIPPON ELECTRICALS LTD</v>
          </cell>
          <cell r="C1782">
            <v>532240</v>
          </cell>
          <cell r="D1782" t="str">
            <v>INDNIPPON</v>
          </cell>
          <cell r="E1782" t="str">
            <v>Auto Parts &amp; Equipment</v>
          </cell>
        </row>
        <row r="1783">
          <cell r="B1783" t="str">
            <v>INDIA STEEL WORKS LTD</v>
          </cell>
          <cell r="C1783">
            <v>513361</v>
          </cell>
          <cell r="D1783" t="str">
            <v>Not Listed</v>
          </cell>
          <cell r="E1783" t="str">
            <v>Iron &amp; Steel/Interm.Products</v>
          </cell>
        </row>
        <row r="1784">
          <cell r="B1784" t="str">
            <v>INDIA TOURISM DEVELOPMENT CORPORATION LTD</v>
          </cell>
          <cell r="C1784">
            <v>532189</v>
          </cell>
          <cell r="D1784" t="str">
            <v>ITDC</v>
          </cell>
          <cell r="E1784" t="str">
            <v>Hotels</v>
          </cell>
        </row>
        <row r="1785">
          <cell r="B1785" t="str">
            <v>INDIABULLS HOUSING FINANCE LTD</v>
          </cell>
          <cell r="C1785">
            <v>535789</v>
          </cell>
          <cell r="D1785" t="str">
            <v>IBULHSGFIN</v>
          </cell>
          <cell r="E1785" t="str">
            <v xml:space="preserve">Housing Finance </v>
          </cell>
        </row>
        <row r="1786">
          <cell r="B1786" t="str">
            <v>INDIABULLS INTEGRATED SERVICES LTD</v>
          </cell>
          <cell r="C1786">
            <v>533520</v>
          </cell>
          <cell r="D1786" t="str">
            <v>IBULISL</v>
          </cell>
          <cell r="E1786" t="str">
            <v>Comm.Trading  &amp; Distribution</v>
          </cell>
        </row>
        <row r="1787">
          <cell r="B1787" t="str">
            <v>INDIABULLS REAL ESTATE LTD</v>
          </cell>
          <cell r="C1787">
            <v>532832</v>
          </cell>
          <cell r="D1787" t="str">
            <v>IBREALEST</v>
          </cell>
          <cell r="E1787" t="str">
            <v>Realty</v>
          </cell>
        </row>
        <row r="1788">
          <cell r="B1788" t="str">
            <v>INDIABULLS VENTURES LTD</v>
          </cell>
          <cell r="C1788">
            <v>532960</v>
          </cell>
          <cell r="D1788" t="str">
            <v>IBVENTURES</v>
          </cell>
          <cell r="E1788" t="str">
            <v>Other Financial Services</v>
          </cell>
        </row>
        <row r="1789">
          <cell r="B1789" t="str">
            <v>INDIAN ACRYLICS LTD</v>
          </cell>
          <cell r="C1789">
            <v>514165</v>
          </cell>
          <cell r="D1789" t="str">
            <v>Not Listed</v>
          </cell>
          <cell r="E1789" t="str">
            <v>Fibres &amp; Plastics</v>
          </cell>
        </row>
        <row r="1790">
          <cell r="B1790" t="str">
            <v>INDIAN BANK</v>
          </cell>
          <cell r="C1790">
            <v>532814</v>
          </cell>
          <cell r="D1790" t="str">
            <v>INDIANB</v>
          </cell>
          <cell r="E1790" t="str">
            <v>Banks</v>
          </cell>
        </row>
        <row r="1791">
          <cell r="B1791" t="str">
            <v>INDIAN BRIGHT STEEL CO LTD</v>
          </cell>
          <cell r="C1791">
            <v>504731</v>
          </cell>
          <cell r="D1791" t="str">
            <v>Not Listed</v>
          </cell>
          <cell r="E1791" t="str">
            <v>Iron &amp; Steel/Interm.Products</v>
          </cell>
        </row>
        <row r="1792">
          <cell r="B1792" t="str">
            <v>INDIAN CARD CLOTHING COMPANY LTD</v>
          </cell>
          <cell r="C1792">
            <v>509692</v>
          </cell>
          <cell r="D1792" t="str">
            <v>INDIANCARD</v>
          </cell>
          <cell r="E1792" t="str">
            <v>Textiles</v>
          </cell>
        </row>
        <row r="1793">
          <cell r="B1793" t="str">
            <v>INDIAN ENERGY EXCHANGE LTD</v>
          </cell>
          <cell r="C1793">
            <v>540750</v>
          </cell>
          <cell r="D1793" t="str">
            <v>IEX</v>
          </cell>
          <cell r="E1793" t="str">
            <v>Electric Utilities</v>
          </cell>
        </row>
        <row r="1794">
          <cell r="B1794" t="str">
            <v>INDIAN EXTRACTIONS LTD</v>
          </cell>
          <cell r="C1794">
            <v>524614</v>
          </cell>
          <cell r="D1794" t="str">
            <v>Not Listed</v>
          </cell>
          <cell r="E1794" t="str">
            <v>Other Food Products</v>
          </cell>
        </row>
        <row r="1795">
          <cell r="B1795" t="str">
            <v>INDIAN HUME PIPE COMPANY LTD</v>
          </cell>
          <cell r="C1795">
            <v>504741</v>
          </cell>
          <cell r="D1795" t="str">
            <v>INDIANHUME</v>
          </cell>
          <cell r="E1795" t="str">
            <v>Cement &amp; Cement Products</v>
          </cell>
        </row>
        <row r="1796">
          <cell r="B1796" t="str">
            <v>INDIAN INFOTECH &amp; SOFTWARE LTD</v>
          </cell>
          <cell r="C1796">
            <v>509051</v>
          </cell>
          <cell r="D1796" t="str">
            <v>Not Listed</v>
          </cell>
          <cell r="E1796" t="str">
            <v>IT Software Products</v>
          </cell>
        </row>
        <row r="1797">
          <cell r="B1797" t="str">
            <v>INDIAN LINK CHAIN MANUFACTURES LTD</v>
          </cell>
          <cell r="C1797">
            <v>504746</v>
          </cell>
          <cell r="D1797" t="str">
            <v>Not Listed</v>
          </cell>
          <cell r="E1797" t="str">
            <v>Other Industrial Products</v>
          </cell>
        </row>
        <row r="1798">
          <cell r="B1798" t="str">
            <v>INDIAN METALS &amp; FERRO ALLOYS LTD</v>
          </cell>
          <cell r="C1798">
            <v>533047</v>
          </cell>
          <cell r="D1798" t="str">
            <v>IMFA</v>
          </cell>
          <cell r="E1798" t="str">
            <v>Iron &amp; Steel/Interm.Products</v>
          </cell>
        </row>
        <row r="1799">
          <cell r="B1799" t="str">
            <v>INDIAN OIL CORPORATION LTD</v>
          </cell>
          <cell r="C1799">
            <v>530965</v>
          </cell>
          <cell r="D1799" t="str">
            <v>IOC</v>
          </cell>
          <cell r="E1799" t="str">
            <v>Oil Marketing &amp; Distribution</v>
          </cell>
        </row>
        <row r="1800">
          <cell r="B1800" t="str">
            <v>INDIAN OVERSEAS BANK</v>
          </cell>
          <cell r="C1800">
            <v>532388</v>
          </cell>
          <cell r="D1800" t="str">
            <v>IOB</v>
          </cell>
          <cell r="E1800" t="str">
            <v>Banks</v>
          </cell>
        </row>
        <row r="1801">
          <cell r="B1801" t="str">
            <v>INDIAN SUCROSE LTD</v>
          </cell>
          <cell r="C1801">
            <v>500319</v>
          </cell>
          <cell r="D1801" t="str">
            <v>Not Listed</v>
          </cell>
          <cell r="E1801" t="str">
            <v>Sugar</v>
          </cell>
        </row>
        <row r="1802">
          <cell r="B1802" t="str">
            <v>INDIAN TERRAIN FASHIONS LTD</v>
          </cell>
          <cell r="C1802">
            <v>533329</v>
          </cell>
          <cell r="D1802" t="str">
            <v>INDTERRAIN</v>
          </cell>
          <cell r="E1802" t="str">
            <v>Other Apparels &amp; Accessories</v>
          </cell>
        </row>
        <row r="1803">
          <cell r="B1803" t="str">
            <v>INDIAN TONERS &amp; DEVELOPERS LTD</v>
          </cell>
          <cell r="C1803">
            <v>523586</v>
          </cell>
          <cell r="D1803" t="str">
            <v>Not Listed</v>
          </cell>
          <cell r="E1803" t="str">
            <v>Specialty Chemicals</v>
          </cell>
        </row>
        <row r="1804">
          <cell r="B1804" t="str">
            <v>INDIANIVESH LTD</v>
          </cell>
          <cell r="C1804">
            <v>501700</v>
          </cell>
          <cell r="D1804" t="str">
            <v>Not Listed</v>
          </cell>
          <cell r="E1804" t="str">
            <v>Finance (including NBFCs)</v>
          </cell>
        </row>
        <row r="1805">
          <cell r="B1805" t="str">
            <v>INDITRADE CAPITAL LTD</v>
          </cell>
          <cell r="C1805">
            <v>532745</v>
          </cell>
          <cell r="D1805" t="str">
            <v>Not Listed</v>
          </cell>
          <cell r="E1805" t="str">
            <v>Other Financial Services</v>
          </cell>
        </row>
        <row r="1806">
          <cell r="B1806" t="str">
            <v>INDO AMINES LTD</v>
          </cell>
          <cell r="C1806">
            <v>524648</v>
          </cell>
          <cell r="D1806" t="str">
            <v>Not Listed</v>
          </cell>
          <cell r="E1806" t="str">
            <v>Commodity Chemicals</v>
          </cell>
        </row>
        <row r="1807">
          <cell r="B1807" t="str">
            <v>INDO ASIAN FINANCE LTD</v>
          </cell>
          <cell r="C1807">
            <v>530747</v>
          </cell>
          <cell r="D1807" t="str">
            <v>Not Listed</v>
          </cell>
          <cell r="E1807" t="str">
            <v>Finance (including NBFCs)</v>
          </cell>
        </row>
        <row r="1808">
          <cell r="B1808" t="str">
            <v>INDO BORAX &amp; CHEMICALS LTD</v>
          </cell>
          <cell r="C1808">
            <v>524342</v>
          </cell>
          <cell r="D1808" t="str">
            <v>Not Listed</v>
          </cell>
          <cell r="E1808" t="str">
            <v>Commodity Chemicals</v>
          </cell>
        </row>
        <row r="1809">
          <cell r="B1809" t="str">
            <v>INDO COTSPIN LTD</v>
          </cell>
          <cell r="C1809">
            <v>538838</v>
          </cell>
          <cell r="D1809" t="str">
            <v>Not Listed</v>
          </cell>
          <cell r="E1809" t="str">
            <v>Textiles</v>
          </cell>
        </row>
        <row r="1810">
          <cell r="B1810" t="str">
            <v>INDO COUNT INDUSTRIES LTD</v>
          </cell>
          <cell r="C1810">
            <v>521016</v>
          </cell>
          <cell r="D1810" t="str">
            <v>ICIL</v>
          </cell>
          <cell r="E1810" t="str">
            <v>Textiles</v>
          </cell>
        </row>
        <row r="1811">
          <cell r="B1811" t="str">
            <v>INDO CREDIT CAPITAL LTD</v>
          </cell>
          <cell r="C1811">
            <v>526887</v>
          </cell>
          <cell r="D1811" t="str">
            <v>Not Listed</v>
          </cell>
          <cell r="E1811" t="str">
            <v>Finance (including NBFCs)</v>
          </cell>
        </row>
        <row r="1812">
          <cell r="B1812" t="str">
            <v>INDO EURO INDCHEM LTD</v>
          </cell>
          <cell r="C1812">
            <v>524458</v>
          </cell>
          <cell r="D1812" t="str">
            <v>Not Listed</v>
          </cell>
          <cell r="E1812" t="str">
            <v>Specialty Chemicals</v>
          </cell>
        </row>
        <row r="1813">
          <cell r="B1813" t="str">
            <v>INDO GULF INDUSTRIES LTD</v>
          </cell>
          <cell r="C1813">
            <v>506945</v>
          </cell>
          <cell r="D1813" t="str">
            <v>Not Listed</v>
          </cell>
          <cell r="E1813" t="str">
            <v>Specialty Chemicals</v>
          </cell>
        </row>
        <row r="1814">
          <cell r="B1814" t="str">
            <v>INDO PACIFIC PROJECTS LTD</v>
          </cell>
          <cell r="C1814">
            <v>531565</v>
          </cell>
          <cell r="D1814" t="str">
            <v>Not Listed</v>
          </cell>
          <cell r="E1814" t="str">
            <v>Realty</v>
          </cell>
        </row>
        <row r="1815">
          <cell r="B1815" t="str">
            <v>INDO RAMA SYNTHETICS (INDIA) LTD</v>
          </cell>
          <cell r="C1815">
            <v>500207</v>
          </cell>
          <cell r="D1815" t="str">
            <v>INDORAMA</v>
          </cell>
          <cell r="E1815" t="str">
            <v>Textiles</v>
          </cell>
        </row>
        <row r="1816">
          <cell r="B1816" t="str">
            <v>INDO RAMA SYNTHETICS INDIA LTD</v>
          </cell>
          <cell r="C1816">
            <v>500207</v>
          </cell>
          <cell r="D1816" t="str">
            <v>INDORAMA</v>
          </cell>
          <cell r="E1816" t="str">
            <v>Textiles</v>
          </cell>
        </row>
        <row r="1817">
          <cell r="B1817" t="str">
            <v>INDO TECH TRANSFORMERS LTD</v>
          </cell>
          <cell r="C1817">
            <v>532717</v>
          </cell>
          <cell r="D1817" t="str">
            <v>INDOTECH</v>
          </cell>
          <cell r="E1817" t="str">
            <v>Heavy Electrical Equipment</v>
          </cell>
        </row>
        <row r="1818">
          <cell r="B1818" t="str">
            <v>INDO THAI SECURITIES LTD</v>
          </cell>
          <cell r="C1818">
            <v>533676</v>
          </cell>
          <cell r="D1818" t="str">
            <v>INDOTHAI</v>
          </cell>
          <cell r="E1818" t="str">
            <v>Other Financial Services</v>
          </cell>
        </row>
        <row r="1819">
          <cell r="B1819" t="str">
            <v>INDO US BIO-TECH LTD</v>
          </cell>
          <cell r="C1819">
            <v>541304</v>
          </cell>
          <cell r="D1819" t="str">
            <v>Not Listed</v>
          </cell>
          <cell r="E1819" t="str">
            <v>Other Agricultural Products</v>
          </cell>
        </row>
        <row r="1820">
          <cell r="B1820" t="str">
            <v>INDO-CITY INFOTECH LTD</v>
          </cell>
          <cell r="C1820">
            <v>532100</v>
          </cell>
          <cell r="D1820" t="str">
            <v>Not Listed</v>
          </cell>
          <cell r="E1820" t="str">
            <v>IT Software Products</v>
          </cell>
        </row>
        <row r="1821">
          <cell r="B1821" t="str">
            <v>INDOCO REMEDIES LTD</v>
          </cell>
          <cell r="C1821">
            <v>532612</v>
          </cell>
          <cell r="D1821" t="str">
            <v>INDOCO</v>
          </cell>
          <cell r="E1821" t="str">
            <v>Pharmaceuticals</v>
          </cell>
        </row>
        <row r="1822">
          <cell r="B1822" t="str">
            <v>INDO-GLOBAL ENTERPRISES LTD</v>
          </cell>
          <cell r="C1822">
            <v>539433</v>
          </cell>
          <cell r="D1822" t="str">
            <v>Not Listed</v>
          </cell>
          <cell r="E1822" t="str">
            <v>Healthcare Facilities</v>
          </cell>
        </row>
        <row r="1823">
          <cell r="B1823" t="str">
            <v>INDOKEM LTD</v>
          </cell>
          <cell r="C1823">
            <v>504092</v>
          </cell>
          <cell r="D1823" t="str">
            <v>Not Listed</v>
          </cell>
          <cell r="E1823" t="str">
            <v>Specialty Chemicals</v>
          </cell>
        </row>
        <row r="1824">
          <cell r="B1824" t="str">
            <v>INDO-NATIONAL LTD</v>
          </cell>
          <cell r="C1824">
            <v>504058</v>
          </cell>
          <cell r="D1824" t="str">
            <v>NIPPOBATRY</v>
          </cell>
          <cell r="E1824" t="str">
            <v>Non-Durable Household Prod.</v>
          </cell>
        </row>
        <row r="1825">
          <cell r="B1825" t="str">
            <v>INDOSOLAR LTD</v>
          </cell>
          <cell r="C1825">
            <v>533257</v>
          </cell>
          <cell r="D1825" t="str">
            <v>INDOSOLAR</v>
          </cell>
          <cell r="E1825" t="str">
            <v>Other Elect.Equip./ Prod.</v>
          </cell>
        </row>
        <row r="1826">
          <cell r="B1826" t="str">
            <v>INDOSTAR CAPITAL FINANCE LTD</v>
          </cell>
          <cell r="C1826">
            <v>541336</v>
          </cell>
          <cell r="D1826" t="str">
            <v>INDOSTAR</v>
          </cell>
          <cell r="E1826" t="str">
            <v>Finance (including NBFCs)</v>
          </cell>
        </row>
        <row r="1827">
          <cell r="B1827" t="str">
            <v>INDOVATION TECHNOLOGIES LTD</v>
          </cell>
          <cell r="C1827">
            <v>521005</v>
          </cell>
          <cell r="D1827" t="str">
            <v>Not Listed</v>
          </cell>
          <cell r="E1827" t="str">
            <v>Textiles</v>
          </cell>
        </row>
        <row r="1828">
          <cell r="B1828" t="str">
            <v>INDOWIND ENERGY LTD</v>
          </cell>
          <cell r="C1828">
            <v>532894</v>
          </cell>
          <cell r="D1828" t="str">
            <v>INDOWIND</v>
          </cell>
          <cell r="E1828" t="str">
            <v>Electric Utilities</v>
          </cell>
        </row>
        <row r="1829">
          <cell r="B1829" t="str">
            <v>INDRA INDUSTRIES LTD</v>
          </cell>
          <cell r="C1829">
            <v>539175</v>
          </cell>
          <cell r="D1829" t="str">
            <v>Not Listed</v>
          </cell>
          <cell r="E1829" t="str">
            <v>Fertilizers</v>
          </cell>
        </row>
        <row r="1830">
          <cell r="B1830" t="str">
            <v>INDRAPRASTHA GAS LTD</v>
          </cell>
          <cell r="C1830">
            <v>532514</v>
          </cell>
          <cell r="D1830" t="str">
            <v>IGL</v>
          </cell>
          <cell r="E1830" t="str">
            <v>Utilities:Non-Elec.</v>
          </cell>
        </row>
        <row r="1831">
          <cell r="B1831" t="str">
            <v>INDRAPRASTHA MEDICAL CORPORATION LTD</v>
          </cell>
          <cell r="C1831">
            <v>532150</v>
          </cell>
          <cell r="D1831" t="str">
            <v>INDRAMEDCO</v>
          </cell>
          <cell r="E1831" t="str">
            <v>Healthcare Facilities</v>
          </cell>
        </row>
        <row r="1832">
          <cell r="B1832" t="str">
            <v>INDRAYANI BIOTECH LTD.</v>
          </cell>
          <cell r="C1832">
            <v>526445</v>
          </cell>
          <cell r="D1832" t="str">
            <v>INDRANIB</v>
          </cell>
          <cell r="E1832" t="str">
            <v>Other Agricultural Products</v>
          </cell>
        </row>
        <row r="1833">
          <cell r="B1833" t="str">
            <v>INDSIL HYDRO POWER AND MANGANESE LTD</v>
          </cell>
          <cell r="C1833">
            <v>522165</v>
          </cell>
          <cell r="D1833" t="str">
            <v>Not Listed</v>
          </cell>
          <cell r="E1833" t="str">
            <v>Iron &amp; Steel/Interm.Products</v>
          </cell>
        </row>
        <row r="1834">
          <cell r="B1834" t="str">
            <v>INDSOYA LTD</v>
          </cell>
          <cell r="C1834">
            <v>503639</v>
          </cell>
          <cell r="D1834" t="str">
            <v>Not Listed</v>
          </cell>
          <cell r="E1834" t="str">
            <v>Misc.Commercial Services</v>
          </cell>
        </row>
        <row r="1835">
          <cell r="B1835" t="str">
            <v>IND-SWIFT LABORATORIES LTD</v>
          </cell>
          <cell r="C1835">
            <v>532305</v>
          </cell>
          <cell r="D1835" t="str">
            <v>INDSWFTLAB</v>
          </cell>
          <cell r="E1835" t="str">
            <v>Pharmaceuticals</v>
          </cell>
        </row>
        <row r="1836">
          <cell r="B1836" t="str">
            <v>IND-SWIFT LTD</v>
          </cell>
          <cell r="C1836">
            <v>524652</v>
          </cell>
          <cell r="D1836" t="str">
            <v>INDSWFTLTD</v>
          </cell>
          <cell r="E1836" t="str">
            <v>Pharmaceuticals</v>
          </cell>
        </row>
        <row r="1837">
          <cell r="B1837" t="str">
            <v>INDUCTO STEEL LTD</v>
          </cell>
          <cell r="C1837">
            <v>532001</v>
          </cell>
          <cell r="D1837" t="str">
            <v>Not Listed</v>
          </cell>
          <cell r="E1837" t="str">
            <v>Iron &amp; Steel/Interm.Products</v>
          </cell>
        </row>
        <row r="1838">
          <cell r="B1838" t="str">
            <v>INDUS FINANCE LTD</v>
          </cell>
          <cell r="C1838">
            <v>531841</v>
          </cell>
          <cell r="D1838" t="str">
            <v>Not Listed</v>
          </cell>
          <cell r="E1838" t="str">
            <v>Finance (including NBFCs)</v>
          </cell>
        </row>
        <row r="1839">
          <cell r="B1839" t="str">
            <v>INDUSIND BANK LTD</v>
          </cell>
          <cell r="C1839">
            <v>532187</v>
          </cell>
          <cell r="D1839" t="str">
            <v>INDUSINDBK</v>
          </cell>
          <cell r="E1839" t="str">
            <v>Banks</v>
          </cell>
        </row>
        <row r="1840">
          <cell r="B1840" t="str">
            <v>INDUSTRIAL &amp; PRUDENTIAL INVESTMENTS CO LTD</v>
          </cell>
          <cell r="C1840">
            <v>501298</v>
          </cell>
          <cell r="D1840" t="str">
            <v>Not Listed</v>
          </cell>
          <cell r="E1840" t="str">
            <v>Investment Companies</v>
          </cell>
        </row>
        <row r="1841">
          <cell r="B1841" t="str">
            <v>INDUSTRIAL INVESTMENT TRUST LTD</v>
          </cell>
          <cell r="C1841">
            <v>501295</v>
          </cell>
          <cell r="D1841" t="str">
            <v>IITL</v>
          </cell>
          <cell r="E1841" t="str">
            <v>Finance (including NBFCs)</v>
          </cell>
        </row>
        <row r="1842">
          <cell r="B1842" t="str">
            <v>INEOS STYROLUTION (INDIA) LTD</v>
          </cell>
          <cell r="C1842">
            <v>506222</v>
          </cell>
          <cell r="D1842" t="str">
            <v>INEOSSTYRO</v>
          </cell>
          <cell r="E1842" t="str">
            <v>Specialty Chemicals</v>
          </cell>
        </row>
        <row r="1843">
          <cell r="B1843" t="str">
            <v>INEOS STYROLUTION INDIA LTD</v>
          </cell>
          <cell r="C1843">
            <v>506222</v>
          </cell>
          <cell r="D1843" t="str">
            <v>INEOSSTYRO</v>
          </cell>
          <cell r="E1843" t="str">
            <v>Specialty Chemicals</v>
          </cell>
        </row>
        <row r="1844">
          <cell r="B1844" t="str">
            <v>INERTIA STEEL LTD</v>
          </cell>
          <cell r="C1844">
            <v>512025</v>
          </cell>
          <cell r="D1844" t="str">
            <v>Not Listed</v>
          </cell>
          <cell r="E1844" t="str">
            <v>Misc.Commercial Services</v>
          </cell>
        </row>
        <row r="1845">
          <cell r="B1845" t="str">
            <v>INFIBEAM AVENUES LTD</v>
          </cell>
          <cell r="C1845">
            <v>539807</v>
          </cell>
          <cell r="D1845" t="str">
            <v>INFIBEAM</v>
          </cell>
          <cell r="E1845" t="str">
            <v>Internet Software &amp; Services</v>
          </cell>
        </row>
        <row r="1846">
          <cell r="B1846" t="str">
            <v>INFINITE COMPUTER SOLUTIONS (INDIA) LTD</v>
          </cell>
          <cell r="C1846">
            <v>533154</v>
          </cell>
          <cell r="D1846" t="str">
            <v>INFINITE</v>
          </cell>
          <cell r="E1846" t="str">
            <v>IT Consulting &amp; Software</v>
          </cell>
        </row>
        <row r="1847">
          <cell r="B1847" t="str">
            <v>INFINITE COMPUTER SOLUTIONS INDIA LTD</v>
          </cell>
          <cell r="C1847">
            <v>533154</v>
          </cell>
          <cell r="D1847" t="str">
            <v>INFINITE</v>
          </cell>
          <cell r="E1847" t="str">
            <v>IT Consulting &amp; Software</v>
          </cell>
        </row>
        <row r="1848">
          <cell r="B1848" t="str">
            <v>INFLAME APPLIANCES LTD</v>
          </cell>
          <cell r="C1848">
            <v>541083</v>
          </cell>
          <cell r="D1848" t="str">
            <v>Not Listed</v>
          </cell>
          <cell r="E1848" t="str">
            <v>Houseware</v>
          </cell>
        </row>
        <row r="1849">
          <cell r="B1849" t="str">
            <v>INFO EDGE (INDIA) LTD</v>
          </cell>
          <cell r="C1849">
            <v>532777</v>
          </cell>
          <cell r="D1849" t="str">
            <v>NAUKRI</v>
          </cell>
          <cell r="E1849" t="str">
            <v>Internet &amp; Catalogue Retail</v>
          </cell>
        </row>
        <row r="1850">
          <cell r="B1850" t="str">
            <v>INFO EDGE INDIA LTD</v>
          </cell>
          <cell r="C1850">
            <v>532777</v>
          </cell>
          <cell r="D1850" t="str">
            <v>NAUKRI</v>
          </cell>
          <cell r="E1850" t="str">
            <v>Internet &amp; Catalogue Retail</v>
          </cell>
        </row>
        <row r="1851">
          <cell r="B1851" t="str">
            <v>INFOBEANS TECHNOLOGIES LTD</v>
          </cell>
          <cell r="C1851" t="str">
            <v>Not Listed</v>
          </cell>
          <cell r="D1851" t="str">
            <v>INFOBEAN</v>
          </cell>
          <cell r="E1851" t="str">
            <v>SME</v>
          </cell>
        </row>
        <row r="1852">
          <cell r="B1852" t="str">
            <v>INFORMED TECHNOLOGIES (INDIA) LTD</v>
          </cell>
          <cell r="C1852">
            <v>504810</v>
          </cell>
          <cell r="D1852" t="str">
            <v>Not Listed</v>
          </cell>
          <cell r="E1852" t="str">
            <v>BPO/KPO</v>
          </cell>
        </row>
        <row r="1853">
          <cell r="B1853" t="str">
            <v>INFORMED TECHNOLOGIES INDIA LTD</v>
          </cell>
          <cell r="C1853">
            <v>504810</v>
          </cell>
          <cell r="D1853" t="str">
            <v>Not Listed</v>
          </cell>
          <cell r="E1853" t="str">
            <v>BPO/KPO</v>
          </cell>
        </row>
        <row r="1854">
          <cell r="B1854" t="str">
            <v>INFOSYS LTD</v>
          </cell>
          <cell r="C1854">
            <v>500209</v>
          </cell>
          <cell r="D1854" t="str">
            <v>INFY</v>
          </cell>
          <cell r="E1854" t="str">
            <v>IT Consulting &amp; Software</v>
          </cell>
        </row>
        <row r="1855">
          <cell r="B1855" t="str">
            <v>INFRA INDUSTRIES LTD</v>
          </cell>
          <cell r="C1855">
            <v>530777</v>
          </cell>
          <cell r="D1855" t="str">
            <v>Not Listed</v>
          </cell>
          <cell r="E1855" t="str">
            <v>Plastic Products</v>
          </cell>
        </row>
        <row r="1856">
          <cell r="B1856" t="str">
            <v>INFRONICS SYSTEMS LTD</v>
          </cell>
          <cell r="C1856">
            <v>537985</v>
          </cell>
          <cell r="D1856" t="str">
            <v>Not Listed</v>
          </cell>
          <cell r="E1856" t="str">
            <v>IT Software Products</v>
          </cell>
        </row>
        <row r="1857">
          <cell r="B1857" t="str">
            <v>INGERSOLL RAND (INDIA) LTD</v>
          </cell>
          <cell r="C1857">
            <v>500210</v>
          </cell>
          <cell r="D1857" t="str">
            <v>INGERRAND</v>
          </cell>
          <cell r="E1857" t="str">
            <v>Industrial Machinery</v>
          </cell>
        </row>
        <row r="1858">
          <cell r="B1858" t="str">
            <v>INGERSOLL RAND INDIA LTD</v>
          </cell>
          <cell r="C1858">
            <v>500210</v>
          </cell>
          <cell r="D1858" t="str">
            <v>INGERRAND</v>
          </cell>
          <cell r="E1858" t="str">
            <v>Industrial Machinery</v>
          </cell>
        </row>
        <row r="1859">
          <cell r="B1859" t="str">
            <v>INLAND PRINTERS LTD</v>
          </cell>
          <cell r="C1859">
            <v>530787</v>
          </cell>
          <cell r="D1859" t="str">
            <v>Not Listed</v>
          </cell>
          <cell r="E1859" t="str">
            <v>Comm.Printing/Stationery</v>
          </cell>
        </row>
        <row r="1860">
          <cell r="B1860" t="str">
            <v>INNOCORP LTD.</v>
          </cell>
          <cell r="C1860">
            <v>531929</v>
          </cell>
          <cell r="D1860" t="str">
            <v>INNOCORP</v>
          </cell>
          <cell r="E1860" t="str">
            <v>Plastic Products</v>
          </cell>
        </row>
        <row r="1861">
          <cell r="B1861" t="str">
            <v>INNOVANA THINKLABS LTD</v>
          </cell>
          <cell r="C1861" t="str">
            <v>Not Listed</v>
          </cell>
          <cell r="D1861" t="str">
            <v>INNOVANA</v>
          </cell>
          <cell r="E1861" t="str">
            <v>SME</v>
          </cell>
        </row>
        <row r="1862">
          <cell r="B1862" t="str">
            <v>INNOVASSYNTH INVESTMENTS LTD</v>
          </cell>
          <cell r="C1862">
            <v>533315</v>
          </cell>
          <cell r="D1862" t="str">
            <v>Not Listed</v>
          </cell>
          <cell r="E1862" t="str">
            <v>Holding Companies</v>
          </cell>
        </row>
        <row r="1863">
          <cell r="B1863" t="str">
            <v>INNOVATION SOFTWARE EXPORTS LTD</v>
          </cell>
          <cell r="C1863">
            <v>517433</v>
          </cell>
          <cell r="D1863" t="str">
            <v>Not Listed</v>
          </cell>
          <cell r="E1863" t="str">
            <v>IT Consulting &amp; Software</v>
          </cell>
        </row>
        <row r="1864">
          <cell r="B1864" t="str">
            <v>INNOVATIVE IDEALS AND SERVICES (INDIA) LTD</v>
          </cell>
          <cell r="C1864">
            <v>541983</v>
          </cell>
          <cell r="D1864" t="str">
            <v>Not Listed</v>
          </cell>
          <cell r="E1864" t="str">
            <v>Sp.Consumer Services</v>
          </cell>
        </row>
        <row r="1865">
          <cell r="B1865" t="str">
            <v>INNOVATIVE IDEALS AND SERVICES INDIA LTD</v>
          </cell>
          <cell r="C1865">
            <v>541983</v>
          </cell>
          <cell r="D1865" t="str">
            <v>Not Listed</v>
          </cell>
          <cell r="E1865" t="str">
            <v>Sp.Consumer Services</v>
          </cell>
        </row>
        <row r="1866">
          <cell r="B1866" t="str">
            <v>INNOVATIVE TECH PACK LTD</v>
          </cell>
          <cell r="C1866">
            <v>523840</v>
          </cell>
          <cell r="D1866" t="str">
            <v>Not Listed</v>
          </cell>
          <cell r="E1866" t="str">
            <v>Containers &amp; Packaging</v>
          </cell>
        </row>
        <row r="1867">
          <cell r="B1867" t="str">
            <v>INNOVATIVE TYRES AND TUBES LTD</v>
          </cell>
          <cell r="C1867" t="str">
            <v>Not Listed</v>
          </cell>
          <cell r="D1867" t="str">
            <v>INNOVATIVE</v>
          </cell>
          <cell r="E1867" t="str">
            <v>SME</v>
          </cell>
        </row>
        <row r="1868">
          <cell r="B1868" t="str">
            <v>INNOVATORS FACADE SYSTEMS LTD</v>
          </cell>
          <cell r="C1868">
            <v>541353</v>
          </cell>
          <cell r="D1868" t="str">
            <v>Not Listed</v>
          </cell>
          <cell r="E1868" t="str">
            <v>Construction &amp; Engineering</v>
          </cell>
        </row>
        <row r="1869">
          <cell r="B1869" t="str">
            <v>INOX LEISURE LTD</v>
          </cell>
          <cell r="C1869">
            <v>532706</v>
          </cell>
          <cell r="D1869" t="str">
            <v>INOXLEISUR</v>
          </cell>
          <cell r="E1869" t="str">
            <v>Specialty Retail</v>
          </cell>
        </row>
        <row r="1870">
          <cell r="B1870" t="str">
            <v>INOX WIND LTD</v>
          </cell>
          <cell r="C1870">
            <v>539083</v>
          </cell>
          <cell r="D1870" t="str">
            <v>INOXWIND</v>
          </cell>
          <cell r="E1870" t="str">
            <v>Heavy Electrical Equipment</v>
          </cell>
        </row>
        <row r="1871">
          <cell r="B1871" t="str">
            <v>INSECTICIDES (INDIA) LTD</v>
          </cell>
          <cell r="C1871">
            <v>532851</v>
          </cell>
          <cell r="D1871" t="str">
            <v>INSECTICID</v>
          </cell>
          <cell r="E1871" t="str">
            <v>Agrochemicals</v>
          </cell>
        </row>
        <row r="1872">
          <cell r="B1872" t="str">
            <v>INSECTICIDES INDIA LTD</v>
          </cell>
          <cell r="C1872">
            <v>532851</v>
          </cell>
          <cell r="D1872" t="str">
            <v>INSECTICID</v>
          </cell>
          <cell r="E1872" t="str">
            <v>Agrochemicals</v>
          </cell>
        </row>
        <row r="1873">
          <cell r="B1873" t="str">
            <v>INSILCO LTD</v>
          </cell>
          <cell r="C1873">
            <v>500211</v>
          </cell>
          <cell r="D1873" t="str">
            <v>Not Listed</v>
          </cell>
          <cell r="E1873" t="str">
            <v>Other Industrial Goods</v>
          </cell>
        </row>
        <row r="1874">
          <cell r="B1874" t="str">
            <v>INSPIRISYS SOLUTIONS LTD</v>
          </cell>
          <cell r="C1874">
            <v>532774</v>
          </cell>
          <cell r="D1874" t="str">
            <v>INSPIRISYS</v>
          </cell>
          <cell r="E1874" t="str">
            <v>IT Consulting &amp; Software</v>
          </cell>
        </row>
        <row r="1875">
          <cell r="B1875" t="str">
            <v>INTEC CAPITAL LTD</v>
          </cell>
          <cell r="C1875">
            <v>526871</v>
          </cell>
          <cell r="D1875" t="str">
            <v>Not Listed</v>
          </cell>
          <cell r="E1875" t="str">
            <v>Other Financial Services</v>
          </cell>
        </row>
        <row r="1876">
          <cell r="B1876" t="str">
            <v>INTEGRA CAPITAL MANAGEMENT LTD.</v>
          </cell>
          <cell r="C1876">
            <v>531314</v>
          </cell>
          <cell r="D1876" t="str">
            <v>INTCAPM</v>
          </cell>
          <cell r="E1876" t="str">
            <v>Finance (including NBFCs)</v>
          </cell>
        </row>
        <row r="1877">
          <cell r="B1877" t="str">
            <v>INTEGRA ENGINEERING (INDIA) LTD</v>
          </cell>
          <cell r="C1877">
            <v>505358</v>
          </cell>
          <cell r="D1877" t="str">
            <v>Not Listed</v>
          </cell>
          <cell r="E1877" t="str">
            <v>Industrial Machinery</v>
          </cell>
        </row>
        <row r="1878">
          <cell r="B1878" t="str">
            <v>INTEGRA ENGINEERING INDIA LTD</v>
          </cell>
          <cell r="C1878">
            <v>505358</v>
          </cell>
          <cell r="D1878" t="str">
            <v>Not Listed</v>
          </cell>
          <cell r="E1878" t="str">
            <v>Industrial Machinery</v>
          </cell>
        </row>
        <row r="1879">
          <cell r="B1879" t="str">
            <v>INTEGRA GARMENTS AND TEXTILES LTD</v>
          </cell>
          <cell r="C1879">
            <v>535958</v>
          </cell>
          <cell r="D1879" t="str">
            <v>INTEGRA</v>
          </cell>
          <cell r="E1879" t="str">
            <v>Other Apparels &amp; Accessories</v>
          </cell>
        </row>
        <row r="1880">
          <cell r="B1880" t="str">
            <v>INTEGRA SWITCHGEAR LTD</v>
          </cell>
          <cell r="C1880">
            <v>517423</v>
          </cell>
          <cell r="D1880" t="str">
            <v>Not Listed</v>
          </cell>
          <cell r="E1880" t="str">
            <v>Other Elect.Equip./ Prod.</v>
          </cell>
        </row>
        <row r="1881">
          <cell r="B1881" t="str">
            <v>INTEGRA TELECOMMUNICATION &amp; SOFTWARE LTD</v>
          </cell>
          <cell r="C1881">
            <v>536868</v>
          </cell>
          <cell r="D1881" t="str">
            <v>Not Listed</v>
          </cell>
          <cell r="E1881" t="str">
            <v>IT Consulting &amp; Software</v>
          </cell>
        </row>
        <row r="1882">
          <cell r="B1882" t="str">
            <v>INTEGRATED CAPITAL SERVICES LTD</v>
          </cell>
          <cell r="C1882">
            <v>539149</v>
          </cell>
          <cell r="D1882" t="str">
            <v>Not Listed</v>
          </cell>
          <cell r="E1882" t="str">
            <v>Consulting Services</v>
          </cell>
        </row>
        <row r="1883">
          <cell r="B1883" t="str">
            <v>INTEGRATED FINANCIAL SERVICES LTD</v>
          </cell>
          <cell r="C1883">
            <v>500212</v>
          </cell>
          <cell r="D1883" t="str">
            <v>Not Listed</v>
          </cell>
          <cell r="E1883" t="str">
            <v>Finance (including NBFCs)</v>
          </cell>
        </row>
        <row r="1884">
          <cell r="B1884" t="str">
            <v>INTEGRATED PROTEINS LTD</v>
          </cell>
          <cell r="C1884">
            <v>519606</v>
          </cell>
          <cell r="D1884" t="str">
            <v>Not Listed</v>
          </cell>
          <cell r="E1884" t="str">
            <v>Edible Oils</v>
          </cell>
        </row>
        <row r="1885">
          <cell r="B1885" t="str">
            <v>INTEGRATED TECHNOLOGIES LTD</v>
          </cell>
          <cell r="C1885">
            <v>531889</v>
          </cell>
          <cell r="D1885" t="str">
            <v>Not Listed</v>
          </cell>
          <cell r="E1885" t="str">
            <v>Electronic Components</v>
          </cell>
        </row>
        <row r="1886">
          <cell r="B1886" t="str">
            <v>INTEGRATED THERMOPLASTICS LTD</v>
          </cell>
          <cell r="C1886">
            <v>530921</v>
          </cell>
          <cell r="D1886" t="str">
            <v>Not Listed</v>
          </cell>
          <cell r="E1886" t="str">
            <v>Plastic Products</v>
          </cell>
        </row>
        <row r="1887">
          <cell r="B1887" t="str">
            <v>INTELLECT DESIGN ARENA LTD</v>
          </cell>
          <cell r="C1887">
            <v>538835</v>
          </cell>
          <cell r="D1887" t="str">
            <v>INTELLECT</v>
          </cell>
          <cell r="E1887" t="str">
            <v>IT Software Products</v>
          </cell>
        </row>
        <row r="1888">
          <cell r="B1888" t="str">
            <v>INTELLIVATE CAPITAL ADVISORS LTD</v>
          </cell>
          <cell r="C1888">
            <v>534732</v>
          </cell>
          <cell r="D1888" t="str">
            <v>Not Listed</v>
          </cell>
          <cell r="E1888" t="str">
            <v>Other Financial Services</v>
          </cell>
        </row>
        <row r="1889">
          <cell r="B1889" t="str">
            <v>INTELLIVATE CAPITAL VENTURES LTD</v>
          </cell>
          <cell r="C1889">
            <v>506134</v>
          </cell>
          <cell r="D1889" t="str">
            <v>Not Listed</v>
          </cell>
          <cell r="E1889" t="str">
            <v>Plastic Products</v>
          </cell>
        </row>
        <row r="1890">
          <cell r="B1890" t="str">
            <v>INTENSE TECHNOLOGIES LTD</v>
          </cell>
          <cell r="C1890">
            <v>532326</v>
          </cell>
          <cell r="D1890" t="str">
            <v>INTENTECH</v>
          </cell>
          <cell r="E1890" t="str">
            <v>IT Software Products</v>
          </cell>
        </row>
        <row r="1891">
          <cell r="B1891" t="str">
            <v>INTER GLOBE FINANCE LTD</v>
          </cell>
          <cell r="C1891">
            <v>511391</v>
          </cell>
          <cell r="D1891" t="str">
            <v>Not Listed</v>
          </cell>
          <cell r="E1891" t="str">
            <v>Finance (including NBFCs)</v>
          </cell>
        </row>
        <row r="1892">
          <cell r="B1892" t="str">
            <v>INTER STATE OIL CARRIER LTD</v>
          </cell>
          <cell r="C1892">
            <v>530259</v>
          </cell>
          <cell r="D1892" t="str">
            <v>Not Listed</v>
          </cell>
          <cell r="E1892" t="str">
            <v>Surface Transportation</v>
          </cell>
        </row>
        <row r="1893">
          <cell r="B1893" t="str">
            <v>INTERACTIVE FINANCIAL SERVICES LTD</v>
          </cell>
          <cell r="C1893">
            <v>539692</v>
          </cell>
          <cell r="D1893" t="str">
            <v>Not Listed</v>
          </cell>
          <cell r="E1893" t="str">
            <v>Finance (including NBFCs)</v>
          </cell>
        </row>
        <row r="1894">
          <cell r="B1894" t="str">
            <v>INTERGLOBE AVIATION LTD</v>
          </cell>
          <cell r="C1894">
            <v>539448</v>
          </cell>
          <cell r="D1894" t="str">
            <v>INDIGO</v>
          </cell>
          <cell r="E1894" t="str">
            <v>Airlines</v>
          </cell>
        </row>
        <row r="1895">
          <cell r="B1895" t="str">
            <v>INTERLINK PETROLEUM LTD</v>
          </cell>
          <cell r="C1895">
            <v>526512</v>
          </cell>
          <cell r="D1895" t="str">
            <v>Not Listed</v>
          </cell>
          <cell r="E1895" t="str">
            <v>Exploration &amp; Production</v>
          </cell>
        </row>
        <row r="1896">
          <cell r="B1896" t="str">
            <v>INTERNATIONAL COMBUSTION (INDIA) LTD</v>
          </cell>
          <cell r="C1896">
            <v>505737</v>
          </cell>
          <cell r="D1896" t="str">
            <v>Not Listed</v>
          </cell>
          <cell r="E1896" t="str">
            <v>Industrial Machinery</v>
          </cell>
        </row>
        <row r="1897">
          <cell r="B1897" t="str">
            <v>INTERNATIONAL COMBUSTION INDIA LTD</v>
          </cell>
          <cell r="C1897">
            <v>505737</v>
          </cell>
          <cell r="D1897" t="str">
            <v>Not Listed</v>
          </cell>
          <cell r="E1897" t="str">
            <v>Industrial Machinery</v>
          </cell>
        </row>
        <row r="1898">
          <cell r="B1898" t="str">
            <v>INTERNATIONAL CONSTRUCTIONS LTD</v>
          </cell>
          <cell r="C1898" t="str">
            <v>Not Listed</v>
          </cell>
          <cell r="D1898" t="str">
            <v>SUBCAPCITY</v>
          </cell>
          <cell r="E1898" t="str">
            <v>Others</v>
          </cell>
        </row>
        <row r="1899">
          <cell r="B1899" t="str">
            <v>INTERNATIONAL CONVEYORS LTD</v>
          </cell>
          <cell r="C1899">
            <v>509709</v>
          </cell>
          <cell r="D1899" t="str">
            <v>Not Listed</v>
          </cell>
          <cell r="E1899" t="str">
            <v>Plastic Products</v>
          </cell>
        </row>
        <row r="1900">
          <cell r="B1900" t="str">
            <v>INTERNATIONAL DATA MANAGEMENT LTD</v>
          </cell>
          <cell r="C1900">
            <v>517044</v>
          </cell>
          <cell r="D1900" t="str">
            <v>Not Listed</v>
          </cell>
          <cell r="E1900" t="str">
            <v>Consulting Services</v>
          </cell>
        </row>
        <row r="1901">
          <cell r="B1901" t="str">
            <v>INTERNATIONAL HOUSING FINANCE CORPORATION LTD</v>
          </cell>
          <cell r="C1901">
            <v>530781</v>
          </cell>
          <cell r="D1901" t="str">
            <v>Not Listed</v>
          </cell>
          <cell r="E1901" t="str">
            <v xml:space="preserve">Housing Finance </v>
          </cell>
        </row>
        <row r="1902">
          <cell r="B1902" t="str">
            <v>INTERNATIONAL PAPER APPM LTD</v>
          </cell>
          <cell r="C1902">
            <v>502330</v>
          </cell>
          <cell r="D1902" t="str">
            <v>IPAPPM</v>
          </cell>
          <cell r="E1902" t="str">
            <v>Paper &amp; Paper Products</v>
          </cell>
        </row>
        <row r="1903">
          <cell r="B1903" t="str">
            <v>INTERNATIONAL TRAVEL HOUSE LTD</v>
          </cell>
          <cell r="C1903">
            <v>500213</v>
          </cell>
          <cell r="D1903" t="str">
            <v>Not Listed</v>
          </cell>
          <cell r="E1903" t="str">
            <v>Travel Support Services</v>
          </cell>
        </row>
        <row r="1904">
          <cell r="B1904" t="str">
            <v>INTERWORLD DIGITAL LTD</v>
          </cell>
          <cell r="C1904">
            <v>532072</v>
          </cell>
          <cell r="D1904" t="str">
            <v>Not Listed</v>
          </cell>
          <cell r="E1904" t="str">
            <v>Movies &amp; Entertainment</v>
          </cell>
        </row>
        <row r="1905">
          <cell r="B1905" t="str">
            <v>INTRASOFT TECHNOLOGIES LTD</v>
          </cell>
          <cell r="C1905">
            <v>533181</v>
          </cell>
          <cell r="D1905" t="str">
            <v>ISFT</v>
          </cell>
          <cell r="E1905" t="str">
            <v>Internet &amp; Catalogue Retail</v>
          </cell>
        </row>
        <row r="1906">
          <cell r="B1906" t="str">
            <v>INVENTURE GROWTH &amp; SECURITIES LTD</v>
          </cell>
          <cell r="C1906">
            <v>533506</v>
          </cell>
          <cell r="D1906" t="str">
            <v>INVENTURE</v>
          </cell>
          <cell r="E1906" t="str">
            <v>Other Financial Services</v>
          </cell>
        </row>
        <row r="1907">
          <cell r="B1907" t="str">
            <v>Invesco India Gold Exchange Traded Fund</v>
          </cell>
          <cell r="C1907">
            <v>533172</v>
          </cell>
          <cell r="D1907" t="str">
            <v>IVZINGOLD</v>
          </cell>
          <cell r="E1907" t="str">
            <v>Other Financial Services</v>
          </cell>
        </row>
        <row r="1908">
          <cell r="B1908" t="str">
            <v>INVESTMENT &amp; PRECISION CASTINGS LTD</v>
          </cell>
          <cell r="C1908">
            <v>504786</v>
          </cell>
          <cell r="D1908" t="str">
            <v>Not Listed</v>
          </cell>
          <cell r="E1908" t="str">
            <v>Other Industrial Products</v>
          </cell>
        </row>
        <row r="1909">
          <cell r="B1909" t="str">
            <v>INVICTA MEDITEK LTD</v>
          </cell>
          <cell r="C1909">
            <v>523844</v>
          </cell>
          <cell r="D1909" t="str">
            <v>Not Listed</v>
          </cell>
          <cell r="E1909" t="str">
            <v>Medical Equipment</v>
          </cell>
        </row>
        <row r="1910">
          <cell r="B1910" t="str">
            <v>IO SYSTEM LTD</v>
          </cell>
          <cell r="C1910">
            <v>523752</v>
          </cell>
          <cell r="D1910" t="str">
            <v>Not Listed</v>
          </cell>
          <cell r="E1910" t="str">
            <v>Industrial Machinery</v>
          </cell>
        </row>
        <row r="1911">
          <cell r="B1911" t="str">
            <v>IOL CHEMICALS AND PHARMACEUTICALS LTD</v>
          </cell>
          <cell r="C1911">
            <v>524164</v>
          </cell>
          <cell r="D1911" t="str">
            <v>IOLCP</v>
          </cell>
          <cell r="E1911" t="str">
            <v>Pharmaceuticals</v>
          </cell>
        </row>
        <row r="1912">
          <cell r="B1912" t="str">
            <v>ION EXCHANGE (INDIA) LTD</v>
          </cell>
          <cell r="C1912">
            <v>500214</v>
          </cell>
          <cell r="D1912" t="str">
            <v>Not Listed</v>
          </cell>
          <cell r="E1912" t="str">
            <v>Industrial Machinery</v>
          </cell>
        </row>
        <row r="1913">
          <cell r="B1913" t="str">
            <v>ION EXCHANGE INDIA LTD</v>
          </cell>
          <cell r="C1913">
            <v>500214</v>
          </cell>
          <cell r="D1913" t="str">
            <v>Not Listed</v>
          </cell>
          <cell r="E1913" t="str">
            <v>Industrial Machinery</v>
          </cell>
        </row>
        <row r="1914">
          <cell r="B1914" t="str">
            <v>IP RINGS LTD</v>
          </cell>
          <cell r="C1914">
            <v>523638</v>
          </cell>
          <cell r="D1914" t="str">
            <v>Not Listed</v>
          </cell>
          <cell r="E1914" t="str">
            <v>Auto Parts &amp; Equipment</v>
          </cell>
        </row>
        <row r="1915">
          <cell r="B1915" t="str">
            <v>IPCA LABORATORIES LTD</v>
          </cell>
          <cell r="C1915">
            <v>524494</v>
          </cell>
          <cell r="D1915" t="str">
            <v>IPCALAB</v>
          </cell>
          <cell r="E1915" t="str">
            <v>Pharmaceuticals</v>
          </cell>
        </row>
        <row r="1916">
          <cell r="B1916" t="str">
            <v>I-POWER SOLUTIONS (INDIA) LTD</v>
          </cell>
          <cell r="C1916">
            <v>512405</v>
          </cell>
          <cell r="D1916" t="str">
            <v>Not Listed</v>
          </cell>
          <cell r="E1916" t="str">
            <v>Internet Software &amp; Services</v>
          </cell>
        </row>
        <row r="1917">
          <cell r="B1917" t="str">
            <v>I-POWER SOLUTIONS INDIA LTD</v>
          </cell>
          <cell r="C1917">
            <v>512405</v>
          </cell>
          <cell r="D1917" t="str">
            <v>Not Listed</v>
          </cell>
          <cell r="E1917" t="str">
            <v>Internet Software &amp; Services</v>
          </cell>
        </row>
        <row r="1918">
          <cell r="B1918" t="str">
            <v>IRB INFRASTRUCTURE DEVELOPERS LTD</v>
          </cell>
          <cell r="C1918">
            <v>532947</v>
          </cell>
          <cell r="D1918" t="str">
            <v>IRB</v>
          </cell>
          <cell r="E1918" t="str">
            <v>Roads &amp; Highways</v>
          </cell>
        </row>
        <row r="1919">
          <cell r="B1919" t="str">
            <v>IRB InvIT Fund</v>
          </cell>
          <cell r="C1919">
            <v>540526</v>
          </cell>
          <cell r="D1919" t="str">
            <v>IRBINVIT</v>
          </cell>
          <cell r="E1919" t="str">
            <v>Investment Companies</v>
          </cell>
        </row>
        <row r="1920">
          <cell r="B1920" t="str">
            <v>IRCON INTERNATIONAL LTD</v>
          </cell>
          <cell r="C1920">
            <v>541956</v>
          </cell>
          <cell r="D1920" t="str">
            <v>IRCON</v>
          </cell>
          <cell r="E1920" t="str">
            <v>Construction &amp; Engineering</v>
          </cell>
        </row>
        <row r="1921">
          <cell r="B1921" t="str">
            <v>IRIS BUSINESS SERVICES LTD</v>
          </cell>
          <cell r="C1921">
            <v>540735</v>
          </cell>
          <cell r="D1921" t="str">
            <v>Not Listed</v>
          </cell>
          <cell r="E1921" t="str">
            <v>IT Software Products</v>
          </cell>
        </row>
        <row r="1922">
          <cell r="B1922" t="str">
            <v>IRIS CLOTHINGS LTD</v>
          </cell>
          <cell r="C1922" t="str">
            <v>Not Listed</v>
          </cell>
          <cell r="D1922" t="str">
            <v>IRISDOREME</v>
          </cell>
          <cell r="E1922" t="str">
            <v>SME</v>
          </cell>
        </row>
        <row r="1923">
          <cell r="B1923" t="str">
            <v>IRIS MEDIAWORKS LTD</v>
          </cell>
          <cell r="C1923">
            <v>531337</v>
          </cell>
          <cell r="D1923" t="str">
            <v>Not Listed</v>
          </cell>
          <cell r="E1923" t="str">
            <v>Other Financial Services</v>
          </cell>
        </row>
        <row r="1924">
          <cell r="B1924" t="str">
            <v>ISF LTD</v>
          </cell>
          <cell r="C1924">
            <v>526859</v>
          </cell>
          <cell r="D1924" t="str">
            <v>Not Listed</v>
          </cell>
          <cell r="E1924" t="str">
            <v>Finance (including NBFCs)</v>
          </cell>
        </row>
        <row r="1925">
          <cell r="B1925" t="str">
            <v>ISGEC HEAVY ENGINEERING LTD</v>
          </cell>
          <cell r="C1925">
            <v>533033</v>
          </cell>
          <cell r="D1925" t="str">
            <v>Not Listed</v>
          </cell>
          <cell r="E1925" t="str">
            <v>Industrial Machinery</v>
          </cell>
        </row>
        <row r="1926">
          <cell r="B1926" t="str">
            <v>ISHAAN INFRASTRUCTURES AND SHELTERS LTD</v>
          </cell>
          <cell r="C1926">
            <v>540134</v>
          </cell>
          <cell r="D1926" t="str">
            <v>Not Listed</v>
          </cell>
          <cell r="E1926" t="str">
            <v>Construction &amp; Engineering</v>
          </cell>
        </row>
        <row r="1927">
          <cell r="B1927" t="str">
            <v>ISHAN DYES &amp; CHEMICALS LTD</v>
          </cell>
          <cell r="C1927">
            <v>531109</v>
          </cell>
          <cell r="D1927" t="str">
            <v>Not Listed</v>
          </cell>
          <cell r="E1927" t="str">
            <v>Specialty Chemicals</v>
          </cell>
        </row>
        <row r="1928">
          <cell r="B1928" t="str">
            <v>ISHITA DRUGS &amp; INDUSTRIES LTD</v>
          </cell>
          <cell r="C1928">
            <v>524400</v>
          </cell>
          <cell r="D1928" t="str">
            <v>Not Listed</v>
          </cell>
          <cell r="E1928" t="str">
            <v>Pharmaceuticals</v>
          </cell>
        </row>
        <row r="1929">
          <cell r="B1929" t="str">
            <v>ISHWARSHAKTI HOLDINGS &amp; TRADERS LTD</v>
          </cell>
          <cell r="C1929">
            <v>506161</v>
          </cell>
          <cell r="D1929" t="str">
            <v>Not Listed</v>
          </cell>
          <cell r="E1929" t="str">
            <v>Finance (including NBFCs)</v>
          </cell>
        </row>
        <row r="1930">
          <cell r="B1930" t="str">
            <v>ISL CONSULTING LTD</v>
          </cell>
          <cell r="C1930">
            <v>511609</v>
          </cell>
          <cell r="D1930" t="str">
            <v>Not Listed</v>
          </cell>
          <cell r="E1930" t="str">
            <v>Finance (including NBFCs)</v>
          </cell>
        </row>
        <row r="1931">
          <cell r="B1931" t="str">
            <v>ISMT LTD</v>
          </cell>
          <cell r="C1931">
            <v>532479</v>
          </cell>
          <cell r="D1931" t="str">
            <v>ISMTLTD</v>
          </cell>
          <cell r="E1931" t="str">
            <v>Iron &amp; Steel/Interm.Products</v>
          </cell>
        </row>
        <row r="1932">
          <cell r="B1932" t="str">
            <v>IST LTD</v>
          </cell>
          <cell r="C1932">
            <v>508807</v>
          </cell>
          <cell r="D1932" t="str">
            <v>Not Listed</v>
          </cell>
          <cell r="E1932" t="str">
            <v>Auto Parts &amp; Equipment</v>
          </cell>
        </row>
        <row r="1933">
          <cell r="B1933" t="str">
            <v>ISTREET NETWORK LTD</v>
          </cell>
          <cell r="C1933">
            <v>524622</v>
          </cell>
          <cell r="D1933" t="str">
            <v>Not Listed</v>
          </cell>
          <cell r="E1933" t="str">
            <v>Internet &amp; Catalogue Retail</v>
          </cell>
        </row>
        <row r="1934">
          <cell r="B1934" t="str">
            <v>ITC LTD</v>
          </cell>
          <cell r="C1934">
            <v>500875</v>
          </cell>
          <cell r="D1934" t="str">
            <v>ITC</v>
          </cell>
          <cell r="E1934" t="str">
            <v>Cigarettes-Tobacco Products</v>
          </cell>
        </row>
        <row r="1935">
          <cell r="B1935" t="str">
            <v>ITD CEMENTATION (INDIA) LTD</v>
          </cell>
          <cell r="C1935">
            <v>509496</v>
          </cell>
          <cell r="D1935" t="str">
            <v>ITDCEM</v>
          </cell>
          <cell r="E1935" t="str">
            <v>Construction &amp; Engineering</v>
          </cell>
        </row>
        <row r="1936">
          <cell r="B1936" t="str">
            <v>ITD CEMENTATION INDIA LTD</v>
          </cell>
          <cell r="C1936">
            <v>509496</v>
          </cell>
          <cell r="D1936" t="str">
            <v>ITDCEM</v>
          </cell>
          <cell r="E1936" t="str">
            <v>Construction &amp; Engineering</v>
          </cell>
        </row>
        <row r="1937">
          <cell r="B1937" t="str">
            <v>ITI LTD</v>
          </cell>
          <cell r="C1937">
            <v>523610</v>
          </cell>
          <cell r="D1937" t="str">
            <v>ITI</v>
          </cell>
          <cell r="E1937" t="str">
            <v>Telecom Equipment</v>
          </cell>
        </row>
        <row r="1938">
          <cell r="B1938" t="str">
            <v>ITL INDUSTRIES LTD</v>
          </cell>
          <cell r="C1938">
            <v>522183</v>
          </cell>
          <cell r="D1938" t="str">
            <v>Not Listed</v>
          </cell>
          <cell r="E1938" t="str">
            <v>Industrial Machinery</v>
          </cell>
        </row>
        <row r="1939">
          <cell r="B1939" t="str">
            <v>IVP LTD</v>
          </cell>
          <cell r="C1939">
            <v>507580</v>
          </cell>
          <cell r="D1939" t="str">
            <v>IVP</v>
          </cell>
          <cell r="E1939" t="str">
            <v>Commodity Chemicals</v>
          </cell>
        </row>
        <row r="1940">
          <cell r="B1940" t="str">
            <v>IVRCL LTD</v>
          </cell>
          <cell r="C1940">
            <v>530773</v>
          </cell>
          <cell r="D1940" t="str">
            <v>IVRCLINFRA</v>
          </cell>
          <cell r="E1940" t="str">
            <v>Construction &amp; Engineering</v>
          </cell>
        </row>
        <row r="1941">
          <cell r="B1941" t="str">
            <v>IYKOT HITECH TOOLROOM LTD</v>
          </cell>
          <cell r="C1941">
            <v>522245</v>
          </cell>
          <cell r="D1941" t="str">
            <v>Not Listed</v>
          </cell>
          <cell r="E1941" t="str">
            <v>Other Industrial Goods</v>
          </cell>
        </row>
        <row r="1942">
          <cell r="B1942" t="str">
            <v>IZMO LTD</v>
          </cell>
          <cell r="C1942">
            <v>532341</v>
          </cell>
          <cell r="D1942" t="str">
            <v>IZMO</v>
          </cell>
          <cell r="E1942" t="str">
            <v>IT Consulting &amp; Software</v>
          </cell>
        </row>
        <row r="1943">
          <cell r="B1943" t="str">
            <v>J  TAPARIA PROJECTS LTD</v>
          </cell>
          <cell r="C1943">
            <v>538539</v>
          </cell>
          <cell r="D1943" t="str">
            <v>Not Listed</v>
          </cell>
          <cell r="E1943" t="str">
            <v>Investment Companies</v>
          </cell>
        </row>
        <row r="1944">
          <cell r="B1944" t="str">
            <v>J J EXPORTERS LTD</v>
          </cell>
          <cell r="C1944">
            <v>530049</v>
          </cell>
          <cell r="D1944" t="str">
            <v>Not Listed</v>
          </cell>
          <cell r="E1944" t="str">
            <v>Textiles</v>
          </cell>
        </row>
        <row r="1945">
          <cell r="B1945" t="str">
            <v>J J FINANCE CORPORATION LTD</v>
          </cell>
          <cell r="C1945">
            <v>523062</v>
          </cell>
          <cell r="D1945" t="str">
            <v>Not Listed</v>
          </cell>
          <cell r="E1945" t="str">
            <v>Finance (including NBFCs)</v>
          </cell>
        </row>
        <row r="1946">
          <cell r="B1946" t="str">
            <v>J KUMAR INFRAPROJECTS LTD</v>
          </cell>
          <cell r="C1946">
            <v>532940</v>
          </cell>
          <cell r="D1946" t="str">
            <v>JKIL</v>
          </cell>
          <cell r="E1946" t="str">
            <v>Construction &amp; Engineering</v>
          </cell>
        </row>
        <row r="1947">
          <cell r="B1947" t="str">
            <v>J L MORISON (INDIA) LTD</v>
          </cell>
          <cell r="C1947">
            <v>506522</v>
          </cell>
          <cell r="D1947" t="str">
            <v>Not Listed</v>
          </cell>
          <cell r="E1947" t="str">
            <v>Personal Products</v>
          </cell>
        </row>
        <row r="1948">
          <cell r="B1948" t="str">
            <v>J L MORISON INDIA LTD</v>
          </cell>
          <cell r="C1948">
            <v>506522</v>
          </cell>
          <cell r="D1948" t="str">
            <v>Not Listed</v>
          </cell>
          <cell r="E1948" t="str">
            <v>Personal Products</v>
          </cell>
        </row>
        <row r="1949">
          <cell r="B1949" t="str">
            <v>J R FOODS LTD</v>
          </cell>
          <cell r="C1949">
            <v>530915</v>
          </cell>
          <cell r="D1949" t="str">
            <v>Not Listed</v>
          </cell>
          <cell r="E1949" t="str">
            <v>Edible Oils</v>
          </cell>
        </row>
        <row r="1950">
          <cell r="B1950" t="str">
            <v>JACKSON INVESTMENTS LTD</v>
          </cell>
          <cell r="C1950">
            <v>538422</v>
          </cell>
          <cell r="D1950" t="str">
            <v>Not Listed</v>
          </cell>
          <cell r="E1950" t="str">
            <v>Investment Companies</v>
          </cell>
        </row>
        <row r="1951">
          <cell r="B1951" t="str">
            <v>JAGAN LAMPS LTD</v>
          </cell>
          <cell r="C1951">
            <v>530711</v>
          </cell>
          <cell r="D1951" t="str">
            <v>Not Listed</v>
          </cell>
          <cell r="E1951" t="str">
            <v>Auto Parts &amp; Equipment</v>
          </cell>
        </row>
        <row r="1952">
          <cell r="B1952" t="str">
            <v>JAGATJIT INDUSTRIES LTD</v>
          </cell>
          <cell r="C1952">
            <v>507155</v>
          </cell>
          <cell r="D1952" t="str">
            <v>Not Listed</v>
          </cell>
          <cell r="E1952" t="str">
            <v>Breweries &amp; Distilleries</v>
          </cell>
        </row>
        <row r="1953">
          <cell r="B1953" t="str">
            <v>JAGJANANI TEXTILES LTD</v>
          </cell>
          <cell r="C1953">
            <v>532825</v>
          </cell>
          <cell r="D1953" t="str">
            <v>Not Listed</v>
          </cell>
          <cell r="E1953" t="str">
            <v>Textiles</v>
          </cell>
        </row>
        <row r="1954">
          <cell r="B1954" t="str">
            <v>JAGRAN PRAKASHAN LTD</v>
          </cell>
          <cell r="C1954">
            <v>532705</v>
          </cell>
          <cell r="D1954" t="str">
            <v>JAGRAN</v>
          </cell>
          <cell r="E1954" t="str">
            <v>Publishing</v>
          </cell>
        </row>
        <row r="1955">
          <cell r="B1955" t="str">
            <v>JAGSON AIRLINES LTD</v>
          </cell>
          <cell r="C1955">
            <v>520139</v>
          </cell>
          <cell r="D1955" t="str">
            <v>Not Listed</v>
          </cell>
          <cell r="E1955" t="str">
            <v>Airlines</v>
          </cell>
        </row>
        <row r="1956">
          <cell r="B1956" t="str">
            <v>JAGSONPAL FINANCE &amp; LEASING LTD</v>
          </cell>
          <cell r="C1956">
            <v>530601</v>
          </cell>
          <cell r="D1956" t="str">
            <v>Not Listed</v>
          </cell>
          <cell r="E1956" t="str">
            <v>Finance (including NBFCs)</v>
          </cell>
        </row>
        <row r="1957">
          <cell r="B1957" t="str">
            <v>JAGSONPAL PHARMACEUTICALS LTD</v>
          </cell>
          <cell r="C1957">
            <v>507789</v>
          </cell>
          <cell r="D1957" t="str">
            <v>JAGSNPHARM</v>
          </cell>
          <cell r="E1957" t="str">
            <v>Pharmaceuticals</v>
          </cell>
        </row>
        <row r="1958">
          <cell r="B1958" t="str">
            <v>JAI BALAJI INDUSTRIES LTD</v>
          </cell>
          <cell r="C1958">
            <v>532976</v>
          </cell>
          <cell r="D1958" t="str">
            <v>JAIBALAJI</v>
          </cell>
          <cell r="E1958" t="str">
            <v>Iron &amp; Steel/Interm.Products</v>
          </cell>
        </row>
        <row r="1959">
          <cell r="B1959" t="str">
            <v>JAI CORP LTD</v>
          </cell>
          <cell r="C1959">
            <v>512237</v>
          </cell>
          <cell r="D1959" t="str">
            <v>JAICORPLTD</v>
          </cell>
          <cell r="E1959" t="str">
            <v>Iron &amp; Steel/Interm.Products</v>
          </cell>
        </row>
        <row r="1960">
          <cell r="B1960" t="str">
            <v>JAI MATA GLASS LTD</v>
          </cell>
          <cell r="C1960">
            <v>523467</v>
          </cell>
          <cell r="D1960" t="str">
            <v>Not Listed</v>
          </cell>
          <cell r="E1960" t="str">
            <v>Construction Materials</v>
          </cell>
        </row>
        <row r="1961">
          <cell r="B1961" t="str">
            <v>JAIHIND PROJECTS LTD</v>
          </cell>
          <cell r="C1961">
            <v>531339</v>
          </cell>
          <cell r="D1961" t="str">
            <v>JAIHINDPRO</v>
          </cell>
          <cell r="E1961" t="str">
            <v>Construction &amp; Engineering</v>
          </cell>
        </row>
        <row r="1962">
          <cell r="B1962" t="str">
            <v>JAIHIND SYNTHETICS LTD</v>
          </cell>
          <cell r="C1962">
            <v>514312</v>
          </cell>
          <cell r="D1962" t="str">
            <v>Not Listed</v>
          </cell>
          <cell r="E1962" t="str">
            <v>Textiles</v>
          </cell>
        </row>
        <row r="1963">
          <cell r="B1963" t="str">
            <v>JAIN IRRIGATION SYSTEMS LTD</v>
          </cell>
          <cell r="C1963">
            <v>500219</v>
          </cell>
          <cell r="D1963" t="str">
            <v>JISLJALEQS</v>
          </cell>
          <cell r="E1963" t="str">
            <v>Plastic Products</v>
          </cell>
        </row>
        <row r="1964">
          <cell r="B1964" t="str">
            <v>JAIN IRRIGATION SYSTEMS LTD</v>
          </cell>
          <cell r="C1964">
            <v>570004</v>
          </cell>
          <cell r="D1964" t="str">
            <v>JISLDVREQS</v>
          </cell>
          <cell r="E1964" t="str">
            <v>Plastic Products</v>
          </cell>
        </row>
        <row r="1965">
          <cell r="B1965" t="str">
            <v>JAIN MARMO INDUSTRIES LTD</v>
          </cell>
          <cell r="C1965">
            <v>539119</v>
          </cell>
          <cell r="D1965" t="str">
            <v>Not Listed</v>
          </cell>
          <cell r="E1965" t="str">
            <v>Construction Materials</v>
          </cell>
        </row>
        <row r="1966">
          <cell r="B1966" t="str">
            <v>JAIN STUDIOS LTD</v>
          </cell>
          <cell r="C1966">
            <v>532033</v>
          </cell>
          <cell r="D1966" t="str">
            <v>JAINSTUDIO</v>
          </cell>
          <cell r="E1966" t="str">
            <v>Broadcasting &amp; Cable TV</v>
          </cell>
        </row>
        <row r="1967">
          <cell r="B1967" t="str">
            <v>JAINCO PROJECTS (INDIA) LTD</v>
          </cell>
          <cell r="C1967">
            <v>526865</v>
          </cell>
          <cell r="D1967" t="str">
            <v>Not Listed</v>
          </cell>
          <cell r="E1967" t="str">
            <v>Comm.Trading  &amp; Distribution</v>
          </cell>
        </row>
        <row r="1968">
          <cell r="B1968" t="str">
            <v>JAINCO PROJECTS INDIA LTD</v>
          </cell>
          <cell r="C1968">
            <v>526865</v>
          </cell>
          <cell r="D1968" t="str">
            <v>Not Listed</v>
          </cell>
          <cell r="E1968" t="str">
            <v>Comm.Trading  &amp; Distribution</v>
          </cell>
        </row>
        <row r="1969">
          <cell r="B1969" t="str">
            <v>JAINEX AAMCOL LTD</v>
          </cell>
          <cell r="C1969">
            <v>505212</v>
          </cell>
          <cell r="D1969" t="str">
            <v>Not Listed</v>
          </cell>
          <cell r="E1969" t="str">
            <v>Auto Parts &amp; Equipment</v>
          </cell>
        </row>
        <row r="1970">
          <cell r="B1970" t="str">
            <v>JAIPAN INDUSTRIES LTD</v>
          </cell>
          <cell r="C1970">
            <v>505840</v>
          </cell>
          <cell r="D1970" t="str">
            <v>Not Listed</v>
          </cell>
          <cell r="E1970" t="str">
            <v>Household Appliances</v>
          </cell>
        </row>
        <row r="1971">
          <cell r="B1971" t="str">
            <v>JAIPRAKASH ASSOCIATES LTD</v>
          </cell>
          <cell r="C1971">
            <v>532532</v>
          </cell>
          <cell r="D1971" t="str">
            <v>JPASSOCIAT</v>
          </cell>
          <cell r="E1971" t="str">
            <v>Construction &amp; Engineering</v>
          </cell>
        </row>
        <row r="1972">
          <cell r="B1972" t="str">
            <v>JAIPRAKASH POWER VENTURES LTD</v>
          </cell>
          <cell r="C1972">
            <v>532627</v>
          </cell>
          <cell r="D1972" t="str">
            <v>JPPOWER</v>
          </cell>
          <cell r="E1972" t="str">
            <v>Electric Utilities</v>
          </cell>
        </row>
        <row r="1973">
          <cell r="B1973" t="str">
            <v>JAISUKH DEALERS LTD</v>
          </cell>
          <cell r="C1973">
            <v>780001</v>
          </cell>
          <cell r="D1973" t="str">
            <v>Not Listed</v>
          </cell>
          <cell r="E1973" t="str">
            <v>Others</v>
          </cell>
        </row>
        <row r="1974">
          <cell r="B1974" t="str">
            <v>JAKHARIA FABRIC LTD</v>
          </cell>
          <cell r="C1974" t="str">
            <v>Not Listed</v>
          </cell>
          <cell r="D1974" t="str">
            <v>JAKHARIA</v>
          </cell>
          <cell r="E1974" t="str">
            <v>SME</v>
          </cell>
        </row>
        <row r="1975">
          <cell r="B1975" t="str">
            <v>JALAN TRANSOLUTIONS (INDIA) LTD</v>
          </cell>
          <cell r="C1975" t="str">
            <v>Not Listed</v>
          </cell>
          <cell r="D1975" t="str">
            <v>JALAN</v>
          </cell>
          <cell r="E1975" t="str">
            <v>SME</v>
          </cell>
        </row>
        <row r="1976">
          <cell r="B1976" t="str">
            <v>JALAN TRANSOLUTIONS INDIA LTD</v>
          </cell>
          <cell r="C1976" t="str">
            <v>Not Listed</v>
          </cell>
          <cell r="D1976" t="str">
            <v>JALAN</v>
          </cell>
          <cell r="E1976" t="str">
            <v>SME</v>
          </cell>
        </row>
        <row r="1977">
          <cell r="B1977" t="str">
            <v>JAMES WARREN TEA LTD</v>
          </cell>
          <cell r="C1977">
            <v>538564</v>
          </cell>
          <cell r="D1977" t="str">
            <v>Not Listed</v>
          </cell>
          <cell r="E1977" t="str">
            <v>Tea &amp; Coffee</v>
          </cell>
        </row>
        <row r="1978">
          <cell r="B1978" t="str">
            <v>JAMNA AUTO INDUSTRIES LTD</v>
          </cell>
          <cell r="C1978">
            <v>520051</v>
          </cell>
          <cell r="D1978" t="str">
            <v>JAMNAAUTO</v>
          </cell>
          <cell r="E1978" t="str">
            <v>Auto Parts &amp; Equipment</v>
          </cell>
        </row>
        <row r="1979">
          <cell r="B1979" t="str">
            <v>JAMSHRI RANJITSINGHJI SPG  &amp; WVG  MILLS CO LTD</v>
          </cell>
          <cell r="C1979">
            <v>502901</v>
          </cell>
          <cell r="D1979" t="str">
            <v>Not Listed</v>
          </cell>
          <cell r="E1979" t="str">
            <v>Textiles</v>
          </cell>
        </row>
        <row r="1980">
          <cell r="B1980" t="str">
            <v>JASCH INDUSTRIES LTD</v>
          </cell>
          <cell r="C1980">
            <v>500220</v>
          </cell>
          <cell r="D1980" t="str">
            <v>Not Listed</v>
          </cell>
          <cell r="E1980" t="str">
            <v>Textiles</v>
          </cell>
        </row>
        <row r="1981">
          <cell r="B1981" t="str">
            <v>JASH DEALMARK LTD</v>
          </cell>
          <cell r="C1981">
            <v>540394</v>
          </cell>
          <cell r="D1981" t="str">
            <v>Not Listed</v>
          </cell>
          <cell r="E1981" t="str">
            <v>Comm.Trading  &amp; Distribution</v>
          </cell>
        </row>
        <row r="1982">
          <cell r="B1982" t="str">
            <v>JASH ENGINEERING LTD</v>
          </cell>
          <cell r="C1982" t="str">
            <v>Not Listed</v>
          </cell>
          <cell r="D1982" t="str">
            <v>JASH</v>
          </cell>
          <cell r="E1982" t="str">
            <v>SME</v>
          </cell>
        </row>
        <row r="1983">
          <cell r="B1983" t="str">
            <v>JATTASHANKAR INDUSTIES LTD</v>
          </cell>
          <cell r="C1983">
            <v>514318</v>
          </cell>
          <cell r="D1983" t="str">
            <v>Not Listed</v>
          </cell>
          <cell r="E1983" t="str">
            <v>Textiles</v>
          </cell>
        </row>
        <row r="1984">
          <cell r="B1984" t="str">
            <v>JAUSS POLYMERS LTD</v>
          </cell>
          <cell r="C1984">
            <v>526001</v>
          </cell>
          <cell r="D1984" t="str">
            <v>Not Listed</v>
          </cell>
          <cell r="E1984" t="str">
            <v>Containers &amp; Packaging</v>
          </cell>
        </row>
        <row r="1985">
          <cell r="B1985" t="str">
            <v>JAY BHARAT MARUTI LTD</v>
          </cell>
          <cell r="C1985">
            <v>520066</v>
          </cell>
          <cell r="D1985" t="str">
            <v>JAYBARMARU</v>
          </cell>
          <cell r="E1985" t="str">
            <v>Auto Parts &amp; Equipment</v>
          </cell>
        </row>
        <row r="1986">
          <cell r="B1986" t="str">
            <v>JAY SHREE TEA &amp; INDUSTRIES LTD</v>
          </cell>
          <cell r="C1986">
            <v>509715</v>
          </cell>
          <cell r="D1986" t="str">
            <v>Not Listed</v>
          </cell>
          <cell r="E1986" t="str">
            <v>Tea &amp; Coffee</v>
          </cell>
        </row>
        <row r="1987">
          <cell r="B1987" t="str">
            <v>JAY USHIN LTD</v>
          </cell>
          <cell r="C1987">
            <v>513252</v>
          </cell>
          <cell r="D1987" t="str">
            <v>Not Listed</v>
          </cell>
          <cell r="E1987" t="str">
            <v>Auto Parts &amp; Equipment</v>
          </cell>
        </row>
        <row r="1988">
          <cell r="B1988" t="str">
            <v>JAYANT AGRO ORGANICS LTD</v>
          </cell>
          <cell r="C1988">
            <v>524330</v>
          </cell>
          <cell r="D1988" t="str">
            <v>JAYAGROGN</v>
          </cell>
          <cell r="E1988" t="str">
            <v>Specialty Chemicals</v>
          </cell>
        </row>
        <row r="1989">
          <cell r="B1989" t="str">
            <v>JAYASWAL NECO INDUSTRIES LTD</v>
          </cell>
          <cell r="C1989">
            <v>522285</v>
          </cell>
          <cell r="D1989" t="str">
            <v>JAYNECOIND</v>
          </cell>
          <cell r="E1989" t="str">
            <v>Iron &amp; Steel/Interm.Products</v>
          </cell>
        </row>
        <row r="1990">
          <cell r="B1990" t="str">
            <v>JAYATMA ENTERPRISES LTD</v>
          </cell>
          <cell r="C1990">
            <v>539005</v>
          </cell>
          <cell r="D1990" t="str">
            <v>Not Listed</v>
          </cell>
          <cell r="E1990" t="str">
            <v>Misc.Commercial Services</v>
          </cell>
        </row>
        <row r="1991">
          <cell r="B1991" t="str">
            <v>JAYATMA INDUSTRIES LTD</v>
          </cell>
          <cell r="C1991">
            <v>531323</v>
          </cell>
          <cell r="D1991" t="str">
            <v>Not Listed</v>
          </cell>
          <cell r="E1991" t="str">
            <v>Textiles</v>
          </cell>
        </row>
        <row r="1992">
          <cell r="B1992" t="str">
            <v>JAYBHARAT TEXTILES &amp; REAL ESTATE LTD</v>
          </cell>
          <cell r="C1992">
            <v>512233</v>
          </cell>
          <cell r="D1992" t="str">
            <v>Not Listed</v>
          </cell>
          <cell r="E1992" t="str">
            <v>Textiles</v>
          </cell>
        </row>
        <row r="1993">
          <cell r="B1993" t="str">
            <v>JAYKAY ENTERPRISES LTD</v>
          </cell>
          <cell r="C1993">
            <v>500306</v>
          </cell>
          <cell r="D1993" t="str">
            <v>Not Listed</v>
          </cell>
          <cell r="E1993" t="str">
            <v>Finance (including NBFCs)</v>
          </cell>
        </row>
        <row r="1994">
          <cell r="B1994" t="str">
            <v>JAYPEE INFRATECH LTD</v>
          </cell>
          <cell r="C1994">
            <v>533207</v>
          </cell>
          <cell r="D1994" t="str">
            <v>JPINFRATEC</v>
          </cell>
          <cell r="E1994" t="str">
            <v>Roads &amp; Highways</v>
          </cell>
        </row>
        <row r="1995">
          <cell r="B1995" t="str">
            <v>JAYSHREE CHEMICALS LTD</v>
          </cell>
          <cell r="C1995">
            <v>506520</v>
          </cell>
          <cell r="D1995" t="str">
            <v>Not Listed</v>
          </cell>
          <cell r="E1995" t="str">
            <v>Commodity Chemicals</v>
          </cell>
        </row>
        <row r="1996">
          <cell r="B1996" t="str">
            <v>JAYSHREE TEA &amp; INDUSTRIES LTD</v>
          </cell>
          <cell r="C1996" t="str">
            <v>Not Listed</v>
          </cell>
          <cell r="D1996" t="str">
            <v>JAYSREETEA</v>
          </cell>
          <cell r="E1996" t="str">
            <v>Others</v>
          </cell>
        </row>
        <row r="1997">
          <cell r="B1997" t="str">
            <v>JAYSYNTH DYESTUFF (INDIA) LTD</v>
          </cell>
          <cell r="C1997">
            <v>506910</v>
          </cell>
          <cell r="D1997" t="str">
            <v>Not Listed</v>
          </cell>
          <cell r="E1997" t="str">
            <v>Specialty Chemicals</v>
          </cell>
        </row>
        <row r="1998">
          <cell r="B1998" t="str">
            <v>JAYSYNTH DYESTUFF INDIA LTD</v>
          </cell>
          <cell r="C1998">
            <v>506910</v>
          </cell>
          <cell r="D1998" t="str">
            <v>Not Listed</v>
          </cell>
          <cell r="E1998" t="str">
            <v>Specialty Chemicals</v>
          </cell>
        </row>
        <row r="1999">
          <cell r="B1999" t="str">
            <v>JB CHEMICALS &amp; PHARMACEUTICALS LTD</v>
          </cell>
          <cell r="C1999">
            <v>506943</v>
          </cell>
          <cell r="D1999" t="str">
            <v>JBCHEPHARM</v>
          </cell>
          <cell r="E1999" t="str">
            <v>Pharmaceuticals</v>
          </cell>
        </row>
        <row r="2000">
          <cell r="B2000" t="str">
            <v>JBF INDUSTRIES LTD</v>
          </cell>
          <cell r="C2000">
            <v>514034</v>
          </cell>
          <cell r="D2000" t="str">
            <v>JBFIND</v>
          </cell>
          <cell r="E2000" t="str">
            <v>Fibres &amp; Plastics</v>
          </cell>
        </row>
        <row r="2001">
          <cell r="B2001" t="str">
            <v>JBM AUTO LTD</v>
          </cell>
          <cell r="C2001">
            <v>532605</v>
          </cell>
          <cell r="D2001" t="str">
            <v>JBMA</v>
          </cell>
          <cell r="E2001" t="str">
            <v>Auto Parts &amp; Equipment</v>
          </cell>
        </row>
        <row r="2002">
          <cell r="B2002" t="str">
            <v>JCT LTD</v>
          </cell>
          <cell r="C2002">
            <v>500223</v>
          </cell>
          <cell r="D2002" t="str">
            <v>Not Listed</v>
          </cell>
          <cell r="E2002" t="str">
            <v>Textiles</v>
          </cell>
        </row>
        <row r="2003">
          <cell r="B2003" t="str">
            <v>JD ORGOCHEM LTD</v>
          </cell>
          <cell r="C2003">
            <v>524592</v>
          </cell>
          <cell r="D2003" t="str">
            <v>Not Listed</v>
          </cell>
          <cell r="E2003" t="str">
            <v>Specialty Chemicals</v>
          </cell>
        </row>
        <row r="2004">
          <cell r="B2004" t="str">
            <v>JEEVAN SCIENTIFIC TECHNOLOGY LTD</v>
          </cell>
          <cell r="C2004">
            <v>538837</v>
          </cell>
          <cell r="D2004" t="str">
            <v>Not Listed</v>
          </cell>
          <cell r="E2004" t="str">
            <v>Internet Software &amp; Services</v>
          </cell>
        </row>
        <row r="2005">
          <cell r="B2005" t="str">
            <v>JENBURKT PHARMACEUTICALS LTD</v>
          </cell>
          <cell r="C2005">
            <v>524731</v>
          </cell>
          <cell r="D2005" t="str">
            <v>Not Listed</v>
          </cell>
          <cell r="E2005" t="str">
            <v>Pharmaceuticals</v>
          </cell>
        </row>
        <row r="2006">
          <cell r="B2006" t="str">
            <v>JET AIRWAYS (INDIA) LTD</v>
          </cell>
          <cell r="C2006">
            <v>532617</v>
          </cell>
          <cell r="D2006" t="str">
            <v>JETAIRWAYS</v>
          </cell>
          <cell r="E2006" t="str">
            <v>Airlines</v>
          </cell>
        </row>
        <row r="2007">
          <cell r="B2007" t="str">
            <v>JET AIRWAYS INDIA LTD</v>
          </cell>
          <cell r="C2007">
            <v>532617</v>
          </cell>
          <cell r="D2007" t="str">
            <v>JETAIRWAYS</v>
          </cell>
          <cell r="E2007" t="str">
            <v>Airlines</v>
          </cell>
        </row>
        <row r="2008">
          <cell r="B2008" t="str">
            <v>JET FREIGHT LOGISTICS LTD</v>
          </cell>
          <cell r="C2008" t="str">
            <v>Not Listed</v>
          </cell>
          <cell r="D2008" t="str">
            <v>JETFREIGHT</v>
          </cell>
          <cell r="E2008" t="str">
            <v>SME</v>
          </cell>
        </row>
        <row r="2009">
          <cell r="B2009" t="str">
            <v>JET INFRAVENTURE LTD</v>
          </cell>
          <cell r="C2009">
            <v>538794</v>
          </cell>
          <cell r="D2009" t="str">
            <v>Not Listed</v>
          </cell>
          <cell r="E2009" t="str">
            <v>Realty</v>
          </cell>
        </row>
        <row r="2010">
          <cell r="B2010" t="str">
            <v>JET KNITWEARS LTD</v>
          </cell>
          <cell r="C2010" t="str">
            <v>Not Listed</v>
          </cell>
          <cell r="D2010" t="str">
            <v>JETKNIT</v>
          </cell>
          <cell r="E2010" t="str">
            <v>SME</v>
          </cell>
        </row>
        <row r="2011">
          <cell r="B2011" t="str">
            <v>JETKING INFOTRAIN LTD</v>
          </cell>
          <cell r="C2011">
            <v>517063</v>
          </cell>
          <cell r="D2011" t="str">
            <v>Not Listed</v>
          </cell>
          <cell r="E2011" t="str">
            <v>IT Training Services</v>
          </cell>
        </row>
        <row r="2012">
          <cell r="B2012" t="str">
            <v>JHANDEWALAS FOODS LTD</v>
          </cell>
          <cell r="C2012">
            <v>540850</v>
          </cell>
          <cell r="D2012" t="str">
            <v>Not Listed</v>
          </cell>
          <cell r="E2012" t="str">
            <v>Packaged Foods</v>
          </cell>
        </row>
        <row r="2013">
          <cell r="B2013" t="str">
            <v>JHAVERI CREDITS &amp; CAPITAL LTD</v>
          </cell>
          <cell r="C2013">
            <v>531550</v>
          </cell>
          <cell r="D2013" t="str">
            <v>Not Listed</v>
          </cell>
          <cell r="E2013" t="str">
            <v>Other Financial Services</v>
          </cell>
        </row>
        <row r="2014">
          <cell r="B2014" t="str">
            <v>JHS SVENDGAARD LABORATORIES LTD</v>
          </cell>
          <cell r="C2014">
            <v>532771</v>
          </cell>
          <cell r="D2014" t="str">
            <v>JHS</v>
          </cell>
          <cell r="E2014" t="str">
            <v>Personal Products</v>
          </cell>
        </row>
        <row r="2015">
          <cell r="B2015" t="str">
            <v>JIGAR CABLES LTD</v>
          </cell>
          <cell r="C2015">
            <v>540651</v>
          </cell>
          <cell r="D2015" t="str">
            <v>Not Listed</v>
          </cell>
          <cell r="E2015" t="str">
            <v>Other Elect.Equip./ Prod.</v>
          </cell>
        </row>
        <row r="2016">
          <cell r="B2016" t="str">
            <v>JIGYASA INFRASTRUCTURE LTD</v>
          </cell>
          <cell r="C2016">
            <v>780019</v>
          </cell>
          <cell r="D2016" t="str">
            <v>Not Listed</v>
          </cell>
          <cell r="E2016" t="str">
            <v>Others</v>
          </cell>
        </row>
        <row r="2017">
          <cell r="B2017" t="str">
            <v>JIK INDUSTRIES LTD</v>
          </cell>
          <cell r="C2017">
            <v>511618</v>
          </cell>
          <cell r="D2017" t="str">
            <v>JIKIND</v>
          </cell>
          <cell r="E2017" t="str">
            <v>Comm.Trading  &amp; Distribution</v>
          </cell>
        </row>
        <row r="2018">
          <cell r="B2018" t="str">
            <v>Jinaams Dress Ltd</v>
          </cell>
          <cell r="C2018">
            <v>542653</v>
          </cell>
          <cell r="D2018" t="str">
            <v>JINAAM</v>
          </cell>
          <cell r="E2018" t="str">
            <v>Other Apparels &amp;amp; Accessories</v>
          </cell>
        </row>
        <row r="2019">
          <cell r="B2019" t="str">
            <v>JINDAL CAPITAL LTD</v>
          </cell>
          <cell r="C2019">
            <v>530405</v>
          </cell>
          <cell r="D2019" t="str">
            <v>Not Listed</v>
          </cell>
          <cell r="E2019" t="str">
            <v>Other Financial Services</v>
          </cell>
        </row>
        <row r="2020">
          <cell r="B2020" t="str">
            <v>JINDAL COTEX LTD</v>
          </cell>
          <cell r="C2020">
            <v>533103</v>
          </cell>
          <cell r="D2020" t="str">
            <v>JINDCOT</v>
          </cell>
          <cell r="E2020" t="str">
            <v>Textiles</v>
          </cell>
        </row>
        <row r="2021">
          <cell r="B2021" t="str">
            <v>JINDAL DRILLING AND INDUSTRIES LTD</v>
          </cell>
          <cell r="C2021">
            <v>511034</v>
          </cell>
          <cell r="D2021" t="str">
            <v>JINDRILL</v>
          </cell>
          <cell r="E2021" t="str">
            <v>Exploration &amp; Production</v>
          </cell>
        </row>
        <row r="2022">
          <cell r="B2022" t="str">
            <v>JINDAL HOTELS LTD</v>
          </cell>
          <cell r="C2022">
            <v>507981</v>
          </cell>
          <cell r="D2022" t="str">
            <v>Not Listed</v>
          </cell>
          <cell r="E2022" t="str">
            <v>Hotels</v>
          </cell>
        </row>
        <row r="2023">
          <cell r="B2023" t="str">
            <v>JINDAL LEASEFIN LTD</v>
          </cell>
          <cell r="C2023">
            <v>539947</v>
          </cell>
          <cell r="D2023" t="str">
            <v>Not Listed</v>
          </cell>
          <cell r="E2023" t="str">
            <v>Investment Companies</v>
          </cell>
        </row>
        <row r="2024">
          <cell r="B2024" t="str">
            <v>JINDAL PHOTO LTD</v>
          </cell>
          <cell r="C2024">
            <v>532624</v>
          </cell>
          <cell r="D2024" t="str">
            <v>JINDALPHOT</v>
          </cell>
          <cell r="E2024" t="str">
            <v>Photographic Products</v>
          </cell>
        </row>
        <row r="2025">
          <cell r="B2025" t="str">
            <v>JINDAL POLY FILMS LTD</v>
          </cell>
          <cell r="C2025">
            <v>500227</v>
          </cell>
          <cell r="D2025" t="str">
            <v>JINDALPOLY</v>
          </cell>
          <cell r="E2025" t="str">
            <v>Commodity Chemicals</v>
          </cell>
        </row>
        <row r="2026">
          <cell r="B2026" t="str">
            <v>JINDAL POLY INVESTMENT AND FINANCE COMPANY LTD</v>
          </cell>
          <cell r="C2026">
            <v>536773</v>
          </cell>
          <cell r="D2026" t="str">
            <v>JPOLYINVST</v>
          </cell>
          <cell r="E2026" t="str">
            <v>Other Financial Services</v>
          </cell>
        </row>
        <row r="2027">
          <cell r="B2027" t="str">
            <v>JINDAL SAW LTD</v>
          </cell>
          <cell r="C2027">
            <v>500378</v>
          </cell>
          <cell r="D2027" t="str">
            <v>JINDALSAW</v>
          </cell>
          <cell r="E2027" t="str">
            <v>Construction &amp; Engineering</v>
          </cell>
        </row>
        <row r="2028">
          <cell r="B2028" t="str">
            <v>JINDAL STAINLESS HISAR LTD</v>
          </cell>
          <cell r="C2028">
            <v>539597</v>
          </cell>
          <cell r="D2028" t="str">
            <v>JSLHISAR</v>
          </cell>
          <cell r="E2028" t="str">
            <v>Iron &amp; Steel Products</v>
          </cell>
        </row>
        <row r="2029">
          <cell r="B2029" t="str">
            <v>JINDAL STAINLESS LTD</v>
          </cell>
          <cell r="C2029">
            <v>532508</v>
          </cell>
          <cell r="D2029" t="str">
            <v>JSL</v>
          </cell>
          <cell r="E2029" t="str">
            <v>Iron &amp; Steel/Interm.Products</v>
          </cell>
        </row>
        <row r="2030">
          <cell r="B2030" t="str">
            <v>JINDAL STEEL &amp; POWER LTD</v>
          </cell>
          <cell r="C2030">
            <v>532286</v>
          </cell>
          <cell r="D2030" t="str">
            <v>JINDALSTEL</v>
          </cell>
          <cell r="E2030" t="str">
            <v>Iron &amp; Steel/Interm.Products</v>
          </cell>
        </row>
        <row r="2031">
          <cell r="B2031" t="str">
            <v>JINDAL WORLDWIDE LTD</v>
          </cell>
          <cell r="C2031">
            <v>531543</v>
          </cell>
          <cell r="D2031" t="str">
            <v>JINDWORLD</v>
          </cell>
          <cell r="E2031" t="str">
            <v>Textiles</v>
          </cell>
        </row>
        <row r="2032">
          <cell r="B2032" t="str">
            <v>JITF INFRALOGISTICS LTD</v>
          </cell>
          <cell r="C2032">
            <v>540311</v>
          </cell>
          <cell r="D2032" t="str">
            <v>JITFINFRA</v>
          </cell>
          <cell r="E2032" t="str">
            <v>Transport Related Services</v>
          </cell>
        </row>
        <row r="2033">
          <cell r="B2033" t="str">
            <v>JIYA ECO-PRODUCTS LTD</v>
          </cell>
          <cell r="C2033">
            <v>539225</v>
          </cell>
          <cell r="D2033" t="str">
            <v>Not Listed</v>
          </cell>
          <cell r="E2033" t="str">
            <v>Utilities:Non-Elec.</v>
          </cell>
        </row>
        <row r="2034">
          <cell r="B2034" t="str">
            <v>JK AGRI GENETICS LTD</v>
          </cell>
          <cell r="C2034">
            <v>536493</v>
          </cell>
          <cell r="D2034" t="str">
            <v>Not Listed</v>
          </cell>
          <cell r="E2034" t="str">
            <v>Other Agricultural Products</v>
          </cell>
        </row>
        <row r="2035">
          <cell r="B2035" t="str">
            <v>JK CEMENT LTD</v>
          </cell>
          <cell r="C2035">
            <v>532644</v>
          </cell>
          <cell r="D2035" t="str">
            <v>JKCEMENT</v>
          </cell>
          <cell r="E2035" t="str">
            <v>Cement &amp; Cement Products</v>
          </cell>
        </row>
        <row r="2036">
          <cell r="B2036" t="str">
            <v>JK LAKSHMI CEMENT LTD</v>
          </cell>
          <cell r="C2036">
            <v>500380</v>
          </cell>
          <cell r="D2036" t="str">
            <v>JKLAKSHMI</v>
          </cell>
          <cell r="E2036" t="str">
            <v>Cement &amp; Cement Products</v>
          </cell>
        </row>
        <row r="2037">
          <cell r="B2037" t="str">
            <v>JK PAPER LTD</v>
          </cell>
          <cell r="C2037">
            <v>532162</v>
          </cell>
          <cell r="D2037" t="str">
            <v>JKPAPER</v>
          </cell>
          <cell r="E2037" t="str">
            <v>Paper &amp; Paper Products</v>
          </cell>
        </row>
        <row r="2038">
          <cell r="B2038" t="str">
            <v>JK TYRE &amp; INDUSTRIES LTD</v>
          </cell>
          <cell r="C2038">
            <v>530007</v>
          </cell>
          <cell r="D2038" t="str">
            <v>JKTYRE</v>
          </cell>
          <cell r="E2038" t="str">
            <v>Auto Tyres &amp; Rubber Products</v>
          </cell>
        </row>
        <row r="2039">
          <cell r="B2039" t="str">
            <v>JLA INFRAVILLE SHOPPERS LTD</v>
          </cell>
          <cell r="C2039">
            <v>538765</v>
          </cell>
          <cell r="D2039" t="str">
            <v>Not Listed</v>
          </cell>
          <cell r="E2039" t="str">
            <v>Internet &amp; Catalogue Retail</v>
          </cell>
        </row>
        <row r="2040">
          <cell r="B2040" t="str">
            <v>JM FINANCIAL LTD</v>
          </cell>
          <cell r="C2040">
            <v>523405</v>
          </cell>
          <cell r="D2040" t="str">
            <v>JMFINANCIL</v>
          </cell>
          <cell r="E2040" t="str">
            <v>Holding Companies</v>
          </cell>
        </row>
        <row r="2041">
          <cell r="B2041" t="str">
            <v>JMC PROJECTS (INDIA) LTD</v>
          </cell>
          <cell r="C2041">
            <v>522263</v>
          </cell>
          <cell r="D2041" t="str">
            <v>JMCPROJECT</v>
          </cell>
          <cell r="E2041" t="str">
            <v>Construction &amp; Engineering</v>
          </cell>
        </row>
        <row r="2042">
          <cell r="B2042" t="str">
            <v>JMC PROJECTS INDIA LTD</v>
          </cell>
          <cell r="C2042">
            <v>522263</v>
          </cell>
          <cell r="D2042" t="str">
            <v>JMCPROJECT</v>
          </cell>
          <cell r="E2042" t="str">
            <v>Construction &amp; Engineering</v>
          </cell>
        </row>
        <row r="2043">
          <cell r="B2043" t="str">
            <v>JMD VENTURES LTD</v>
          </cell>
          <cell r="C2043">
            <v>511092</v>
          </cell>
          <cell r="D2043" t="str">
            <v>Not Listed</v>
          </cell>
          <cell r="E2043" t="str">
            <v>Movies &amp; Entertainment</v>
          </cell>
        </row>
        <row r="2044">
          <cell r="B2044" t="str">
            <v>JMG CORPORATION LTD</v>
          </cell>
          <cell r="C2044">
            <v>523712</v>
          </cell>
          <cell r="D2044" t="str">
            <v>Not Listed</v>
          </cell>
          <cell r="E2044" t="str">
            <v>Plastic Products</v>
          </cell>
        </row>
        <row r="2045">
          <cell r="B2045" t="str">
            <v>JMT AUTO LTD</v>
          </cell>
          <cell r="C2045">
            <v>513691</v>
          </cell>
          <cell r="D2045" t="str">
            <v>JMTAUTOLTD</v>
          </cell>
          <cell r="E2045" t="str">
            <v>Auto Parts &amp; Equipment</v>
          </cell>
        </row>
        <row r="2046">
          <cell r="B2046" t="str">
            <v>JOCIL LTD</v>
          </cell>
          <cell r="C2046" t="str">
            <v>Not Listed</v>
          </cell>
          <cell r="D2046" t="str">
            <v>JOCIL</v>
          </cell>
          <cell r="E2046" t="str">
            <v>Others</v>
          </cell>
        </row>
        <row r="2047">
          <cell r="B2047" t="str">
            <v>JOHNSON CONTROLS – HITACHI AIR CONDITIONING (INDIA) LTD</v>
          </cell>
          <cell r="C2047">
            <v>523398</v>
          </cell>
          <cell r="D2047" t="str">
            <v>JCHAC</v>
          </cell>
          <cell r="E2047" t="str">
            <v>Consumer Electronics</v>
          </cell>
        </row>
        <row r="2048">
          <cell r="B2048" t="str">
            <v>JOHNSON CONTROLS – HITACHI AIR CONDITIONING INDIA LTD</v>
          </cell>
          <cell r="C2048">
            <v>523398</v>
          </cell>
          <cell r="D2048" t="str">
            <v>JCHAC</v>
          </cell>
          <cell r="E2048" t="str">
            <v>Consumer Electronics</v>
          </cell>
        </row>
        <row r="2049">
          <cell r="B2049" t="str">
            <v>JOINDRE CAPITAL SERVICES LTD</v>
          </cell>
          <cell r="C2049">
            <v>531861</v>
          </cell>
          <cell r="D2049" t="str">
            <v>Not Listed</v>
          </cell>
          <cell r="E2049" t="str">
            <v>Other Financial Services</v>
          </cell>
        </row>
        <row r="2050">
          <cell r="B2050" t="str">
            <v>JOINTECA EDUCATION SOLUTIONS LTD</v>
          </cell>
          <cell r="C2050">
            <v>534659</v>
          </cell>
          <cell r="D2050" t="str">
            <v>Not Listed</v>
          </cell>
          <cell r="E2050" t="str">
            <v>IT Consulting &amp; Software</v>
          </cell>
        </row>
        <row r="2051">
          <cell r="B2051" t="str">
            <v>Jonjua Overseas Ltd</v>
          </cell>
          <cell r="C2051">
            <v>542446</v>
          </cell>
          <cell r="D2051" t="str">
            <v>JONJUA</v>
          </cell>
          <cell r="E2051" t="str">
            <v>Consulting Services</v>
          </cell>
        </row>
        <row r="2052">
          <cell r="B2052" t="str">
            <v>JOONKTOLLEE TEA &amp; INDUSTRIES LTD</v>
          </cell>
          <cell r="C2052">
            <v>538092</v>
          </cell>
          <cell r="D2052" t="str">
            <v>Not Listed</v>
          </cell>
          <cell r="E2052" t="str">
            <v>Tea &amp; Coffee</v>
          </cell>
        </row>
        <row r="2053">
          <cell r="B2053" t="str">
            <v>JOST'S ENGINEERING CO LTD</v>
          </cell>
          <cell r="C2053">
            <v>505750</v>
          </cell>
          <cell r="D2053" t="str">
            <v>Not Listed</v>
          </cell>
          <cell r="E2053" t="str">
            <v>Industrial Machinery</v>
          </cell>
        </row>
        <row r="2054">
          <cell r="B2054" t="str">
            <v>JOY REALTY LTD</v>
          </cell>
          <cell r="C2054">
            <v>508929</v>
          </cell>
          <cell r="D2054" t="str">
            <v>Not Listed</v>
          </cell>
          <cell r="E2054" t="str">
            <v>Realty</v>
          </cell>
        </row>
        <row r="2055">
          <cell r="B2055" t="str">
            <v>JPT SECURITIES LTD</v>
          </cell>
          <cell r="C2055">
            <v>530985</v>
          </cell>
          <cell r="D2055" t="str">
            <v>Not Listed</v>
          </cell>
          <cell r="E2055" t="str">
            <v>Finance (including NBFCs)</v>
          </cell>
        </row>
        <row r="2056">
          <cell r="B2056" t="str">
            <v>JRI INDUSTRIES &amp; INFRASTRUCTURE LTD</v>
          </cell>
          <cell r="C2056">
            <v>506016</v>
          </cell>
          <cell r="D2056" t="str">
            <v>Not Listed</v>
          </cell>
          <cell r="E2056" t="str">
            <v>Construction &amp; Engineering</v>
          </cell>
        </row>
        <row r="2057">
          <cell r="B2057" t="str">
            <v>JSL INDUSTRIES LTD</v>
          </cell>
          <cell r="C2057">
            <v>504080</v>
          </cell>
          <cell r="D2057" t="str">
            <v>Not Listed</v>
          </cell>
          <cell r="E2057" t="str">
            <v>Other Elect.Equip./ Prod.</v>
          </cell>
        </row>
        <row r="2058">
          <cell r="B2058" t="str">
            <v>JSW ENERGY LTD</v>
          </cell>
          <cell r="C2058">
            <v>533148</v>
          </cell>
          <cell r="D2058" t="str">
            <v>JSWENERGY</v>
          </cell>
          <cell r="E2058" t="str">
            <v>Electric Utilities</v>
          </cell>
        </row>
        <row r="2059">
          <cell r="B2059" t="str">
            <v>JSW HOLDINGS LTD</v>
          </cell>
          <cell r="C2059">
            <v>532642</v>
          </cell>
          <cell r="D2059" t="str">
            <v>JSWHL</v>
          </cell>
          <cell r="E2059" t="str">
            <v>Holding Companies</v>
          </cell>
        </row>
        <row r="2060">
          <cell r="B2060" t="str">
            <v>JSW STEEL LTD</v>
          </cell>
          <cell r="C2060">
            <v>500228</v>
          </cell>
          <cell r="D2060" t="str">
            <v>JSWSTEEL</v>
          </cell>
          <cell r="E2060" t="str">
            <v>Iron &amp; Steel/Interm.Products</v>
          </cell>
        </row>
        <row r="2061">
          <cell r="B2061" t="str">
            <v>JTEKT (INDIA) LTD</v>
          </cell>
          <cell r="C2061">
            <v>520057</v>
          </cell>
          <cell r="D2061" t="str">
            <v>JTEKT(INDIA)</v>
          </cell>
          <cell r="E2061" t="str">
            <v>Auto Parts &amp; Equipment</v>
          </cell>
        </row>
        <row r="2062">
          <cell r="B2062" t="str">
            <v>JTEKT INDIA LTD</v>
          </cell>
          <cell r="C2062">
            <v>520057</v>
          </cell>
          <cell r="D2062" t="str">
            <v>JTEKTINDIA</v>
          </cell>
          <cell r="E2062" t="str">
            <v>Auto Parts &amp; Equipment</v>
          </cell>
        </row>
        <row r="2063">
          <cell r="B2063" t="str">
            <v>JTL INFRA LTD</v>
          </cell>
          <cell r="C2063">
            <v>534600</v>
          </cell>
          <cell r="D2063" t="str">
            <v>Not Listed</v>
          </cell>
          <cell r="E2063" t="str">
            <v>Iron &amp; Steel Products</v>
          </cell>
        </row>
        <row r="2064">
          <cell r="B2064" t="str">
            <v>JUBILANT FOODWORKS LTD</v>
          </cell>
          <cell r="C2064">
            <v>533155</v>
          </cell>
          <cell r="D2064" t="str">
            <v>JUBLFOOD</v>
          </cell>
          <cell r="E2064" t="str">
            <v>Restaurants</v>
          </cell>
        </row>
        <row r="2065">
          <cell r="B2065" t="str">
            <v>JUBILANT INDUSTRIES LTD</v>
          </cell>
          <cell r="C2065">
            <v>533320</v>
          </cell>
          <cell r="D2065" t="str">
            <v>JUBLINDS</v>
          </cell>
          <cell r="E2065" t="str">
            <v>Agrochemicals</v>
          </cell>
        </row>
        <row r="2066">
          <cell r="B2066" t="str">
            <v>JUBILANT LIFE SCIENCES LTD</v>
          </cell>
          <cell r="C2066">
            <v>530019</v>
          </cell>
          <cell r="D2066" t="str">
            <v>JUBILANT</v>
          </cell>
          <cell r="E2066" t="str">
            <v>Pharmaceuticals</v>
          </cell>
        </row>
        <row r="2067">
          <cell r="B2067" t="str">
            <v>JULLUNDUR MOTOR AGENCY DELHI LTD</v>
          </cell>
          <cell r="C2067" t="str">
            <v>Not Listed</v>
          </cell>
          <cell r="D2067" t="str">
            <v>JMA</v>
          </cell>
          <cell r="E2067" t="str">
            <v>Others</v>
          </cell>
        </row>
        <row r="2068">
          <cell r="B2068" t="str">
            <v>JUMBO BAG LTD</v>
          </cell>
          <cell r="C2068">
            <v>516078</v>
          </cell>
          <cell r="D2068" t="str">
            <v>Not Listed</v>
          </cell>
          <cell r="E2068" t="str">
            <v>Containers &amp; Packaging</v>
          </cell>
        </row>
        <row r="2069">
          <cell r="B2069" t="str">
            <v>JUMBO FINANCE LTD</v>
          </cell>
          <cell r="C2069">
            <v>511060</v>
          </cell>
          <cell r="D2069" t="str">
            <v>Not Listed</v>
          </cell>
          <cell r="E2069" t="str">
            <v>Misc.Commercial Services</v>
          </cell>
        </row>
        <row r="2070">
          <cell r="B2070" t="str">
            <v>JUNCTION FABRICS AND APPARELS LTD</v>
          </cell>
          <cell r="C2070">
            <v>539216</v>
          </cell>
          <cell r="D2070" t="str">
            <v>Not Listed</v>
          </cell>
          <cell r="E2070" t="str">
            <v>Textiles</v>
          </cell>
        </row>
        <row r="2071">
          <cell r="B2071" t="str">
            <v>JUPITER INDUSTRIES &amp; LEASING LTD</v>
          </cell>
          <cell r="C2071">
            <v>507987</v>
          </cell>
          <cell r="D2071" t="str">
            <v>Not Listed</v>
          </cell>
          <cell r="E2071" t="str">
            <v>Finance (including NBFCs)</v>
          </cell>
        </row>
        <row r="2072">
          <cell r="B2072" t="str">
            <v>JUPITER INFOMEDIA LTD</v>
          </cell>
          <cell r="C2072">
            <v>534623</v>
          </cell>
          <cell r="D2072" t="str">
            <v>Not Listed</v>
          </cell>
          <cell r="E2072" t="str">
            <v>Internet &amp; Catalogue Retail</v>
          </cell>
        </row>
        <row r="2073">
          <cell r="B2073" t="str">
            <v>JUST DIAL LTD</v>
          </cell>
          <cell r="C2073">
            <v>535648</v>
          </cell>
          <cell r="D2073" t="str">
            <v>JUSTDIAL</v>
          </cell>
          <cell r="E2073" t="str">
            <v>Publishing</v>
          </cell>
        </row>
        <row r="2074">
          <cell r="B2074" t="str">
            <v>JUSTRIDE ENTERPRISES LTD</v>
          </cell>
          <cell r="C2074">
            <v>531035</v>
          </cell>
          <cell r="D2074" t="str">
            <v>Not Listed</v>
          </cell>
          <cell r="E2074" t="str">
            <v>2/3 Wheelers</v>
          </cell>
        </row>
        <row r="2075">
          <cell r="B2075" t="str">
            <v>JVL AGRO INDUSTRIES LTD</v>
          </cell>
          <cell r="C2075">
            <v>519248</v>
          </cell>
          <cell r="D2075" t="str">
            <v>JVLAGRO</v>
          </cell>
          <cell r="E2075" t="str">
            <v>Edible Oils</v>
          </cell>
        </row>
        <row r="2076">
          <cell r="B2076" t="str">
            <v>Jyot International Marketing Ltd</v>
          </cell>
          <cell r="C2076">
            <v>542544</v>
          </cell>
          <cell r="D2076" t="str">
            <v>JYOTIN</v>
          </cell>
          <cell r="E2076" t="str">
            <v>Other Financial Services</v>
          </cell>
        </row>
        <row r="2077">
          <cell r="B2077" t="str">
            <v>JYOTHY LABORATORIES LTD</v>
          </cell>
          <cell r="C2077">
            <v>532926</v>
          </cell>
          <cell r="D2077" t="str">
            <v>JYOTHYLAB</v>
          </cell>
          <cell r="E2077" t="str">
            <v>Household Products</v>
          </cell>
        </row>
        <row r="2078">
          <cell r="B2078" t="str">
            <v>JYOTI LTD</v>
          </cell>
          <cell r="C2078">
            <v>504076</v>
          </cell>
          <cell r="D2078" t="str">
            <v>Not Listed</v>
          </cell>
          <cell r="E2078" t="str">
            <v>Heavy Electrical Equipment</v>
          </cell>
        </row>
        <row r="2079">
          <cell r="B2079" t="str">
            <v>JYOTI RESINS &amp; ADHESIVES LTD</v>
          </cell>
          <cell r="C2079">
            <v>514448</v>
          </cell>
          <cell r="D2079" t="str">
            <v>Not Listed</v>
          </cell>
          <cell r="E2079" t="str">
            <v>Specialty Chemicals</v>
          </cell>
        </row>
        <row r="2080">
          <cell r="B2080" t="str">
            <v>JYOTI STRUCTURES LTD</v>
          </cell>
          <cell r="C2080">
            <v>513250</v>
          </cell>
          <cell r="D2080" t="str">
            <v>JYOTISTRUC</v>
          </cell>
          <cell r="E2080" t="str">
            <v>Heavy Electrical Equipment</v>
          </cell>
        </row>
        <row r="2081">
          <cell r="B2081" t="str">
            <v>JYOTIRGAMYA ENTERPRISES LTD</v>
          </cell>
          <cell r="C2081">
            <v>539246</v>
          </cell>
          <cell r="D2081" t="str">
            <v>Not Listed</v>
          </cell>
          <cell r="E2081" t="str">
            <v>Comm.Trading  &amp; Distribution</v>
          </cell>
        </row>
        <row r="2082">
          <cell r="B2082" t="str">
            <v>K M SUGAR MILLS LTD</v>
          </cell>
          <cell r="C2082">
            <v>532673</v>
          </cell>
          <cell r="D2082" t="str">
            <v>KMSUGAR</v>
          </cell>
          <cell r="E2082" t="str">
            <v>Sugar</v>
          </cell>
        </row>
        <row r="2083">
          <cell r="B2083" t="str">
            <v>K P  ENERGY LTD</v>
          </cell>
          <cell r="C2083">
            <v>539686</v>
          </cell>
          <cell r="D2083" t="str">
            <v>Not Listed</v>
          </cell>
          <cell r="E2083" t="str">
            <v>Electric Utilities</v>
          </cell>
        </row>
        <row r="2084">
          <cell r="B2084" t="str">
            <v>K P R MILL LTD</v>
          </cell>
          <cell r="C2084">
            <v>532889</v>
          </cell>
          <cell r="D2084" t="str">
            <v>KPRMILL</v>
          </cell>
          <cell r="E2084" t="str">
            <v>Textiles</v>
          </cell>
        </row>
        <row r="2085">
          <cell r="B2085" t="str">
            <v>K Z LEASING &amp; FINANCE LTD</v>
          </cell>
          <cell r="C2085">
            <v>511728</v>
          </cell>
          <cell r="D2085" t="str">
            <v>Not Listed</v>
          </cell>
          <cell r="E2085" t="str">
            <v>Finance (including NBFCs)</v>
          </cell>
        </row>
        <row r="2086">
          <cell r="B2086" t="str">
            <v>K&amp;R RAIL ENGINEERING LTD</v>
          </cell>
          <cell r="C2086">
            <v>514360</v>
          </cell>
          <cell r="D2086" t="str">
            <v>Not Listed</v>
          </cell>
          <cell r="E2086" t="str">
            <v>Construction &amp; Engineering</v>
          </cell>
        </row>
        <row r="2087">
          <cell r="B2087" t="str">
            <v>K.P.I. Global Infrastructure Ltd</v>
          </cell>
          <cell r="C2087">
            <v>542323</v>
          </cell>
          <cell r="D2087" t="str">
            <v>KPIGLOBAL</v>
          </cell>
          <cell r="E2087" t="str">
            <v>Electric Utilities</v>
          </cell>
        </row>
        <row r="2088">
          <cell r="B2088" t="str">
            <v>KAARYA FACILITIES AND SERVICES LTD</v>
          </cell>
          <cell r="C2088">
            <v>540756</v>
          </cell>
          <cell r="D2088" t="str">
            <v>Not Listed</v>
          </cell>
          <cell r="E2088" t="str">
            <v>Sp.Consumer Services</v>
          </cell>
        </row>
        <row r="2089">
          <cell r="B2089" t="str">
            <v>KABRA COMMERCIAL LTD</v>
          </cell>
          <cell r="C2089">
            <v>539393</v>
          </cell>
          <cell r="D2089" t="str">
            <v>Not Listed</v>
          </cell>
          <cell r="E2089" t="str">
            <v>Coal</v>
          </cell>
        </row>
        <row r="2090">
          <cell r="B2090" t="str">
            <v>KABRA DRUGS LTD</v>
          </cell>
          <cell r="C2090">
            <v>524322</v>
          </cell>
          <cell r="D2090" t="str">
            <v>Not Listed</v>
          </cell>
          <cell r="E2090" t="str">
            <v>Pharmaceuticals</v>
          </cell>
        </row>
        <row r="2091">
          <cell r="B2091" t="str">
            <v>KABRA EXTRUSION TECHNIK LTD</v>
          </cell>
          <cell r="C2091">
            <v>524109</v>
          </cell>
          <cell r="D2091" t="str">
            <v>KABRAEXTRU</v>
          </cell>
          <cell r="E2091" t="str">
            <v>Industrial Machinery</v>
          </cell>
        </row>
        <row r="2092">
          <cell r="B2092" t="str">
            <v>KABSONS INDUSTRIES LTD</v>
          </cell>
          <cell r="C2092">
            <v>524675</v>
          </cell>
          <cell r="D2092" t="str">
            <v>Not Listed</v>
          </cell>
          <cell r="E2092" t="str">
            <v>Comm.Trading  &amp; Distribution</v>
          </cell>
        </row>
        <row r="2093">
          <cell r="B2093" t="str">
            <v>KACHCHH MINERALS LTD</v>
          </cell>
          <cell r="C2093">
            <v>531778</v>
          </cell>
          <cell r="D2093" t="str">
            <v>Not Listed</v>
          </cell>
          <cell r="E2093" t="str">
            <v>Mining</v>
          </cell>
        </row>
        <row r="2094">
          <cell r="B2094" t="str">
            <v>KAIRA CAN CO LTD</v>
          </cell>
          <cell r="C2094">
            <v>504840</v>
          </cell>
          <cell r="D2094" t="str">
            <v>Not Listed</v>
          </cell>
          <cell r="E2094" t="str">
            <v>Containers &amp; Packaging</v>
          </cell>
        </row>
        <row r="2095">
          <cell r="B2095" t="str">
            <v>KAISER CORPORATION LTD</v>
          </cell>
          <cell r="C2095">
            <v>531780</v>
          </cell>
          <cell r="D2095" t="str">
            <v>Not Listed</v>
          </cell>
          <cell r="E2095" t="str">
            <v>Comm.Trading  &amp; Distribution</v>
          </cell>
        </row>
        <row r="2096">
          <cell r="B2096" t="str">
            <v>KAJARIA CERAMICS LTD</v>
          </cell>
          <cell r="C2096">
            <v>500233</v>
          </cell>
          <cell r="D2096" t="str">
            <v>KAJARIACER</v>
          </cell>
          <cell r="E2096" t="str">
            <v>Furniture-Furnishing-Paints</v>
          </cell>
        </row>
        <row r="2097">
          <cell r="B2097" t="str">
            <v>KAKATIYA CEMENT SUGAR &amp; INDUSTRIES LTD</v>
          </cell>
          <cell r="C2097">
            <v>500234</v>
          </cell>
          <cell r="D2097" t="str">
            <v>KAKATCEM</v>
          </cell>
          <cell r="E2097" t="str">
            <v>Cement &amp; Cement Products</v>
          </cell>
        </row>
        <row r="2098">
          <cell r="B2098" t="str">
            <v>KAKATIYA TEXTILES LTD</v>
          </cell>
          <cell r="C2098">
            <v>521054</v>
          </cell>
          <cell r="D2098" t="str">
            <v>Not Listed</v>
          </cell>
          <cell r="E2098" t="str">
            <v>Textiles</v>
          </cell>
        </row>
        <row r="2099">
          <cell r="B2099" t="str">
            <v>KALLAM TEXTILES LTD</v>
          </cell>
          <cell r="C2099">
            <v>530201</v>
          </cell>
          <cell r="D2099" t="str">
            <v>Not Listed</v>
          </cell>
          <cell r="E2099" t="str">
            <v>Textiles</v>
          </cell>
        </row>
        <row r="2100">
          <cell r="B2100" t="str">
            <v>KALPA COMMERCIAL LTD</v>
          </cell>
          <cell r="C2100">
            <v>539014</v>
          </cell>
          <cell r="D2100" t="str">
            <v>Not Listed</v>
          </cell>
          <cell r="E2100" t="str">
            <v>Comm.Trading  &amp; Distribution</v>
          </cell>
        </row>
        <row r="2101">
          <cell r="B2101" t="str">
            <v>KALPATARU POWER TRANSMISSION LTD</v>
          </cell>
          <cell r="C2101">
            <v>522287</v>
          </cell>
          <cell r="D2101" t="str">
            <v>KALPATPOWR</v>
          </cell>
          <cell r="E2101" t="str">
            <v>Heavy Electrical Equipment</v>
          </cell>
        </row>
        <row r="2102">
          <cell r="B2102" t="str">
            <v>KALYANI COMMERCIALS LTD</v>
          </cell>
          <cell r="C2102" t="str">
            <v>Not Listed</v>
          </cell>
          <cell r="D2102" t="str">
            <v>KALYANI</v>
          </cell>
          <cell r="E2102" t="str">
            <v>Others</v>
          </cell>
        </row>
        <row r="2103">
          <cell r="B2103" t="str">
            <v>KALYANI FORGE LTD</v>
          </cell>
          <cell r="C2103">
            <v>513509</v>
          </cell>
          <cell r="D2103" t="str">
            <v>KALYANIFRG</v>
          </cell>
          <cell r="E2103" t="str">
            <v>Auto Parts &amp; Equipment</v>
          </cell>
        </row>
        <row r="2104">
          <cell r="B2104" t="str">
            <v>KALYANI INVESTMENT COMPANY LTD</v>
          </cell>
          <cell r="C2104">
            <v>533302</v>
          </cell>
          <cell r="D2104" t="str">
            <v>KICL</v>
          </cell>
          <cell r="E2104" t="str">
            <v>Investment Companies</v>
          </cell>
        </row>
        <row r="2105">
          <cell r="B2105" t="str">
            <v>KALYANI STEELS LTD</v>
          </cell>
          <cell r="C2105">
            <v>500235</v>
          </cell>
          <cell r="D2105" t="str">
            <v>KSL</v>
          </cell>
          <cell r="E2105" t="str">
            <v>Iron &amp; Steel/Interm.Products</v>
          </cell>
        </row>
        <row r="2106">
          <cell r="B2106" t="str">
            <v>KAMA HOLDINGS LTD</v>
          </cell>
          <cell r="C2106">
            <v>532468</v>
          </cell>
          <cell r="D2106" t="str">
            <v>Not Listed</v>
          </cell>
          <cell r="E2106" t="str">
            <v>Holding Companies</v>
          </cell>
        </row>
        <row r="2107">
          <cell r="B2107" t="str">
            <v>KAMADGIRI FASHION LTD</v>
          </cell>
          <cell r="C2107">
            <v>514322</v>
          </cell>
          <cell r="D2107" t="str">
            <v>Not Listed</v>
          </cell>
          <cell r="E2107" t="str">
            <v>Textiles</v>
          </cell>
        </row>
        <row r="2108">
          <cell r="B2108" t="str">
            <v>KAMANWALA HOUSING CONSTRUCTION LTD</v>
          </cell>
          <cell r="C2108">
            <v>511131</v>
          </cell>
          <cell r="D2108" t="str">
            <v>Not Listed</v>
          </cell>
          <cell r="E2108" t="str">
            <v>Realty</v>
          </cell>
        </row>
        <row r="2109">
          <cell r="B2109" t="str">
            <v>KAMAT HOTELS I LTD</v>
          </cell>
          <cell r="C2109">
            <v>526668</v>
          </cell>
          <cell r="D2109" t="str">
            <v>KAMATHOTEL</v>
          </cell>
          <cell r="E2109" t="str">
            <v>Hotels</v>
          </cell>
        </row>
        <row r="2110">
          <cell r="B2110" t="str">
            <v>KAMDHENU LTD</v>
          </cell>
          <cell r="C2110">
            <v>532741</v>
          </cell>
          <cell r="D2110" t="str">
            <v>KAMDHENU</v>
          </cell>
          <cell r="E2110" t="str">
            <v>Iron &amp; Steel/Interm.Products</v>
          </cell>
        </row>
        <row r="2111">
          <cell r="B2111" t="str">
            <v>KAMRON LABORATORIES LTD</v>
          </cell>
          <cell r="C2111">
            <v>524604</v>
          </cell>
          <cell r="D2111" t="str">
            <v>Not Listed</v>
          </cell>
          <cell r="E2111" t="str">
            <v>Pharmaceuticals</v>
          </cell>
        </row>
        <row r="2112">
          <cell r="B2112" t="str">
            <v>KANAK KRISHI IMPLEMENTS LTD</v>
          </cell>
          <cell r="C2112">
            <v>780003</v>
          </cell>
          <cell r="D2112" t="str">
            <v>Not Listed</v>
          </cell>
          <cell r="E2112" t="str">
            <v>Others</v>
          </cell>
        </row>
        <row r="2113">
          <cell r="B2113" t="str">
            <v>KANANI INDUSTRIES LTD</v>
          </cell>
          <cell r="C2113">
            <v>506184</v>
          </cell>
          <cell r="D2113" t="str">
            <v>KANANIIND</v>
          </cell>
          <cell r="E2113" t="str">
            <v>Other Apparels &amp; Accessories</v>
          </cell>
        </row>
        <row r="2114">
          <cell r="B2114" t="str">
            <v>KANCHI KARPOORAM LTD</v>
          </cell>
          <cell r="C2114">
            <v>538896</v>
          </cell>
          <cell r="D2114" t="str">
            <v>Not Listed</v>
          </cell>
          <cell r="E2114" t="str">
            <v>Commodity Chemicals</v>
          </cell>
        </row>
        <row r="2115">
          <cell r="B2115" t="str">
            <v>KANCO TEA &amp; INDUSTRIES LTD</v>
          </cell>
          <cell r="C2115">
            <v>541005</v>
          </cell>
          <cell r="D2115" t="str">
            <v>Not Listed</v>
          </cell>
          <cell r="E2115" t="str">
            <v>Tea &amp; Coffee</v>
          </cell>
        </row>
        <row r="2116">
          <cell r="B2116" t="str">
            <v>KANDAGIRI SPINNING MILLS LTD</v>
          </cell>
          <cell r="C2116">
            <v>521242</v>
          </cell>
          <cell r="D2116" t="str">
            <v>Not Listed</v>
          </cell>
          <cell r="E2116" t="str">
            <v>Textiles</v>
          </cell>
        </row>
        <row r="2117">
          <cell r="B2117" t="str">
            <v>Kanel Industries LTD</v>
          </cell>
          <cell r="C2117">
            <v>500236</v>
          </cell>
          <cell r="D2117" t="str">
            <v>KANELIND</v>
          </cell>
          <cell r="E2117" t="str">
            <v>Comm.Trading  &amp;amp; Distribution</v>
          </cell>
        </row>
        <row r="2118">
          <cell r="B2118" t="str">
            <v>KANISHK STEEL INDUSTRIES LTD</v>
          </cell>
          <cell r="C2118">
            <v>513456</v>
          </cell>
          <cell r="D2118" t="str">
            <v>Not Listed</v>
          </cell>
          <cell r="E2118" t="str">
            <v>Iron &amp; Steel Products</v>
          </cell>
        </row>
        <row r="2119">
          <cell r="B2119" t="str">
            <v>KANORIA CHEMICALS &amp; INDUSTRIES LTD</v>
          </cell>
          <cell r="C2119">
            <v>506525</v>
          </cell>
          <cell r="D2119" t="str">
            <v>KANORICHEM</v>
          </cell>
          <cell r="E2119" t="str">
            <v>Commodity Chemicals</v>
          </cell>
        </row>
        <row r="2120">
          <cell r="B2120" t="str">
            <v>KANPUR PLASTIPACK LTD</v>
          </cell>
          <cell r="C2120">
            <v>507779</v>
          </cell>
          <cell r="D2120" t="str">
            <v>Not Listed</v>
          </cell>
          <cell r="E2120" t="str">
            <v>Containers &amp; Packaging</v>
          </cell>
        </row>
        <row r="2121">
          <cell r="B2121" t="str">
            <v>KANSAI NEROLAC PAINTS LTD</v>
          </cell>
          <cell r="C2121">
            <v>500165</v>
          </cell>
          <cell r="D2121" t="str">
            <v>KANSAINER</v>
          </cell>
          <cell r="E2121" t="str">
            <v>Furniture-Furnishing-Paints</v>
          </cell>
        </row>
        <row r="2122">
          <cell r="B2122" t="str">
            <v>KANUNGO FINANCIERS LTD</v>
          </cell>
          <cell r="C2122">
            <v>540515</v>
          </cell>
          <cell r="D2122" t="str">
            <v>Not Listed</v>
          </cell>
          <cell r="E2122" t="str">
            <v>Other Financial Services</v>
          </cell>
        </row>
        <row r="2123">
          <cell r="B2123" t="str">
            <v>KAPASHI COMMERCIALS LTD</v>
          </cell>
          <cell r="C2123">
            <v>512399</v>
          </cell>
          <cell r="D2123" t="str">
            <v>Not Listed</v>
          </cell>
          <cell r="E2123" t="str">
            <v>Other Financial Services</v>
          </cell>
        </row>
        <row r="2124">
          <cell r="B2124" t="str">
            <v>KAPIL COTEX LTD</v>
          </cell>
          <cell r="C2124">
            <v>512036</v>
          </cell>
          <cell r="D2124" t="str">
            <v>Not Listed</v>
          </cell>
          <cell r="E2124" t="str">
            <v>Textiles</v>
          </cell>
        </row>
        <row r="2125">
          <cell r="B2125" t="str">
            <v>KAPIL RAJ FINANCE LTD</v>
          </cell>
          <cell r="C2125">
            <v>539679</v>
          </cell>
          <cell r="D2125" t="str">
            <v>Not Listed</v>
          </cell>
          <cell r="E2125" t="str">
            <v>Finance (including NBFCs)</v>
          </cell>
        </row>
        <row r="2126">
          <cell r="B2126" t="str">
            <v>KAPSTON FACILITIES MANAGEMENT LTD</v>
          </cell>
          <cell r="C2126" t="str">
            <v>Not Listed</v>
          </cell>
          <cell r="D2126" t="str">
            <v>KAPSTON</v>
          </cell>
          <cell r="E2126" t="str">
            <v>SME</v>
          </cell>
        </row>
        <row r="2127">
          <cell r="B2127" t="str">
            <v>KARAN WOO-SIN LTD</v>
          </cell>
          <cell r="C2127">
            <v>526115</v>
          </cell>
          <cell r="D2127" t="str">
            <v>Not Listed</v>
          </cell>
          <cell r="E2127" t="str">
            <v>Other Apparels &amp; Accessories</v>
          </cell>
        </row>
        <row r="2128">
          <cell r="B2128" t="str">
            <v>KARDA CONSTRUCTIONS LTD</v>
          </cell>
          <cell r="C2128">
            <v>541161</v>
          </cell>
          <cell r="D2128" t="str">
            <v>KARDA</v>
          </cell>
          <cell r="E2128" t="str">
            <v>Realty</v>
          </cell>
        </row>
        <row r="2129">
          <cell r="B2129" t="str">
            <v>KARMA ENERGY LTD</v>
          </cell>
          <cell r="C2129">
            <v>533451</v>
          </cell>
          <cell r="D2129" t="str">
            <v>KARMAENG</v>
          </cell>
          <cell r="E2129" t="str">
            <v>Electric Utilities</v>
          </cell>
        </row>
        <row r="2130">
          <cell r="B2130" t="str">
            <v>KARNAVATI FINANCE LTD</v>
          </cell>
          <cell r="C2130">
            <v>538928</v>
          </cell>
          <cell r="D2130" t="str">
            <v>Not Listed</v>
          </cell>
          <cell r="E2130" t="str">
            <v>Finance (including NBFCs)</v>
          </cell>
        </row>
        <row r="2131">
          <cell r="B2131" t="str">
            <v>KARNIMATA COLD STORAGE LTD</v>
          </cell>
          <cell r="C2131">
            <v>537784</v>
          </cell>
          <cell r="D2131" t="str">
            <v>Not Listed</v>
          </cell>
          <cell r="E2131" t="str">
            <v>Misc.Commercial Services</v>
          </cell>
        </row>
        <row r="2132">
          <cell r="B2132" t="str">
            <v>KARUR VYSYA BANK LTD</v>
          </cell>
          <cell r="C2132">
            <v>590003</v>
          </cell>
          <cell r="D2132" t="str">
            <v>KARURVYSYA</v>
          </cell>
          <cell r="E2132" t="str">
            <v>Banks</v>
          </cell>
        </row>
        <row r="2133">
          <cell r="B2133" t="str">
            <v>KARUTURI GLOBAL LTD</v>
          </cell>
          <cell r="C2133">
            <v>531687</v>
          </cell>
          <cell r="D2133" t="str">
            <v>KGL</v>
          </cell>
          <cell r="E2133" t="str">
            <v>Other Agricultural Products</v>
          </cell>
        </row>
        <row r="2134">
          <cell r="B2134" t="str">
            <v>KASHIRAM JAIN AND COMPANY LTD</v>
          </cell>
          <cell r="C2134">
            <v>539533</v>
          </cell>
          <cell r="D2134" t="str">
            <v>Not Listed</v>
          </cell>
          <cell r="E2134" t="str">
            <v>Other Financial Services</v>
          </cell>
        </row>
        <row r="2135">
          <cell r="B2135" t="str">
            <v>KATARE SPINNING MILLS LTD</v>
          </cell>
          <cell r="C2135">
            <v>502933</v>
          </cell>
          <cell r="D2135" t="str">
            <v>Not Listed</v>
          </cell>
          <cell r="E2135" t="str">
            <v>Textiles</v>
          </cell>
        </row>
        <row r="2136">
          <cell r="B2136" t="str">
            <v>KAUSHALYA INFRASTRUCTURE DEVELOPMENT CORPORATION LTD</v>
          </cell>
          <cell r="C2136">
            <v>532925</v>
          </cell>
          <cell r="D2136" t="str">
            <v>KAUSHALYA</v>
          </cell>
          <cell r="E2136" t="str">
            <v>Construction &amp; Engineering</v>
          </cell>
        </row>
        <row r="2137">
          <cell r="B2137" t="str">
            <v>KAVERI SEED COMPANY LTD</v>
          </cell>
          <cell r="C2137">
            <v>532899</v>
          </cell>
          <cell r="D2137" t="str">
            <v>KSCL</v>
          </cell>
          <cell r="E2137" t="str">
            <v>Other Agricultural Products</v>
          </cell>
        </row>
        <row r="2138">
          <cell r="B2138" t="str">
            <v>KAVIT INDUSTRIES LTD</v>
          </cell>
          <cell r="C2138">
            <v>524444</v>
          </cell>
          <cell r="D2138" t="str">
            <v>Not Listed</v>
          </cell>
          <cell r="E2138" t="str">
            <v>Edible Oils</v>
          </cell>
        </row>
        <row r="2139">
          <cell r="B2139" t="str">
            <v>KAVITA FABRICS LTD</v>
          </cell>
          <cell r="C2139">
            <v>535136</v>
          </cell>
          <cell r="D2139" t="str">
            <v>Not Listed</v>
          </cell>
          <cell r="E2139" t="str">
            <v>Textiles</v>
          </cell>
        </row>
        <row r="2140">
          <cell r="B2140" t="str">
            <v>KAVVERI TELECOM PRODUCTS LTD</v>
          </cell>
          <cell r="C2140">
            <v>590041</v>
          </cell>
          <cell r="D2140" t="str">
            <v>KAVVERITEL</v>
          </cell>
          <cell r="E2140" t="str">
            <v>Telecom Equipment</v>
          </cell>
        </row>
        <row r="2141">
          <cell r="B2141" t="str">
            <v>KAY POWER AND PAPER LTD</v>
          </cell>
          <cell r="C2141">
            <v>530255</v>
          </cell>
          <cell r="D2141" t="str">
            <v>Not Listed</v>
          </cell>
          <cell r="E2141" t="str">
            <v>Paper &amp; Paper Products</v>
          </cell>
        </row>
        <row r="2142">
          <cell r="B2142" t="str">
            <v>KAYA LTD</v>
          </cell>
          <cell r="C2142">
            <v>539276</v>
          </cell>
          <cell r="D2142" t="str">
            <v>KAYA</v>
          </cell>
          <cell r="E2142" t="str">
            <v>Sp.Consumer Services</v>
          </cell>
        </row>
        <row r="2143">
          <cell r="B2143" t="str">
            <v>KAYCEE INDUSTRIES LTD</v>
          </cell>
          <cell r="C2143">
            <v>504084</v>
          </cell>
          <cell r="D2143" t="str">
            <v>Not Listed</v>
          </cell>
          <cell r="E2143" t="str">
            <v>Other Elect.Equip./ Prod.</v>
          </cell>
        </row>
        <row r="2144">
          <cell r="B2144" t="str">
            <v>KAYEL SECURITIES LTD</v>
          </cell>
          <cell r="C2144">
            <v>539562</v>
          </cell>
          <cell r="D2144" t="str">
            <v>Not Listed</v>
          </cell>
          <cell r="E2144" t="str">
            <v>Other Financial Services</v>
          </cell>
        </row>
        <row r="2145">
          <cell r="B2145" t="str">
            <v>KBS (INDIA) LTD</v>
          </cell>
          <cell r="C2145">
            <v>530357</v>
          </cell>
          <cell r="D2145" t="str">
            <v>Not Listed</v>
          </cell>
          <cell r="E2145" t="str">
            <v>Other Financial Services</v>
          </cell>
        </row>
        <row r="2146">
          <cell r="B2146" t="str">
            <v>KBS INDIA LTD</v>
          </cell>
          <cell r="C2146">
            <v>530357</v>
          </cell>
          <cell r="D2146" t="str">
            <v>Not Listed</v>
          </cell>
          <cell r="E2146" t="str">
            <v>Other Financial Services</v>
          </cell>
        </row>
        <row r="2147">
          <cell r="B2147" t="str">
            <v>KCCL PLASTIC LTD</v>
          </cell>
          <cell r="C2147">
            <v>526067</v>
          </cell>
          <cell r="D2147" t="str">
            <v>Not Listed</v>
          </cell>
          <cell r="E2147" t="str">
            <v>Containers &amp; Packaging</v>
          </cell>
        </row>
        <row r="2148">
          <cell r="B2148" t="str">
            <v>KCL INFRA PROJECTS LTD</v>
          </cell>
          <cell r="C2148">
            <v>531784</v>
          </cell>
          <cell r="D2148" t="str">
            <v>Not Listed</v>
          </cell>
          <cell r="E2148" t="str">
            <v>Construction &amp; Engineering</v>
          </cell>
        </row>
        <row r="2149">
          <cell r="B2149" t="str">
            <v>KCP LTD</v>
          </cell>
          <cell r="C2149">
            <v>590066</v>
          </cell>
          <cell r="D2149" t="str">
            <v>KCP</v>
          </cell>
          <cell r="E2149" t="str">
            <v>Cement &amp; Cement Products</v>
          </cell>
        </row>
        <row r="2150">
          <cell r="B2150" t="str">
            <v>KCP SUGAR AND INDUSTRIES CORPORATION LTD</v>
          </cell>
          <cell r="C2150">
            <v>533192</v>
          </cell>
          <cell r="D2150" t="str">
            <v>KCPSUGIND</v>
          </cell>
          <cell r="E2150" t="str">
            <v>Sugar</v>
          </cell>
        </row>
        <row r="2151">
          <cell r="B2151" t="str">
            <v>KD LEISURES LTD</v>
          </cell>
          <cell r="C2151">
            <v>540385</v>
          </cell>
          <cell r="D2151" t="str">
            <v>Not Listed</v>
          </cell>
          <cell r="E2151" t="str">
            <v>Other Financial Services</v>
          </cell>
        </row>
        <row r="2152">
          <cell r="B2152" t="str">
            <v>KDDL LTD</v>
          </cell>
          <cell r="C2152">
            <v>532054</v>
          </cell>
          <cell r="D2152" t="str">
            <v>KDDL</v>
          </cell>
          <cell r="E2152" t="str">
            <v>Other Apparels &amp; Accessories</v>
          </cell>
        </row>
        <row r="2153">
          <cell r="B2153" t="str">
            <v>KEC INTERNATIONAL LTD</v>
          </cell>
          <cell r="C2153">
            <v>532714</v>
          </cell>
          <cell r="D2153" t="str">
            <v>KEC</v>
          </cell>
          <cell r="E2153" t="str">
            <v>Heavy Electrical Equipment</v>
          </cell>
        </row>
        <row r="2154">
          <cell r="B2154" t="str">
            <v>KEDIA CONSTRUCTION CO LTD</v>
          </cell>
          <cell r="C2154">
            <v>508993</v>
          </cell>
          <cell r="D2154" t="str">
            <v>Not Listed</v>
          </cell>
          <cell r="E2154" t="str">
            <v>Realty</v>
          </cell>
        </row>
        <row r="2155">
          <cell r="B2155" t="str">
            <v>KEERTHI INDUSTRIES LTD</v>
          </cell>
          <cell r="C2155">
            <v>518011</v>
          </cell>
          <cell r="D2155" t="str">
            <v>Not Listed</v>
          </cell>
          <cell r="E2155" t="str">
            <v>Cement &amp; Cement Products</v>
          </cell>
        </row>
        <row r="2156">
          <cell r="B2156" t="str">
            <v>KEERTI KNOWLEDGE AND SKILLS LTD</v>
          </cell>
          <cell r="C2156" t="str">
            <v>Not Listed</v>
          </cell>
          <cell r="D2156" t="str">
            <v>KEERTI</v>
          </cell>
          <cell r="E2156" t="str">
            <v>SME</v>
          </cell>
        </row>
        <row r="2157">
          <cell r="B2157" t="str">
            <v>KEI INDUSTRIES LTD</v>
          </cell>
          <cell r="C2157">
            <v>517569</v>
          </cell>
          <cell r="D2157" t="str">
            <v>KEI</v>
          </cell>
          <cell r="E2157" t="str">
            <v>Other Elect.Equip./ Prod.</v>
          </cell>
        </row>
        <row r="2158">
          <cell r="B2158" t="str">
            <v>KELLTON TECH SOLUTIONS LTD</v>
          </cell>
          <cell r="C2158">
            <v>519602</v>
          </cell>
          <cell r="D2158" t="str">
            <v>KELLTONTEC</v>
          </cell>
          <cell r="E2158" t="str">
            <v>IT Software Products</v>
          </cell>
        </row>
        <row r="2159">
          <cell r="B2159" t="str">
            <v>KELTECH ENERGIES LTD</v>
          </cell>
          <cell r="C2159">
            <v>506528</v>
          </cell>
          <cell r="D2159" t="str">
            <v>Not Listed</v>
          </cell>
          <cell r="E2159" t="str">
            <v>Specialty Chemicals</v>
          </cell>
        </row>
        <row r="2160">
          <cell r="B2160" t="str">
            <v>Kemistar Corporation LTD</v>
          </cell>
          <cell r="C2160">
            <v>531163</v>
          </cell>
          <cell r="D2160" t="str">
            <v>KEMISTAR</v>
          </cell>
          <cell r="E2160" t="str">
            <v>Specialty Chemicals</v>
          </cell>
        </row>
        <row r="2161">
          <cell r="B2161" t="str">
            <v>KEMP &amp; COMPANY LTD</v>
          </cell>
          <cell r="C2161">
            <v>506530</v>
          </cell>
          <cell r="D2161" t="str">
            <v>Not Listed</v>
          </cell>
          <cell r="E2161" t="str">
            <v>Containers &amp; Packaging</v>
          </cell>
        </row>
        <row r="2162">
          <cell r="B2162" t="str">
            <v>KENNAMETAL (INDIA) LTD</v>
          </cell>
          <cell r="C2162">
            <v>505890</v>
          </cell>
          <cell r="D2162" t="str">
            <v>Not Listed</v>
          </cell>
          <cell r="E2162" t="str">
            <v>Industrial Machinery</v>
          </cell>
        </row>
        <row r="2163">
          <cell r="B2163" t="str">
            <v>KENNAMETAL INDIA LTD</v>
          </cell>
          <cell r="C2163">
            <v>505890</v>
          </cell>
          <cell r="D2163" t="str">
            <v>Not Listed</v>
          </cell>
          <cell r="E2163" t="str">
            <v>Industrial Machinery</v>
          </cell>
        </row>
        <row r="2164">
          <cell r="B2164" t="str">
            <v>KENVI JEWELS LTD</v>
          </cell>
          <cell r="C2164">
            <v>540953</v>
          </cell>
          <cell r="D2164" t="str">
            <v>Not Listed</v>
          </cell>
          <cell r="E2164" t="str">
            <v>Other Apparels &amp; Accessories</v>
          </cell>
        </row>
        <row r="2165">
          <cell r="B2165" t="str">
            <v>KERALA AYURVEDA LTD</v>
          </cell>
          <cell r="C2165">
            <v>530163</v>
          </cell>
          <cell r="D2165" t="str">
            <v>Not Listed</v>
          </cell>
          <cell r="E2165" t="str">
            <v>Pharmaceuticals</v>
          </cell>
        </row>
        <row r="2166">
          <cell r="B2166" t="str">
            <v>KERNEX MICROSYSTEMS (INDIA) LTD</v>
          </cell>
          <cell r="C2166">
            <v>532686</v>
          </cell>
          <cell r="D2166" t="str">
            <v>KERNEX</v>
          </cell>
          <cell r="E2166" t="str">
            <v>Transport Related Services</v>
          </cell>
        </row>
        <row r="2167">
          <cell r="B2167" t="str">
            <v>KERNEX MICROSYSTEMS INDIA LTD</v>
          </cell>
          <cell r="C2167">
            <v>532686</v>
          </cell>
          <cell r="D2167" t="str">
            <v>KERNEX</v>
          </cell>
          <cell r="E2167" t="str">
            <v>Transport Related Services</v>
          </cell>
        </row>
        <row r="2168">
          <cell r="B2168" t="str">
            <v>KESAR ENTERPRISES LTD</v>
          </cell>
          <cell r="C2168">
            <v>507180</v>
          </cell>
          <cell r="D2168" t="str">
            <v>KESARENT</v>
          </cell>
          <cell r="E2168" t="str">
            <v>Sugar</v>
          </cell>
        </row>
        <row r="2169">
          <cell r="B2169" t="str">
            <v>KESAR PETROPRODUCTS LTD</v>
          </cell>
          <cell r="C2169">
            <v>524174</v>
          </cell>
          <cell r="D2169" t="str">
            <v>Not Listed</v>
          </cell>
          <cell r="E2169" t="str">
            <v>Commodity Chemicals</v>
          </cell>
        </row>
        <row r="2170">
          <cell r="B2170" t="str">
            <v>KESAR TERMINALS &amp; INFRASTRUCTURE LTD</v>
          </cell>
          <cell r="C2170">
            <v>533289</v>
          </cell>
          <cell r="D2170" t="str">
            <v>KTIL</v>
          </cell>
          <cell r="E2170" t="str">
            <v>Transportation - Logistics</v>
          </cell>
        </row>
        <row r="2171">
          <cell r="B2171" t="str">
            <v>KESORAM INDUSTRIES LTD</v>
          </cell>
          <cell r="C2171">
            <v>502937</v>
          </cell>
          <cell r="D2171" t="str">
            <v>KESORAMIND</v>
          </cell>
          <cell r="E2171" t="str">
            <v>Diversified</v>
          </cell>
        </row>
        <row r="2172">
          <cell r="B2172" t="str">
            <v>KEWAL KIRAN CLOTHING LTD</v>
          </cell>
          <cell r="C2172">
            <v>532732</v>
          </cell>
          <cell r="D2172" t="str">
            <v>KKCL</v>
          </cell>
          <cell r="E2172" t="str">
            <v>Other Apparels &amp; Accessories</v>
          </cell>
        </row>
        <row r="2173">
          <cell r="B2173" t="str">
            <v>KEY CORP LTD</v>
          </cell>
          <cell r="C2173">
            <v>507948</v>
          </cell>
          <cell r="D2173" t="str">
            <v>Not Listed</v>
          </cell>
          <cell r="E2173" t="str">
            <v>Finance (including NBFCs)</v>
          </cell>
        </row>
        <row r="2174">
          <cell r="B2174" t="str">
            <v>KEYNOTE CORPORATE SERVICES LTD</v>
          </cell>
          <cell r="C2174">
            <v>512597</v>
          </cell>
          <cell r="D2174" t="str">
            <v>KEYCORPSER</v>
          </cell>
          <cell r="E2174" t="str">
            <v>Finance (including NBFCs)</v>
          </cell>
        </row>
        <row r="2175">
          <cell r="B2175" t="str">
            <v>Keynote Financial Services LTD</v>
          </cell>
          <cell r="C2175" t="str">
            <v>Not Listed</v>
          </cell>
          <cell r="D2175" t="str">
            <v>KEYFINSERV</v>
          </cell>
          <cell r="E2175" t="str">
            <v>Finance (including NBFCs)</v>
          </cell>
        </row>
        <row r="2176">
          <cell r="B2176" t="str">
            <v>KG DENIM LTD</v>
          </cell>
          <cell r="C2176">
            <v>500239</v>
          </cell>
          <cell r="D2176" t="str">
            <v>Not Listed</v>
          </cell>
          <cell r="E2176" t="str">
            <v>Textiles</v>
          </cell>
        </row>
        <row r="2177">
          <cell r="B2177" t="str">
            <v>KG PETROCHEM LTD</v>
          </cell>
          <cell r="C2177">
            <v>531609</v>
          </cell>
          <cell r="D2177" t="str">
            <v>Not Listed</v>
          </cell>
          <cell r="E2177" t="str">
            <v>Containers &amp; Packaging</v>
          </cell>
        </row>
        <row r="2178">
          <cell r="B2178" t="str">
            <v>KHADIM (INDIA) LTD</v>
          </cell>
          <cell r="C2178">
            <v>540775</v>
          </cell>
          <cell r="D2178" t="str">
            <v>KHADIM</v>
          </cell>
          <cell r="E2178" t="str">
            <v>Footwear</v>
          </cell>
        </row>
        <row r="2179">
          <cell r="B2179" t="str">
            <v>KHADIM INDIA LTD</v>
          </cell>
          <cell r="C2179">
            <v>540775</v>
          </cell>
          <cell r="D2179" t="str">
            <v>KHADIM</v>
          </cell>
          <cell r="E2179" t="str">
            <v>Footwear</v>
          </cell>
        </row>
        <row r="2180">
          <cell r="B2180" t="str">
            <v>KHAITAN (INDIA) LTD</v>
          </cell>
          <cell r="C2180">
            <v>590068</v>
          </cell>
          <cell r="D2180" t="str">
            <v>KHAITANLTD</v>
          </cell>
          <cell r="E2180" t="str">
            <v>Comm.Trading  &amp; Distribution</v>
          </cell>
        </row>
        <row r="2181">
          <cell r="B2181" t="str">
            <v>KHAITAN CHEMICALS &amp; FERTILIZERS LTD</v>
          </cell>
          <cell r="C2181">
            <v>507794</v>
          </cell>
          <cell r="D2181" t="str">
            <v>Not Listed</v>
          </cell>
          <cell r="E2181" t="str">
            <v>Fertilizers</v>
          </cell>
        </row>
        <row r="2182">
          <cell r="B2182" t="str">
            <v>KHAITAN ELECTRICALS LTD.</v>
          </cell>
          <cell r="C2182">
            <v>504269</v>
          </cell>
          <cell r="D2182" t="str">
            <v>KHAITANELE</v>
          </cell>
          <cell r="E2182" t="str">
            <v>Household Appliances</v>
          </cell>
        </row>
        <row r="2183">
          <cell r="B2183" t="str">
            <v>KHAITAN INDIA LTD</v>
          </cell>
          <cell r="C2183">
            <v>590068</v>
          </cell>
          <cell r="D2183" t="str">
            <v>KHAITANLTD</v>
          </cell>
          <cell r="E2183" t="str">
            <v>Comm.Trading  &amp; Distribution</v>
          </cell>
        </row>
        <row r="2184">
          <cell r="B2184" t="str">
            <v>KHANDELWAL EXTRACTION LTD</v>
          </cell>
          <cell r="C2184">
            <v>519064</v>
          </cell>
          <cell r="D2184" t="str">
            <v>Not Listed</v>
          </cell>
          <cell r="E2184" t="str">
            <v>Other Agricultural Products</v>
          </cell>
        </row>
        <row r="2185">
          <cell r="B2185" t="str">
            <v>KHANDWALA SECURITIES LTD</v>
          </cell>
          <cell r="C2185">
            <v>531892</v>
          </cell>
          <cell r="D2185" t="str">
            <v>KHANDSE</v>
          </cell>
          <cell r="E2185" t="str">
            <v>Other Financial Services</v>
          </cell>
        </row>
        <row r="2186">
          <cell r="B2186" t="str">
            <v>KHATAU EXIM LTD</v>
          </cell>
          <cell r="C2186">
            <v>506178</v>
          </cell>
          <cell r="D2186" t="str">
            <v>Not Listed</v>
          </cell>
          <cell r="E2186" t="str">
            <v>Comm.Trading  &amp; Distribution</v>
          </cell>
        </row>
        <row r="2187">
          <cell r="B2187" t="str">
            <v>KHATOR FIBRE &amp; FABRICS LTD</v>
          </cell>
          <cell r="C2187">
            <v>521127</v>
          </cell>
          <cell r="D2187" t="str">
            <v>Not Listed</v>
          </cell>
          <cell r="E2187" t="str">
            <v>Textiles</v>
          </cell>
        </row>
        <row r="2188">
          <cell r="B2188" t="str">
            <v>KHEMANI DISTRIBUTORS &amp; MARKETING LTD</v>
          </cell>
          <cell r="C2188">
            <v>539788</v>
          </cell>
          <cell r="D2188" t="str">
            <v>Not Listed</v>
          </cell>
          <cell r="E2188" t="str">
            <v>Distributors</v>
          </cell>
        </row>
        <row r="2189">
          <cell r="B2189" t="str">
            <v>KHODAY (INDIA) LTD</v>
          </cell>
          <cell r="C2189">
            <v>507435</v>
          </cell>
          <cell r="D2189" t="str">
            <v>Not Listed</v>
          </cell>
          <cell r="E2189" t="str">
            <v>Breweries &amp; Distilleries</v>
          </cell>
        </row>
        <row r="2190">
          <cell r="B2190" t="str">
            <v>KHODAY INDIA LTD</v>
          </cell>
          <cell r="C2190">
            <v>507435</v>
          </cell>
          <cell r="D2190" t="str">
            <v>Not Listed</v>
          </cell>
          <cell r="E2190" t="str">
            <v>Breweries &amp; Distilleries</v>
          </cell>
        </row>
        <row r="2191">
          <cell r="B2191" t="str">
            <v>KHOOBSURAT LTD</v>
          </cell>
          <cell r="C2191">
            <v>535730</v>
          </cell>
          <cell r="D2191" t="str">
            <v>Not Listed</v>
          </cell>
          <cell r="E2191" t="str">
            <v>Textiles</v>
          </cell>
        </row>
        <row r="2192">
          <cell r="B2192" t="str">
            <v>KHYATI MULTIMEDIA-ENTERTAINMENT LTD</v>
          </cell>
          <cell r="C2192">
            <v>531692</v>
          </cell>
          <cell r="D2192" t="str">
            <v>Not Listed</v>
          </cell>
          <cell r="E2192" t="str">
            <v>Hotels</v>
          </cell>
        </row>
        <row r="2193">
          <cell r="B2193" t="str">
            <v>KIC METALIKS LTD</v>
          </cell>
          <cell r="C2193">
            <v>513693</v>
          </cell>
          <cell r="D2193" t="str">
            <v>Not Listed</v>
          </cell>
          <cell r="E2193" t="str">
            <v>Iron &amp; Steel/Interm.Products</v>
          </cell>
        </row>
        <row r="2194">
          <cell r="B2194" t="str">
            <v>KIDS MEDICAL SYSTEMS LTD</v>
          </cell>
          <cell r="C2194">
            <v>540812</v>
          </cell>
          <cell r="D2194" t="str">
            <v>Not Listed</v>
          </cell>
          <cell r="E2194" t="str">
            <v>Healthcare Facilities</v>
          </cell>
        </row>
        <row r="2195">
          <cell r="B2195" t="str">
            <v>KIDUJA (INDIA) LTD</v>
          </cell>
          <cell r="C2195">
            <v>507946</v>
          </cell>
          <cell r="D2195" t="str">
            <v>Not Listed</v>
          </cell>
          <cell r="E2195" t="str">
            <v>Comm.Trading  &amp; Distribution</v>
          </cell>
        </row>
        <row r="2196">
          <cell r="B2196" t="str">
            <v>KIDUJA INDIA LTD</v>
          </cell>
          <cell r="C2196">
            <v>507946</v>
          </cell>
          <cell r="D2196" t="str">
            <v>Not Listed</v>
          </cell>
          <cell r="E2196" t="str">
            <v>Comm.Trading  &amp; Distribution</v>
          </cell>
        </row>
        <row r="2197">
          <cell r="B2197" t="str">
            <v>KIFS FINANCIAL SERVICES LTD</v>
          </cell>
          <cell r="C2197">
            <v>535566</v>
          </cell>
          <cell r="D2197" t="str">
            <v>Not Listed</v>
          </cell>
          <cell r="E2197" t="str">
            <v>Finance (including NBFCs)</v>
          </cell>
        </row>
        <row r="2198">
          <cell r="B2198" t="str">
            <v>KILBURN CHEMICALS LTD</v>
          </cell>
          <cell r="C2198">
            <v>524699</v>
          </cell>
          <cell r="D2198" t="str">
            <v>Not Listed</v>
          </cell>
          <cell r="E2198" t="str">
            <v>Commodity Chemicals</v>
          </cell>
        </row>
        <row r="2199">
          <cell r="B2199" t="str">
            <v>KILBURN ENGINEERING LTD</v>
          </cell>
          <cell r="C2199">
            <v>522101</v>
          </cell>
          <cell r="D2199" t="str">
            <v>Not Listed</v>
          </cell>
          <cell r="E2199" t="str">
            <v>Industrial Machinery</v>
          </cell>
        </row>
        <row r="2200">
          <cell r="B2200" t="str">
            <v>KILBURN OFFICE AUTOMATION LTD.</v>
          </cell>
          <cell r="C2200">
            <v>523218</v>
          </cell>
          <cell r="D2200" t="str">
            <v>KILBURN</v>
          </cell>
          <cell r="E2200" t="str">
            <v>Electronic Components</v>
          </cell>
        </row>
        <row r="2201">
          <cell r="B2201" t="str">
            <v>KILITCH DRUGS (INDIA) LTD</v>
          </cell>
          <cell r="C2201">
            <v>524500</v>
          </cell>
          <cell r="D2201" t="str">
            <v>KILITCH</v>
          </cell>
          <cell r="E2201" t="str">
            <v>Pharmaceuticals</v>
          </cell>
        </row>
        <row r="2202">
          <cell r="B2202" t="str">
            <v>KILITCH DRUGS INDIA LTD</v>
          </cell>
          <cell r="C2202">
            <v>524500</v>
          </cell>
          <cell r="D2202" t="str">
            <v>KILITCH</v>
          </cell>
          <cell r="E2202" t="str">
            <v>Pharmaceuticals</v>
          </cell>
        </row>
        <row r="2203">
          <cell r="B2203" t="str">
            <v>KILPEST (INDIA) LTD</v>
          </cell>
          <cell r="C2203">
            <v>532067</v>
          </cell>
          <cell r="D2203" t="str">
            <v>Not Listed</v>
          </cell>
          <cell r="E2203" t="str">
            <v>Agrochemicals</v>
          </cell>
        </row>
        <row r="2204">
          <cell r="B2204" t="str">
            <v>KILPEST INDIA LTD</v>
          </cell>
          <cell r="C2204">
            <v>532067</v>
          </cell>
          <cell r="D2204" t="str">
            <v>Not Listed</v>
          </cell>
          <cell r="E2204" t="str">
            <v>Agrochemicals</v>
          </cell>
        </row>
        <row r="2205">
          <cell r="B2205" t="str">
            <v>Kimia Biosciences Ltd</v>
          </cell>
          <cell r="C2205">
            <v>530313</v>
          </cell>
          <cell r="D2205" t="str">
            <v>KIMIABL</v>
          </cell>
          <cell r="E2205" t="str">
            <v>Pharmaceuticals</v>
          </cell>
        </row>
        <row r="2206">
          <cell r="B2206" t="str">
            <v>KINETIC ENGINEERING LTD</v>
          </cell>
          <cell r="C2206">
            <v>500240</v>
          </cell>
          <cell r="D2206" t="str">
            <v>Not Listed</v>
          </cell>
          <cell r="E2206" t="str">
            <v>2/3 Wheelers</v>
          </cell>
        </row>
        <row r="2207">
          <cell r="B2207" t="str">
            <v>KINETIC TRUST LTD</v>
          </cell>
          <cell r="C2207">
            <v>531274</v>
          </cell>
          <cell r="D2207" t="str">
            <v>Not Listed</v>
          </cell>
          <cell r="E2207" t="str">
            <v>Finance (including NBFCs)</v>
          </cell>
        </row>
        <row r="2208">
          <cell r="B2208" t="str">
            <v>KINGFA SCIENCE &amp; TECHNOLOGY (INDIA) LTD</v>
          </cell>
          <cell r="C2208">
            <v>524019</v>
          </cell>
          <cell r="D2208" t="str">
            <v>KINGFA</v>
          </cell>
          <cell r="E2208" t="str">
            <v>Plastic Products</v>
          </cell>
        </row>
        <row r="2209">
          <cell r="B2209" t="str">
            <v>KINGFA SCIENCE &amp; TECHNOLOGY INDIA LTD</v>
          </cell>
          <cell r="C2209">
            <v>524019</v>
          </cell>
          <cell r="D2209" t="str">
            <v>KINGFA</v>
          </cell>
          <cell r="E2209" t="str">
            <v>Plastic Products</v>
          </cell>
        </row>
        <row r="2210">
          <cell r="B2210" t="str">
            <v>KINGS INFRA VENTURES LTD</v>
          </cell>
          <cell r="C2210">
            <v>530215</v>
          </cell>
          <cell r="D2210" t="str">
            <v>Not Listed</v>
          </cell>
          <cell r="E2210" t="str">
            <v>Realty</v>
          </cell>
        </row>
        <row r="2211">
          <cell r="B2211" t="str">
            <v>KINTECH RENEWABLES LTD</v>
          </cell>
          <cell r="C2211">
            <v>512329</v>
          </cell>
          <cell r="D2211" t="str">
            <v>Not Listed</v>
          </cell>
          <cell r="E2211" t="str">
            <v>Misc.Commercial Services</v>
          </cell>
        </row>
        <row r="2212">
          <cell r="B2212" t="str">
            <v>KIOCL LTD</v>
          </cell>
          <cell r="C2212">
            <v>540680</v>
          </cell>
          <cell r="D2212" t="str">
            <v>KIOCL</v>
          </cell>
          <cell r="E2212" t="str">
            <v>Iron &amp; Steel/Interm.Products</v>
          </cell>
        </row>
        <row r="2213">
          <cell r="B2213" t="str">
            <v>KIRAN PRINT-PACK LTD</v>
          </cell>
          <cell r="C2213">
            <v>531413</v>
          </cell>
          <cell r="D2213" t="str">
            <v>Not Listed</v>
          </cell>
          <cell r="E2213" t="str">
            <v>Comm.Printing/Stationery</v>
          </cell>
        </row>
        <row r="2214">
          <cell r="B2214" t="str">
            <v>KIRAN VYAPAR LTD</v>
          </cell>
          <cell r="C2214">
            <v>537750</v>
          </cell>
          <cell r="D2214" t="str">
            <v>Not Listed</v>
          </cell>
          <cell r="E2214" t="str">
            <v>Investment Companies</v>
          </cell>
        </row>
        <row r="2215">
          <cell r="B2215" t="str">
            <v>KIRI INDUSTRIES LTD</v>
          </cell>
          <cell r="C2215">
            <v>532967</v>
          </cell>
          <cell r="D2215" t="str">
            <v>KIRIINDUS</v>
          </cell>
          <cell r="E2215" t="str">
            <v>Specialty Chemicals</v>
          </cell>
        </row>
        <row r="2216">
          <cell r="B2216" t="str">
            <v>KIRLOSKAR BROTHERS LTD</v>
          </cell>
          <cell r="C2216">
            <v>500241</v>
          </cell>
          <cell r="D2216" t="str">
            <v>KIRLOSBROS</v>
          </cell>
          <cell r="E2216" t="str">
            <v>Industrial Machinery</v>
          </cell>
        </row>
        <row r="2217">
          <cell r="B2217" t="str">
            <v>KIRLOSKAR ELECTRIC COMPANY LTD</v>
          </cell>
          <cell r="C2217">
            <v>533193</v>
          </cell>
          <cell r="D2217" t="str">
            <v>KECL</v>
          </cell>
          <cell r="E2217" t="str">
            <v>Other Elect.Equip./ Prod.</v>
          </cell>
        </row>
        <row r="2218">
          <cell r="B2218" t="str">
            <v>KIRLOSKAR FERROUS INDUSTRIES LTD</v>
          </cell>
          <cell r="C2218">
            <v>500245</v>
          </cell>
          <cell r="D2218" t="str">
            <v>Not Listed</v>
          </cell>
          <cell r="E2218" t="str">
            <v>Iron &amp; Steel/Interm.Products</v>
          </cell>
        </row>
        <row r="2219">
          <cell r="B2219" t="str">
            <v>KIRLOSKAR INDUSTRIES LTD</v>
          </cell>
          <cell r="C2219">
            <v>500243</v>
          </cell>
          <cell r="D2219" t="str">
            <v>KIRLOSIND</v>
          </cell>
          <cell r="E2219" t="str">
            <v>Industrial Machinery</v>
          </cell>
        </row>
        <row r="2220">
          <cell r="B2220" t="str">
            <v>KIRLOSKAR OIL ENGINES LTD</v>
          </cell>
          <cell r="C2220">
            <v>533293</v>
          </cell>
          <cell r="D2220" t="str">
            <v>KIRLOSENG</v>
          </cell>
          <cell r="E2220" t="str">
            <v>Auto Parts &amp; Equipment</v>
          </cell>
        </row>
        <row r="2221">
          <cell r="B2221" t="str">
            <v>KIRLOSKAR PNEUMATIC CO LTD</v>
          </cell>
          <cell r="C2221">
            <v>505283</v>
          </cell>
          <cell r="D2221" t="str">
            <v>Not Listed</v>
          </cell>
          <cell r="E2221" t="str">
            <v>Industrial Machinery</v>
          </cell>
        </row>
        <row r="2222">
          <cell r="B2222" t="str">
            <v>KISAN MOULDINGS LTD</v>
          </cell>
          <cell r="C2222">
            <v>530145</v>
          </cell>
          <cell r="D2222" t="str">
            <v>Not Listed</v>
          </cell>
          <cell r="E2222" t="str">
            <v>Plastic Products</v>
          </cell>
        </row>
        <row r="2223">
          <cell r="B2223" t="str">
            <v>KITEX GARMENTS LTD</v>
          </cell>
          <cell r="C2223">
            <v>521248</v>
          </cell>
          <cell r="D2223" t="str">
            <v>KITEX</v>
          </cell>
          <cell r="E2223" t="str">
            <v>Other Apparels &amp; Accessories</v>
          </cell>
        </row>
        <row r="2224">
          <cell r="B2224" t="str">
            <v>KJMC CORPORATE ADVISORS (INDIA) LTD</v>
          </cell>
          <cell r="C2224">
            <v>532304</v>
          </cell>
          <cell r="D2224" t="str">
            <v>Not Listed</v>
          </cell>
          <cell r="E2224" t="str">
            <v>Other Financial Services</v>
          </cell>
        </row>
        <row r="2225">
          <cell r="B2225" t="str">
            <v>KJMC CORPORATE ADVISORS INDIA LTD</v>
          </cell>
          <cell r="C2225">
            <v>532304</v>
          </cell>
          <cell r="D2225" t="str">
            <v>Not Listed</v>
          </cell>
          <cell r="E2225" t="str">
            <v>Other Financial Services</v>
          </cell>
        </row>
        <row r="2226">
          <cell r="B2226" t="str">
            <v>KJMC FINANCIAL SERVICES LTD</v>
          </cell>
          <cell r="C2226">
            <v>530235</v>
          </cell>
          <cell r="D2226" t="str">
            <v>Not Listed</v>
          </cell>
          <cell r="E2226" t="str">
            <v>Finance (including NBFCs)</v>
          </cell>
        </row>
        <row r="2227">
          <cell r="B2227" t="str">
            <v>KKALPANA INDUSTRIES (INDIA) LTD</v>
          </cell>
          <cell r="C2227">
            <v>526409</v>
          </cell>
          <cell r="D2227" t="str">
            <v>Not Listed</v>
          </cell>
          <cell r="E2227" t="str">
            <v>Plastic Products</v>
          </cell>
        </row>
        <row r="2228">
          <cell r="B2228" t="str">
            <v>KKALPANA INDUSTRIES INDIA LTD</v>
          </cell>
          <cell r="C2228">
            <v>526409</v>
          </cell>
          <cell r="D2228" t="str">
            <v>Not Listed</v>
          </cell>
          <cell r="E2228" t="str">
            <v>Plastic Products</v>
          </cell>
        </row>
        <row r="2229">
          <cell r="B2229" t="str">
            <v>KKALPANA PLASTICK LTD</v>
          </cell>
          <cell r="C2229">
            <v>523652</v>
          </cell>
          <cell r="D2229" t="str">
            <v>Not Listed</v>
          </cell>
          <cell r="E2229" t="str">
            <v>Plastic Products</v>
          </cell>
        </row>
        <row r="2230">
          <cell r="B2230" t="str">
            <v>KKRRAFTON DEVELOPERS LTD</v>
          </cell>
          <cell r="C2230">
            <v>521238</v>
          </cell>
          <cell r="D2230" t="str">
            <v>Not Listed</v>
          </cell>
          <cell r="E2230" t="str">
            <v>Computer Hardware</v>
          </cell>
        </row>
        <row r="2231">
          <cell r="B2231" t="str">
            <v>KKV AGRO POWERS LTD</v>
          </cell>
          <cell r="C2231" t="str">
            <v>Not Listed</v>
          </cell>
          <cell r="D2231" t="str">
            <v>KKVAPOW</v>
          </cell>
          <cell r="E2231" t="str">
            <v>SME</v>
          </cell>
        </row>
        <row r="2232">
          <cell r="B2232" t="str">
            <v>KLG CAPITAL SERVICES LTD</v>
          </cell>
          <cell r="C2232">
            <v>530771</v>
          </cell>
          <cell r="D2232" t="str">
            <v>Not Listed</v>
          </cell>
          <cell r="E2232" t="str">
            <v>Finance (including NBFCs)</v>
          </cell>
        </row>
        <row r="2233">
          <cell r="B2233" t="str">
            <v>K-LIFESTYLE &amp; INDUSTRIES LTD</v>
          </cell>
          <cell r="C2233">
            <v>514221</v>
          </cell>
          <cell r="D2233" t="str">
            <v>Not Listed</v>
          </cell>
          <cell r="E2233" t="str">
            <v>Textiles</v>
          </cell>
        </row>
        <row r="2234">
          <cell r="B2234" t="str">
            <v>KLK Electrical Ltd</v>
          </cell>
          <cell r="C2234">
            <v>517170</v>
          </cell>
          <cell r="D2234" t="str">
            <v>KLKELEC</v>
          </cell>
          <cell r="E2234" t="str">
            <v>Other Elect.Equip./ Prod.</v>
          </cell>
        </row>
        <row r="2235">
          <cell r="B2235" t="str">
            <v>KMC SPECIALITY HOSPITALS (INDIA) LTD</v>
          </cell>
          <cell r="C2235">
            <v>524520</v>
          </cell>
          <cell r="D2235" t="str">
            <v>Not Listed</v>
          </cell>
          <cell r="E2235" t="str">
            <v>Healthcare Services</v>
          </cell>
        </row>
        <row r="2236">
          <cell r="B2236" t="str">
            <v>KMC SPECIALITY HOSPITALS INDIA LTD</v>
          </cell>
          <cell r="C2236">
            <v>524520</v>
          </cell>
          <cell r="D2236" t="str">
            <v>Not Listed</v>
          </cell>
          <cell r="E2236" t="str">
            <v>Healthcare Services</v>
          </cell>
        </row>
        <row r="2237">
          <cell r="B2237" t="str">
            <v>KMF BUILDERS &amp; DEVELOPERS LTD</v>
          </cell>
          <cell r="C2237">
            <v>531578</v>
          </cell>
          <cell r="D2237" t="str">
            <v>Not Listed</v>
          </cell>
          <cell r="E2237" t="str">
            <v>Realty</v>
          </cell>
        </row>
        <row r="2238">
          <cell r="B2238" t="str">
            <v>KMG MILK FOOD LTD</v>
          </cell>
          <cell r="C2238">
            <v>519415</v>
          </cell>
          <cell r="D2238" t="str">
            <v>Not Listed</v>
          </cell>
          <cell r="E2238" t="str">
            <v>Packaged Foods</v>
          </cell>
        </row>
        <row r="2239">
          <cell r="B2239" t="str">
            <v>KMS MEDISURGI LTD</v>
          </cell>
          <cell r="C2239">
            <v>540468</v>
          </cell>
          <cell r="D2239" t="str">
            <v>Not Listed</v>
          </cell>
          <cell r="E2239" t="str">
            <v>Healthcare Supplies</v>
          </cell>
        </row>
        <row r="2240">
          <cell r="B2240" t="str">
            <v>KNR CONSTRUCTIONS LTD</v>
          </cell>
          <cell r="C2240">
            <v>532942</v>
          </cell>
          <cell r="D2240" t="str">
            <v>KNRCON</v>
          </cell>
          <cell r="E2240" t="str">
            <v>Construction &amp; Engineering</v>
          </cell>
        </row>
        <row r="2241">
          <cell r="B2241" t="str">
            <v>KOHINOOR FOODS LTD</v>
          </cell>
          <cell r="C2241">
            <v>512559</v>
          </cell>
          <cell r="D2241" t="str">
            <v>KOHINOOR</v>
          </cell>
          <cell r="E2241" t="str">
            <v>Other Agricultural Products</v>
          </cell>
        </row>
        <row r="2242">
          <cell r="B2242" t="str">
            <v>KOKUYO CAMLIN LTD</v>
          </cell>
          <cell r="C2242">
            <v>523207</v>
          </cell>
          <cell r="D2242" t="str">
            <v>KOKUYOCMLN</v>
          </cell>
          <cell r="E2242" t="str">
            <v>Non-Durable Household Prod.</v>
          </cell>
        </row>
        <row r="2243">
          <cell r="B2243" t="str">
            <v>KOLTE - PATIL DEVELOPERS LTD</v>
          </cell>
          <cell r="C2243">
            <v>532924</v>
          </cell>
          <cell r="D2243" t="str">
            <v>KOLTEPATIL</v>
          </cell>
          <cell r="E2243" t="str">
            <v>Realty</v>
          </cell>
        </row>
        <row r="2244">
          <cell r="B2244" t="str">
            <v>KOME-ON COMMUNICATION LTD</v>
          </cell>
          <cell r="C2244">
            <v>539910</v>
          </cell>
          <cell r="D2244" t="str">
            <v>Not Listed</v>
          </cell>
          <cell r="E2244" t="str">
            <v>Movies &amp; Entertainment</v>
          </cell>
        </row>
        <row r="2245">
          <cell r="B2245" t="str">
            <v>KONARK SYNTHETIC LTD</v>
          </cell>
          <cell r="C2245">
            <v>514128</v>
          </cell>
          <cell r="D2245" t="str">
            <v>Not Listed</v>
          </cell>
          <cell r="E2245" t="str">
            <v>Textiles</v>
          </cell>
        </row>
        <row r="2246">
          <cell r="B2246" t="str">
            <v>KOPRAN LTD</v>
          </cell>
          <cell r="C2246">
            <v>524280</v>
          </cell>
          <cell r="D2246" t="str">
            <v>KOPRAN</v>
          </cell>
          <cell r="E2246" t="str">
            <v>Pharmaceuticals</v>
          </cell>
        </row>
        <row r="2247">
          <cell r="B2247" t="str">
            <v>KOTAK MAHINDRA BANK LTD</v>
          </cell>
          <cell r="C2247">
            <v>500247</v>
          </cell>
          <cell r="D2247" t="str">
            <v>KOTAKBANK</v>
          </cell>
          <cell r="E2247" t="str">
            <v>Banks</v>
          </cell>
        </row>
        <row r="2248">
          <cell r="B2248" t="str">
            <v>KOTAK MAHINDRA MUTUAL FUND - KOTAK GOLD EXCHANGE TRADED FUND</v>
          </cell>
          <cell r="C2248">
            <v>590097</v>
          </cell>
          <cell r="D2248" t="str">
            <v>KOTAKGOLD</v>
          </cell>
          <cell r="E2248" t="str">
            <v>Other Financial Services</v>
          </cell>
        </row>
        <row r="2249">
          <cell r="B2249" t="str">
            <v>KOTAK MAHINDRA MUTUAL FUND - KOTAK PSU BANK ETF</v>
          </cell>
          <cell r="C2249">
            <v>590107</v>
          </cell>
          <cell r="D2249" t="str">
            <v>KOTAKPSUBK</v>
          </cell>
          <cell r="E2249" t="str">
            <v>Other Financial Services</v>
          </cell>
        </row>
        <row r="2250">
          <cell r="B2250" t="str">
            <v>KOTAK SENSEX ETF</v>
          </cell>
          <cell r="C2250">
            <v>532985</v>
          </cell>
          <cell r="D2250" t="str">
            <v>KTKSENSEX</v>
          </cell>
          <cell r="E2250" t="str">
            <v>Other Financial Services</v>
          </cell>
        </row>
        <row r="2251">
          <cell r="B2251" t="str">
            <v>KOTHARI FERMENTATION &amp; BIOCHEM LTD</v>
          </cell>
          <cell r="C2251">
            <v>507474</v>
          </cell>
          <cell r="D2251" t="str">
            <v>Not Listed</v>
          </cell>
          <cell r="E2251" t="str">
            <v>Other Food Products</v>
          </cell>
        </row>
        <row r="2252">
          <cell r="B2252" t="str">
            <v>KOTHARI PETROCHEMICALS LTD</v>
          </cell>
          <cell r="C2252" t="str">
            <v>Not Listed</v>
          </cell>
          <cell r="D2252" t="str">
            <v>KOTHARIPET</v>
          </cell>
          <cell r="E2252" t="str">
            <v>Others</v>
          </cell>
        </row>
        <row r="2253">
          <cell r="B2253" t="str">
            <v>KOTHARI PRODUCTS LTD</v>
          </cell>
          <cell r="C2253">
            <v>530299</v>
          </cell>
          <cell r="D2253" t="str">
            <v>KOTHARIPRO</v>
          </cell>
          <cell r="E2253" t="str">
            <v>Comm.Trading  &amp; Distribution</v>
          </cell>
        </row>
        <row r="2254">
          <cell r="B2254" t="str">
            <v>KOTHARI SUGARS AND CHEMICALS LTD</v>
          </cell>
          <cell r="C2254" t="str">
            <v>Not Listed</v>
          </cell>
          <cell r="D2254" t="str">
            <v>KOTARISUG</v>
          </cell>
          <cell r="E2254" t="str">
            <v>Others</v>
          </cell>
        </row>
        <row r="2255">
          <cell r="B2255" t="str">
            <v>KOTHARI WORLD FINANCE LTD</v>
          </cell>
          <cell r="C2255">
            <v>511138</v>
          </cell>
          <cell r="D2255" t="str">
            <v>Not Listed</v>
          </cell>
          <cell r="E2255" t="str">
            <v>Finance (including NBFCs)</v>
          </cell>
        </row>
        <row r="2256">
          <cell r="B2256" t="str">
            <v>KOTIA ENTERPRISES LTD</v>
          </cell>
          <cell r="C2256">
            <v>539599</v>
          </cell>
          <cell r="D2256" t="str">
            <v>Not Listed</v>
          </cell>
          <cell r="E2256" t="str">
            <v>Distributors</v>
          </cell>
        </row>
        <row r="2257">
          <cell r="B2257" t="str">
            <v>KOVAI MEDICAL CENTER &amp; HOSPITAL LTD</v>
          </cell>
          <cell r="C2257">
            <v>523323</v>
          </cell>
          <cell r="D2257" t="str">
            <v>Not Listed</v>
          </cell>
          <cell r="E2257" t="str">
            <v>Healthcare Services</v>
          </cell>
        </row>
        <row r="2258">
          <cell r="B2258" t="str">
            <v>KOVALAM INVESTMENT &amp; TRADING CO LTD</v>
          </cell>
          <cell r="C2258">
            <v>505585</v>
          </cell>
          <cell r="D2258" t="str">
            <v>Not Listed</v>
          </cell>
          <cell r="E2258" t="str">
            <v>Misc.Commercial Services</v>
          </cell>
        </row>
        <row r="2259">
          <cell r="B2259" t="str">
            <v>KOVILPATTI LAKSHMI ROLLER FLOUR MILLS LTD</v>
          </cell>
          <cell r="C2259">
            <v>507598</v>
          </cell>
          <cell r="D2259" t="str">
            <v>Not Listed</v>
          </cell>
          <cell r="E2259" t="str">
            <v>Other Food Products</v>
          </cell>
        </row>
        <row r="2260">
          <cell r="B2260" t="str">
            <v>KPIT TECHNOLOGIES LTD</v>
          </cell>
          <cell r="C2260">
            <v>532400</v>
          </cell>
          <cell r="D2260" t="str">
            <v>KPIT</v>
          </cell>
          <cell r="E2260" t="str">
            <v>IT Consulting &amp; Software</v>
          </cell>
        </row>
        <row r="2261">
          <cell r="B2261" t="str">
            <v>KPIT Technologies Ltd</v>
          </cell>
          <cell r="C2261">
            <v>542651</v>
          </cell>
          <cell r="D2261" t="str">
            <v>KPITTECH</v>
          </cell>
          <cell r="E2261" t="str">
            <v>Auto Parts &amp;amp; Equipment</v>
          </cell>
        </row>
        <row r="2262">
          <cell r="B2262" t="str">
            <v>Kranti Industries Ltd</v>
          </cell>
          <cell r="C2262">
            <v>542459</v>
          </cell>
          <cell r="D2262" t="str">
            <v>KRANTI</v>
          </cell>
          <cell r="E2262" t="str">
            <v>Auto Parts &amp;amp; Equipment</v>
          </cell>
        </row>
        <row r="2263">
          <cell r="B2263" t="str">
            <v>KRATOS ENERGY &amp; INFRASTRUCTURE LTD</v>
          </cell>
          <cell r="C2263">
            <v>501261</v>
          </cell>
          <cell r="D2263" t="str">
            <v>Not Listed</v>
          </cell>
          <cell r="E2263" t="str">
            <v>Other Financial Services</v>
          </cell>
        </row>
        <row r="2264">
          <cell r="B2264" t="str">
            <v>KRBL LTD</v>
          </cell>
          <cell r="C2264">
            <v>530813</v>
          </cell>
          <cell r="D2264" t="str">
            <v>KRBL</v>
          </cell>
          <cell r="E2264" t="str">
            <v>Packaged Foods</v>
          </cell>
        </row>
        <row r="2265">
          <cell r="B2265" t="str">
            <v>KREBS BIOCHEMICALS AND INDUSTRIES LTD</v>
          </cell>
          <cell r="C2265">
            <v>524518</v>
          </cell>
          <cell r="D2265" t="str">
            <v>KREBSBIO</v>
          </cell>
          <cell r="E2265" t="str">
            <v>Pharmaceuticals</v>
          </cell>
        </row>
        <row r="2266">
          <cell r="B2266" t="str">
            <v>KREON FINNANCIAL SERVICES LTD</v>
          </cell>
          <cell r="C2266">
            <v>530139</v>
          </cell>
          <cell r="D2266" t="str">
            <v>Not Listed</v>
          </cell>
          <cell r="E2266" t="str">
            <v>Finance (including NBFCs)</v>
          </cell>
        </row>
        <row r="2267">
          <cell r="B2267" t="str">
            <v>KRETTO SYSCON LTD</v>
          </cell>
          <cell r="C2267">
            <v>531328</v>
          </cell>
          <cell r="D2267" t="str">
            <v>Not Listed</v>
          </cell>
          <cell r="E2267" t="str">
            <v>Healthcare Supplies</v>
          </cell>
        </row>
        <row r="2268">
          <cell r="B2268" t="str">
            <v>KRIDHAN INFRA LTD</v>
          </cell>
          <cell r="C2268">
            <v>533482</v>
          </cell>
          <cell r="D2268" t="str">
            <v>KRIDHANINF</v>
          </cell>
          <cell r="E2268" t="str">
            <v>Construction &amp; Engineering</v>
          </cell>
        </row>
        <row r="2269">
          <cell r="B2269" t="str">
            <v>KRISHANA PHOSCHEM LTD</v>
          </cell>
          <cell r="C2269" t="str">
            <v>Not Listed</v>
          </cell>
          <cell r="D2269" t="str">
            <v>KRISHANA</v>
          </cell>
          <cell r="E2269" t="str">
            <v>SME</v>
          </cell>
        </row>
        <row r="2270">
          <cell r="B2270" t="str">
            <v>KRISHNA CAPITAL AND SECURITIES LTD</v>
          </cell>
          <cell r="C2270">
            <v>539384</v>
          </cell>
          <cell r="D2270" t="str">
            <v>Not Listed</v>
          </cell>
          <cell r="E2270" t="str">
            <v>Finance (including NBFCs)</v>
          </cell>
        </row>
        <row r="2271">
          <cell r="B2271" t="str">
            <v>KRISHNA VENTURES LTD</v>
          </cell>
          <cell r="C2271">
            <v>504392</v>
          </cell>
          <cell r="D2271" t="str">
            <v>Not Listed</v>
          </cell>
          <cell r="E2271" t="str">
            <v>Other Financial Services</v>
          </cell>
        </row>
        <row r="2272">
          <cell r="B2272" t="str">
            <v>KRITI INDUSTRIES (INDIA) LTD</v>
          </cell>
          <cell r="C2272">
            <v>526423</v>
          </cell>
          <cell r="D2272" t="str">
            <v>Not Listed</v>
          </cell>
          <cell r="E2272" t="str">
            <v>Plastic Products</v>
          </cell>
        </row>
        <row r="2273">
          <cell r="B2273" t="str">
            <v>KRITI INDUSTRIES INDIA LTD</v>
          </cell>
          <cell r="C2273">
            <v>526423</v>
          </cell>
          <cell r="D2273" t="str">
            <v>Not Listed</v>
          </cell>
          <cell r="E2273" t="str">
            <v>Plastic Products</v>
          </cell>
        </row>
        <row r="2274">
          <cell r="B2274" t="str">
            <v>KRITI NUTRIENTS LTD</v>
          </cell>
          <cell r="C2274">
            <v>533210</v>
          </cell>
          <cell r="D2274" t="str">
            <v>Not Listed</v>
          </cell>
          <cell r="E2274" t="str">
            <v>Edible Oils</v>
          </cell>
        </row>
        <row r="2275">
          <cell r="B2275" t="str">
            <v>KRITIKA WIRES LTD</v>
          </cell>
          <cell r="C2275" t="str">
            <v>Not Listed</v>
          </cell>
          <cell r="D2275" t="str">
            <v>KRITIKA</v>
          </cell>
          <cell r="E2275" t="str">
            <v>SME</v>
          </cell>
        </row>
        <row r="2276">
          <cell r="B2276" t="str">
            <v>KRYPTON INDUSTRIES LTD</v>
          </cell>
          <cell r="C2276">
            <v>523550</v>
          </cell>
          <cell r="D2276" t="str">
            <v>Not Listed</v>
          </cell>
          <cell r="E2276" t="str">
            <v>Diversified</v>
          </cell>
        </row>
        <row r="2277">
          <cell r="B2277" t="str">
            <v>KSB LTD</v>
          </cell>
          <cell r="C2277">
            <v>500249</v>
          </cell>
          <cell r="D2277" t="str">
            <v>KSB</v>
          </cell>
          <cell r="E2277" t="str">
            <v>Industrial Machinery</v>
          </cell>
        </row>
        <row r="2278">
          <cell r="B2278" t="str">
            <v>KSE LTD</v>
          </cell>
          <cell r="C2278">
            <v>519421</v>
          </cell>
          <cell r="D2278" t="str">
            <v>Not Listed</v>
          </cell>
          <cell r="E2278" t="str">
            <v>Packaged Foods</v>
          </cell>
        </row>
        <row r="2279">
          <cell r="B2279" t="str">
            <v>KSHITIJ POLYLINE LTD</v>
          </cell>
          <cell r="C2279" t="str">
            <v>Not Listed</v>
          </cell>
          <cell r="D2279" t="str">
            <v>KSHITIJPOL</v>
          </cell>
          <cell r="E2279" t="str">
            <v>SME</v>
          </cell>
        </row>
        <row r="2280">
          <cell r="B2280" t="str">
            <v>KSHITIZ INVESTMENT LTD</v>
          </cell>
          <cell r="C2280">
            <v>503626</v>
          </cell>
          <cell r="D2280" t="str">
            <v>Not Listed</v>
          </cell>
          <cell r="E2280" t="str">
            <v>Other Financial Services</v>
          </cell>
        </row>
        <row r="2281">
          <cell r="B2281" t="str">
            <v>KSK ENERGY VENTURES LTD</v>
          </cell>
          <cell r="C2281">
            <v>532997</v>
          </cell>
          <cell r="D2281" t="str">
            <v>KSK</v>
          </cell>
          <cell r="E2281" t="str">
            <v>Electric Utilities</v>
          </cell>
        </row>
        <row r="2282">
          <cell r="B2282" t="str">
            <v>KSL AND INDUSTRIES LTD</v>
          </cell>
          <cell r="C2282">
            <v>530149</v>
          </cell>
          <cell r="D2282" t="str">
            <v>Not Listed</v>
          </cell>
          <cell r="E2282" t="str">
            <v>Textiles</v>
          </cell>
        </row>
        <row r="2283">
          <cell r="B2283" t="str">
            <v>KSS LTD</v>
          </cell>
          <cell r="C2283">
            <v>532081</v>
          </cell>
          <cell r="D2283" t="str">
            <v>KSERASERA</v>
          </cell>
          <cell r="E2283" t="str">
            <v>Movies &amp; Entertainment</v>
          </cell>
        </row>
        <row r="2284">
          <cell r="B2284" t="str">
            <v>KUANTUM PAPERS LTD</v>
          </cell>
          <cell r="C2284">
            <v>532937</v>
          </cell>
          <cell r="D2284" t="str">
            <v>Not Listed</v>
          </cell>
          <cell r="E2284" t="str">
            <v>Paper &amp; Paper Products</v>
          </cell>
        </row>
        <row r="2285">
          <cell r="B2285" t="str">
            <v>KUBER UDYOG LTD</v>
          </cell>
          <cell r="C2285">
            <v>539408</v>
          </cell>
          <cell r="D2285" t="str">
            <v>Not Listed</v>
          </cell>
          <cell r="E2285" t="str">
            <v>Finance (including NBFCs)</v>
          </cell>
        </row>
        <row r="2286">
          <cell r="B2286" t="str">
            <v>KULKARNI POWER &amp; TOOLS LTD</v>
          </cell>
          <cell r="C2286">
            <v>505299</v>
          </cell>
          <cell r="D2286" t="str">
            <v>Not Listed</v>
          </cell>
          <cell r="E2286" t="str">
            <v>Industrial Machinery</v>
          </cell>
        </row>
        <row r="2287">
          <cell r="B2287" t="str">
            <v>KUMAR WIRE CLOTH MANUFACTURING COMPANY LTD</v>
          </cell>
          <cell r="C2287">
            <v>513703</v>
          </cell>
          <cell r="D2287" t="str">
            <v>Not Listed</v>
          </cell>
          <cell r="E2287" t="str">
            <v>Textiles</v>
          </cell>
        </row>
        <row r="2288">
          <cell r="B2288" t="str">
            <v>KUNSTSTOFFE INDUSTRIES LTD</v>
          </cell>
          <cell r="C2288">
            <v>523594</v>
          </cell>
          <cell r="D2288" t="str">
            <v>Not Listed</v>
          </cell>
          <cell r="E2288" t="str">
            <v>Plastic Products</v>
          </cell>
        </row>
        <row r="2289">
          <cell r="B2289" t="str">
            <v>KUSAM ELECTRICAL INDUSTRIES LTD</v>
          </cell>
          <cell r="C2289">
            <v>511048</v>
          </cell>
          <cell r="D2289" t="str">
            <v>Not Listed</v>
          </cell>
          <cell r="E2289" t="str">
            <v>Comm.Trading  &amp; Distribution</v>
          </cell>
        </row>
        <row r="2290">
          <cell r="B2290" t="str">
            <v>KUSH INDUSTRIES LTD</v>
          </cell>
          <cell r="C2290">
            <v>514240</v>
          </cell>
          <cell r="D2290" t="str">
            <v>Not Listed</v>
          </cell>
          <cell r="E2290" t="str">
            <v>Textiles</v>
          </cell>
        </row>
        <row r="2291">
          <cell r="B2291" t="str">
            <v>KUSHAL LTD</v>
          </cell>
          <cell r="C2291">
            <v>536170</v>
          </cell>
          <cell r="D2291" t="str">
            <v>Not Listed</v>
          </cell>
          <cell r="E2291" t="str">
            <v>Comm.Trading  &amp; Distribution</v>
          </cell>
        </row>
        <row r="2292">
          <cell r="B2292" t="str">
            <v>KUWER INDUSTRIES LTD</v>
          </cell>
          <cell r="C2292">
            <v>530421</v>
          </cell>
          <cell r="D2292" t="str">
            <v>Not Listed</v>
          </cell>
          <cell r="E2292" t="str">
            <v>Commodity Chemicals</v>
          </cell>
        </row>
        <row r="2293">
          <cell r="B2293" t="str">
            <v>KWALITY CREDIT &amp; LEASING LTD</v>
          </cell>
          <cell r="C2293">
            <v>531206</v>
          </cell>
          <cell r="D2293" t="str">
            <v>Not Listed</v>
          </cell>
          <cell r="E2293" t="str">
            <v>Finance (including NBFCs)</v>
          </cell>
        </row>
        <row r="2294">
          <cell r="B2294" t="str">
            <v>KWALITY LTD</v>
          </cell>
          <cell r="C2294">
            <v>531882</v>
          </cell>
          <cell r="D2294" t="str">
            <v>KWALITY</v>
          </cell>
          <cell r="E2294" t="str">
            <v>Packaged Foods</v>
          </cell>
        </row>
        <row r="2295">
          <cell r="B2295" t="str">
            <v>KWALITY PHARMACEUTICALS LTD</v>
          </cell>
          <cell r="C2295">
            <v>539997</v>
          </cell>
          <cell r="D2295" t="str">
            <v>Not Listed</v>
          </cell>
          <cell r="E2295" t="str">
            <v>Pharmaceuticals</v>
          </cell>
        </row>
        <row r="2296">
          <cell r="B2296" t="str">
            <v>L  P  NAVAL AND ENGINEERING LTD</v>
          </cell>
          <cell r="C2296">
            <v>537669</v>
          </cell>
          <cell r="D2296" t="str">
            <v>Not Listed</v>
          </cell>
          <cell r="E2296" t="str">
            <v>Commercial Vehicles</v>
          </cell>
        </row>
        <row r="2297">
          <cell r="B2297" t="str">
            <v>L&amp;T FINANCE HOLDINGS LTD</v>
          </cell>
          <cell r="C2297">
            <v>533519</v>
          </cell>
          <cell r="D2297" t="str">
            <v>L&amp;TFH</v>
          </cell>
          <cell r="E2297" t="str">
            <v>Holding Companies</v>
          </cell>
        </row>
        <row r="2298">
          <cell r="B2298" t="str">
            <v>L&amp;T TECHNOLOGY SERVICES LTD</v>
          </cell>
          <cell r="C2298">
            <v>540115</v>
          </cell>
          <cell r="D2298" t="str">
            <v>LTTS</v>
          </cell>
          <cell r="E2298" t="str">
            <v>Internet Software &amp; Services</v>
          </cell>
        </row>
        <row r="2299">
          <cell r="B2299" t="str">
            <v>LA OPALA RG LTD</v>
          </cell>
          <cell r="C2299">
            <v>526947</v>
          </cell>
          <cell r="D2299" t="str">
            <v>LAOPALA</v>
          </cell>
          <cell r="E2299" t="str">
            <v>Houseware</v>
          </cell>
        </row>
        <row r="2300">
          <cell r="B2300" t="str">
            <v>La Tim Metal &amp;amp; Industries Ltd</v>
          </cell>
          <cell r="C2300">
            <v>505693</v>
          </cell>
          <cell r="D2300" t="str">
            <v>LATIMMETAL</v>
          </cell>
          <cell r="E2300" t="str">
            <v>Other Industrial Goods</v>
          </cell>
        </row>
        <row r="2301">
          <cell r="B2301" t="str">
            <v>LACTOSE (INDIA) LTD</v>
          </cell>
          <cell r="C2301">
            <v>524202</v>
          </cell>
          <cell r="D2301" t="str">
            <v>Not Listed</v>
          </cell>
          <cell r="E2301" t="str">
            <v>Other Food Products</v>
          </cell>
        </row>
        <row r="2302">
          <cell r="B2302" t="str">
            <v>LACTOSE INDIA LTD</v>
          </cell>
          <cell r="C2302">
            <v>524202</v>
          </cell>
          <cell r="D2302" t="str">
            <v>Not Listed</v>
          </cell>
          <cell r="E2302" t="str">
            <v>Other Food Products</v>
          </cell>
        </row>
        <row r="2303">
          <cell r="B2303" t="str">
            <v>LADAM AFFORDABLE HOUSING LTD</v>
          </cell>
          <cell r="C2303">
            <v>540026</v>
          </cell>
          <cell r="D2303" t="str">
            <v>Not Listed</v>
          </cell>
          <cell r="E2303" t="str">
            <v>Realty</v>
          </cell>
        </row>
        <row r="2304">
          <cell r="B2304" t="str">
            <v>LADDERUP FINANCE LTD</v>
          </cell>
          <cell r="C2304">
            <v>530577</v>
          </cell>
          <cell r="D2304" t="str">
            <v>Not Listed</v>
          </cell>
          <cell r="E2304" t="str">
            <v>Finance (including NBFCs)</v>
          </cell>
        </row>
        <row r="2305">
          <cell r="B2305" t="str">
            <v>LAFFANS PETROCHEMICALS LTD</v>
          </cell>
          <cell r="C2305">
            <v>524522</v>
          </cell>
          <cell r="D2305" t="str">
            <v>Not Listed</v>
          </cell>
          <cell r="E2305" t="str">
            <v>Commodity Chemicals</v>
          </cell>
        </row>
        <row r="2306">
          <cell r="B2306" t="str">
            <v>LAGNAM SPINTEX LTD</v>
          </cell>
          <cell r="C2306" t="str">
            <v>Not Listed</v>
          </cell>
          <cell r="D2306" t="str">
            <v>LAGNAM</v>
          </cell>
          <cell r="E2306" t="str">
            <v>SME</v>
          </cell>
        </row>
        <row r="2307">
          <cell r="B2307" t="str">
            <v>LAHOTI OVERSEAS LTD</v>
          </cell>
          <cell r="C2307">
            <v>531842</v>
          </cell>
          <cell r="D2307" t="str">
            <v>Not Listed</v>
          </cell>
          <cell r="E2307" t="str">
            <v>Comm.Trading  &amp; Distribution</v>
          </cell>
        </row>
        <row r="2308">
          <cell r="B2308" t="str">
            <v>LAKHOTIA POLYESTERS (INDIA) LTD</v>
          </cell>
          <cell r="C2308">
            <v>535387</v>
          </cell>
          <cell r="D2308" t="str">
            <v>Not Listed</v>
          </cell>
          <cell r="E2308" t="str">
            <v>Textiles</v>
          </cell>
        </row>
        <row r="2309">
          <cell r="B2309" t="str">
            <v>LAKHOTIA POLYESTERS INDIA LTD</v>
          </cell>
          <cell r="C2309">
            <v>535387</v>
          </cell>
          <cell r="D2309" t="str">
            <v>Not Listed</v>
          </cell>
          <cell r="E2309" t="str">
            <v>Textiles</v>
          </cell>
        </row>
        <row r="2310">
          <cell r="B2310" t="str">
            <v>LAKSHMI AUTOMATIC LOOM WORKS LTD</v>
          </cell>
          <cell r="C2310">
            <v>505302</v>
          </cell>
          <cell r="D2310" t="str">
            <v>Not Listed</v>
          </cell>
          <cell r="E2310" t="str">
            <v>Industrial Machinery</v>
          </cell>
        </row>
        <row r="2311">
          <cell r="B2311" t="str">
            <v>LAKSHMI ELECTRICAL CONTROL SYSTEMS LTD</v>
          </cell>
          <cell r="C2311">
            <v>504258</v>
          </cell>
          <cell r="D2311" t="str">
            <v>Not Listed</v>
          </cell>
          <cell r="E2311" t="str">
            <v>Other Elect.Equip./ Prod.</v>
          </cell>
        </row>
        <row r="2312">
          <cell r="B2312" t="str">
            <v>LAKSHMI FINANCE &amp; INDUSTRIAL CORPORATION LTD</v>
          </cell>
          <cell r="C2312" t="str">
            <v>Not Listed</v>
          </cell>
          <cell r="D2312" t="str">
            <v>LFIC</v>
          </cell>
          <cell r="E2312" t="str">
            <v>Others</v>
          </cell>
        </row>
        <row r="2313">
          <cell r="B2313" t="str">
            <v>LAKSHMI MACHINE WORKS LTD</v>
          </cell>
          <cell r="C2313">
            <v>500252</v>
          </cell>
          <cell r="D2313" t="str">
            <v>LAXMIMACH</v>
          </cell>
          <cell r="E2313" t="str">
            <v>Industrial Machinery</v>
          </cell>
        </row>
        <row r="2314">
          <cell r="B2314" t="str">
            <v>LAKSHMI MILLS COMPANY LTD</v>
          </cell>
          <cell r="C2314">
            <v>502958</v>
          </cell>
          <cell r="D2314" t="str">
            <v>Not Listed</v>
          </cell>
          <cell r="E2314" t="str">
            <v>Textiles</v>
          </cell>
        </row>
        <row r="2315">
          <cell r="B2315" t="str">
            <v>LAKSHMI PRECISION SCREWS LTD</v>
          </cell>
          <cell r="C2315">
            <v>506079</v>
          </cell>
          <cell r="D2315" t="str">
            <v>LAKPRE</v>
          </cell>
          <cell r="E2315" t="str">
            <v>Iron &amp; Steel Products</v>
          </cell>
        </row>
        <row r="2316">
          <cell r="B2316" t="str">
            <v>LAKSHMI VILAS BANK LTD</v>
          </cell>
          <cell r="C2316">
            <v>534690</v>
          </cell>
          <cell r="D2316" t="str">
            <v>LAKSHVILAS</v>
          </cell>
          <cell r="E2316" t="str">
            <v>Banks</v>
          </cell>
        </row>
        <row r="2317">
          <cell r="B2317" t="str">
            <v>LAMBODHARA TEXTILES LTD</v>
          </cell>
          <cell r="C2317">
            <v>590075</v>
          </cell>
          <cell r="D2317" t="str">
            <v>LAMBODHARA</v>
          </cell>
          <cell r="E2317" t="str">
            <v>Textiles</v>
          </cell>
        </row>
        <row r="2318">
          <cell r="B2318" t="str">
            <v>LANCER CONTAINER LINES LTD</v>
          </cell>
          <cell r="C2318">
            <v>539841</v>
          </cell>
          <cell r="D2318" t="str">
            <v>Not Listed</v>
          </cell>
          <cell r="E2318" t="str">
            <v>Transportation - Logistics</v>
          </cell>
        </row>
        <row r="2319">
          <cell r="B2319" t="str">
            <v>LANCOR HOLDINGS LTD</v>
          </cell>
          <cell r="C2319">
            <v>509048</v>
          </cell>
          <cell r="D2319" t="str">
            <v>Not Listed</v>
          </cell>
          <cell r="E2319" t="str">
            <v>Realty</v>
          </cell>
        </row>
        <row r="2320">
          <cell r="B2320" t="str">
            <v>LANDMARC LEISURE CORPORATION LTD</v>
          </cell>
          <cell r="C2320">
            <v>532275</v>
          </cell>
          <cell r="D2320" t="str">
            <v>Not Listed</v>
          </cell>
          <cell r="E2320" t="str">
            <v>Finance (including NBFCs)</v>
          </cell>
        </row>
        <row r="2321">
          <cell r="B2321" t="str">
            <v>LANDMARK PROPERTY DEVELOPMENT COMPANY LTD</v>
          </cell>
          <cell r="C2321">
            <v>533012</v>
          </cell>
          <cell r="D2321" t="str">
            <v>LPDC</v>
          </cell>
          <cell r="E2321" t="str">
            <v>Realty</v>
          </cell>
        </row>
        <row r="2322">
          <cell r="B2322" t="str">
            <v>LARSEN &amp; TOUBRO INFOTECH LTD</v>
          </cell>
          <cell r="C2322">
            <v>540005</v>
          </cell>
          <cell r="D2322" t="str">
            <v>LTI</v>
          </cell>
          <cell r="E2322" t="str">
            <v>IT Consulting &amp; Software</v>
          </cell>
        </row>
        <row r="2323">
          <cell r="B2323" t="str">
            <v>LARSEN &amp; TOUBRO LTD</v>
          </cell>
          <cell r="C2323">
            <v>500510</v>
          </cell>
          <cell r="D2323" t="str">
            <v>LT</v>
          </cell>
          <cell r="E2323" t="str">
            <v>Construction &amp; Engineering</v>
          </cell>
        </row>
        <row r="2324">
          <cell r="B2324" t="str">
            <v>LASA SUPERGENERICS LTD</v>
          </cell>
          <cell r="C2324">
            <v>540702</v>
          </cell>
          <cell r="D2324" t="str">
            <v>LASA</v>
          </cell>
          <cell r="E2324" t="str">
            <v>Healthcare Services</v>
          </cell>
        </row>
        <row r="2325">
          <cell r="B2325" t="str">
            <v>LASER DIAMONDS LTD</v>
          </cell>
          <cell r="C2325">
            <v>531164</v>
          </cell>
          <cell r="D2325" t="str">
            <v>Not Listed</v>
          </cell>
          <cell r="E2325" t="str">
            <v>Other Apparels &amp; Accessories</v>
          </cell>
        </row>
        <row r="2326">
          <cell r="B2326" t="str">
            <v>LATENT LIGHT FINANCE LTD</v>
          </cell>
          <cell r="C2326">
            <v>539909</v>
          </cell>
          <cell r="D2326" t="str">
            <v>Not Listed</v>
          </cell>
          <cell r="E2326" t="str">
            <v>Finance (including NBFCs)</v>
          </cell>
        </row>
        <row r="2327">
          <cell r="B2327" t="str">
            <v>LATTEYS INDUSTRIES LTD</v>
          </cell>
          <cell r="C2327" t="str">
            <v>Not Listed</v>
          </cell>
          <cell r="D2327" t="str">
            <v>LATTEYS</v>
          </cell>
          <cell r="E2327" t="str">
            <v>SME</v>
          </cell>
        </row>
        <row r="2328">
          <cell r="B2328" t="str">
            <v>LAURUS LABS LTD</v>
          </cell>
          <cell r="C2328">
            <v>540222</v>
          </cell>
          <cell r="D2328" t="str">
            <v>LAURUSLABS</v>
          </cell>
          <cell r="E2328" t="str">
            <v>Pharmaceuticals</v>
          </cell>
        </row>
        <row r="2329">
          <cell r="B2329" t="str">
            <v>LAWRESHWAR POLYMERS LTD</v>
          </cell>
          <cell r="C2329">
            <v>532829</v>
          </cell>
          <cell r="D2329" t="str">
            <v>Not Listed</v>
          </cell>
          <cell r="E2329" t="str">
            <v>Footwear</v>
          </cell>
        </row>
        <row r="2330">
          <cell r="B2330" t="str">
            <v>LAXMI COTSPIN LTD</v>
          </cell>
          <cell r="C2330" t="str">
            <v>Not Listed</v>
          </cell>
          <cell r="D2330" t="str">
            <v>LAXMICOT</v>
          </cell>
          <cell r="E2330" t="str">
            <v>SME</v>
          </cell>
        </row>
        <row r="2331">
          <cell r="B2331" t="str">
            <v>LEAD FINANCIAL SERVICES LTD</v>
          </cell>
          <cell r="C2331">
            <v>531288</v>
          </cell>
          <cell r="D2331" t="str">
            <v>Not Listed</v>
          </cell>
          <cell r="E2331" t="str">
            <v>Finance (including NBFCs)</v>
          </cell>
        </row>
        <row r="2332">
          <cell r="B2332" t="str">
            <v>LEADING LEASING FINANCE AND INVESTMENT COMPANY LTD</v>
          </cell>
          <cell r="C2332">
            <v>540360</v>
          </cell>
          <cell r="D2332" t="str">
            <v>Not Listed</v>
          </cell>
          <cell r="E2332" t="str">
            <v>Other Financial Services</v>
          </cell>
        </row>
        <row r="2333">
          <cell r="B2333" t="str">
            <v>LEDO TEA CO LTD</v>
          </cell>
          <cell r="C2333">
            <v>508306</v>
          </cell>
          <cell r="D2333" t="str">
            <v>Not Listed</v>
          </cell>
          <cell r="E2333" t="str">
            <v>Tea &amp; Coffee</v>
          </cell>
        </row>
        <row r="2334">
          <cell r="B2334" t="str">
            <v>LEE &amp; NEE SOFTWARES EXPORTS LTD</v>
          </cell>
          <cell r="C2334">
            <v>517415</v>
          </cell>
          <cell r="D2334" t="str">
            <v>Not Listed</v>
          </cell>
          <cell r="E2334" t="str">
            <v>BPO/KPO</v>
          </cell>
        </row>
        <row r="2335">
          <cell r="B2335" t="str">
            <v>LEEL ELECTRICALS LTD</v>
          </cell>
          <cell r="C2335">
            <v>517518</v>
          </cell>
          <cell r="D2335" t="str">
            <v>LEEL</v>
          </cell>
          <cell r="E2335" t="str">
            <v>Industrial Machinery</v>
          </cell>
        </row>
        <row r="2336">
          <cell r="B2336" t="str">
            <v>LEENA CONSULTANCY LTD</v>
          </cell>
          <cell r="C2336">
            <v>509046</v>
          </cell>
          <cell r="D2336" t="str">
            <v>Not Listed</v>
          </cell>
          <cell r="E2336" t="str">
            <v>Misc.Commercial Services</v>
          </cell>
        </row>
        <row r="2337">
          <cell r="B2337" t="str">
            <v>LEGACY MERCANTILE LTD</v>
          </cell>
          <cell r="C2337">
            <v>780021</v>
          </cell>
          <cell r="D2337" t="str">
            <v>Not Listed</v>
          </cell>
          <cell r="E2337" t="str">
            <v>Others</v>
          </cell>
        </row>
        <row r="2338">
          <cell r="B2338" t="str">
            <v>LEMON TREE HOTELS LTD</v>
          </cell>
          <cell r="C2338">
            <v>541233</v>
          </cell>
          <cell r="D2338" t="str">
            <v>LEMONTREE</v>
          </cell>
          <cell r="E2338" t="str">
            <v>Hotels</v>
          </cell>
        </row>
        <row r="2339">
          <cell r="B2339" t="str">
            <v>LESHA INDUSTRIES LTD</v>
          </cell>
          <cell r="C2339">
            <v>533602</v>
          </cell>
          <cell r="D2339" t="str">
            <v>Not Listed</v>
          </cell>
          <cell r="E2339" t="str">
            <v>Investment Companies</v>
          </cell>
        </row>
        <row r="2340">
          <cell r="B2340" t="str">
            <v>LEX NIMBLE SOLUTIONS LTD</v>
          </cell>
          <cell r="C2340">
            <v>541196</v>
          </cell>
          <cell r="D2340" t="str">
            <v>Not Listed</v>
          </cell>
          <cell r="E2340" t="str">
            <v>Consulting Services</v>
          </cell>
        </row>
        <row r="2341">
          <cell r="B2341" t="str">
            <v>LEXUS GRANITO (INDIA) LTD</v>
          </cell>
          <cell r="C2341" t="str">
            <v>Not Listed</v>
          </cell>
          <cell r="D2341" t="str">
            <v>LEXUS</v>
          </cell>
          <cell r="E2341" t="str">
            <v>SME</v>
          </cell>
        </row>
        <row r="2342">
          <cell r="B2342" t="str">
            <v>LEXUS GRANITO INDIA LTD</v>
          </cell>
          <cell r="C2342" t="str">
            <v>Not Listed</v>
          </cell>
          <cell r="D2342" t="str">
            <v>LEXUS</v>
          </cell>
          <cell r="E2342" t="str">
            <v>SME</v>
          </cell>
        </row>
        <row r="2343">
          <cell r="B2343" t="str">
            <v>LG BALAKRISHNAN &amp; BROS LTD</v>
          </cell>
          <cell r="C2343">
            <v>500250</v>
          </cell>
          <cell r="D2343" t="str">
            <v>LGBBROSLTD</v>
          </cell>
          <cell r="E2343" t="str">
            <v>Auto Parts &amp; Equipment</v>
          </cell>
        </row>
        <row r="2344">
          <cell r="B2344" t="str">
            <v>LGB FORGE LTD.</v>
          </cell>
          <cell r="C2344">
            <v>533007</v>
          </cell>
          <cell r="D2344" t="str">
            <v>LGBFORGE</v>
          </cell>
          <cell r="E2344" t="str">
            <v>Other Industrial Products</v>
          </cell>
        </row>
        <row r="2345">
          <cell r="B2345" t="str">
            <v>LIBAS DESIGNS LTD</v>
          </cell>
          <cell r="C2345" t="str">
            <v>Not Listed</v>
          </cell>
          <cell r="D2345" t="str">
            <v>LIBAS</v>
          </cell>
          <cell r="E2345" t="str">
            <v>SME</v>
          </cell>
        </row>
        <row r="2346">
          <cell r="B2346" t="str">
            <v>LIBERTY SHOES LTD</v>
          </cell>
          <cell r="C2346">
            <v>526596</v>
          </cell>
          <cell r="D2346" t="str">
            <v>LIBERTSHOE</v>
          </cell>
          <cell r="E2346" t="str">
            <v>Footwear</v>
          </cell>
        </row>
        <row r="2347">
          <cell r="B2347" t="str">
            <v>LIBORD FINANCE LTD</v>
          </cell>
          <cell r="C2347">
            <v>511593</v>
          </cell>
          <cell r="D2347" t="str">
            <v>Not Listed</v>
          </cell>
          <cell r="E2347" t="str">
            <v>Finance (including NBFCs)</v>
          </cell>
        </row>
        <row r="2348">
          <cell r="B2348" t="str">
            <v>LIBORD SECURITIES LTD</v>
          </cell>
          <cell r="C2348">
            <v>531027</v>
          </cell>
          <cell r="D2348" t="str">
            <v>Not Listed</v>
          </cell>
          <cell r="E2348" t="str">
            <v>Other Financial Services</v>
          </cell>
        </row>
        <row r="2349">
          <cell r="B2349" t="str">
            <v>LIC HOUSING FINANCE LTD</v>
          </cell>
          <cell r="C2349">
            <v>500253</v>
          </cell>
          <cell r="D2349" t="str">
            <v>LICHSGFIN</v>
          </cell>
          <cell r="E2349" t="str">
            <v xml:space="preserve">Housing Finance </v>
          </cell>
        </row>
        <row r="2350">
          <cell r="B2350" t="str">
            <v>LIKHAMI CONSULTING LTD</v>
          </cell>
          <cell r="C2350">
            <v>539927</v>
          </cell>
          <cell r="D2350" t="str">
            <v>Not Listed</v>
          </cell>
          <cell r="E2350" t="str">
            <v>Consulting Services</v>
          </cell>
        </row>
        <row r="2351">
          <cell r="B2351" t="str">
            <v>LIME CHEMICALS LTD</v>
          </cell>
          <cell r="C2351">
            <v>507759</v>
          </cell>
          <cell r="D2351" t="str">
            <v>Not Listed</v>
          </cell>
          <cell r="E2351" t="str">
            <v>Commodity Chemicals</v>
          </cell>
        </row>
        <row r="2352">
          <cell r="B2352" t="str">
            <v>LINAKS MICROELECTRONICS LTD.</v>
          </cell>
          <cell r="C2352">
            <v>517463</v>
          </cell>
          <cell r="D2352" t="str">
            <v>LINAKS</v>
          </cell>
          <cell r="E2352" t="str">
            <v>Electronic Components</v>
          </cell>
        </row>
        <row r="2353">
          <cell r="B2353" t="str">
            <v>LINC PEN &amp; PLASTICS LTD</v>
          </cell>
          <cell r="C2353">
            <v>531241</v>
          </cell>
          <cell r="D2353" t="str">
            <v>LINCPEN</v>
          </cell>
          <cell r="E2353" t="str">
            <v>Non-Durable Household Prod.</v>
          </cell>
        </row>
        <row r="2354">
          <cell r="B2354" t="str">
            <v>LINCOLN PHARMACEUTICALS LTD</v>
          </cell>
          <cell r="C2354">
            <v>531633</v>
          </cell>
          <cell r="D2354" t="str">
            <v>LINCOLN</v>
          </cell>
          <cell r="E2354" t="str">
            <v>Pharmaceuticals</v>
          </cell>
        </row>
        <row r="2355">
          <cell r="B2355" t="str">
            <v>LINDE (INDIA) LTD</v>
          </cell>
          <cell r="C2355">
            <v>523457</v>
          </cell>
          <cell r="D2355" t="str">
            <v>LINDE(INDIA)</v>
          </cell>
          <cell r="E2355" t="str">
            <v>Industrial Gases</v>
          </cell>
        </row>
        <row r="2356">
          <cell r="B2356" t="str">
            <v>LINDE INDIA LTD</v>
          </cell>
          <cell r="C2356">
            <v>523457</v>
          </cell>
          <cell r="D2356" t="str">
            <v>LINDEINDIA</v>
          </cell>
          <cell r="E2356" t="str">
            <v>Industrial Gases</v>
          </cell>
        </row>
        <row r="2357">
          <cell r="B2357" t="str">
            <v>LINK PHARMA CHEM LTD</v>
          </cell>
          <cell r="C2357">
            <v>524748</v>
          </cell>
          <cell r="D2357" t="str">
            <v>Not Listed</v>
          </cell>
          <cell r="E2357" t="str">
            <v>Commodity Chemicals</v>
          </cell>
        </row>
        <row r="2358">
          <cell r="B2358" t="str">
            <v>LIPPI SYSTEMS LTD</v>
          </cell>
          <cell r="C2358">
            <v>526604</v>
          </cell>
          <cell r="D2358" t="str">
            <v>Not Listed</v>
          </cell>
          <cell r="E2358" t="str">
            <v>Industrial Machinery</v>
          </cell>
        </row>
        <row r="2359">
          <cell r="B2359" t="str">
            <v>LKP FINANCE LTD</v>
          </cell>
          <cell r="C2359">
            <v>507912</v>
          </cell>
          <cell r="D2359" t="str">
            <v>Not Listed</v>
          </cell>
          <cell r="E2359" t="str">
            <v>Other Financial Services</v>
          </cell>
        </row>
        <row r="2360">
          <cell r="B2360" t="str">
            <v>LKP SECURITIES LTD</v>
          </cell>
          <cell r="C2360">
            <v>540192</v>
          </cell>
          <cell r="D2360" t="str">
            <v>Not Listed</v>
          </cell>
          <cell r="E2360" t="str">
            <v>Other Financial Services</v>
          </cell>
        </row>
        <row r="2361">
          <cell r="B2361" t="str">
            <v>LLOYDS METALS AND ENERGY LTD</v>
          </cell>
          <cell r="C2361">
            <v>512455</v>
          </cell>
          <cell r="D2361" t="str">
            <v>Not Listed</v>
          </cell>
          <cell r="E2361" t="str">
            <v>Iron &amp; Steel/Interm.Products</v>
          </cell>
        </row>
        <row r="2362">
          <cell r="B2362" t="str">
            <v>LLOYDS STEELS INDUSTRIES LTD</v>
          </cell>
          <cell r="C2362">
            <v>539992</v>
          </cell>
          <cell r="D2362" t="str">
            <v>LSIL</v>
          </cell>
          <cell r="E2362" t="str">
            <v>Industrial Machinery</v>
          </cell>
        </row>
        <row r="2363">
          <cell r="B2363" t="str">
            <v>LOHIA SECURITIES LTD</v>
          </cell>
          <cell r="C2363">
            <v>590082</v>
          </cell>
          <cell r="D2363" t="str">
            <v>Not Listed</v>
          </cell>
          <cell r="E2363" t="str">
            <v>Other Financial Services</v>
          </cell>
        </row>
        <row r="2364">
          <cell r="B2364" t="str">
            <v>LOKESH MACHINES LTD</v>
          </cell>
          <cell r="C2364">
            <v>532740</v>
          </cell>
          <cell r="D2364" t="str">
            <v>LOKESHMACH</v>
          </cell>
          <cell r="E2364" t="str">
            <v>Industrial Machinery</v>
          </cell>
        </row>
        <row r="2365">
          <cell r="B2365" t="str">
            <v>LONGVIEW TEA COMPANY LTD</v>
          </cell>
          <cell r="C2365">
            <v>526568</v>
          </cell>
          <cell r="D2365" t="str">
            <v>Not Listed</v>
          </cell>
          <cell r="E2365" t="str">
            <v>Tea &amp; Coffee</v>
          </cell>
        </row>
        <row r="2366">
          <cell r="B2366" t="str">
            <v>LOOKS HEALTH SERVICES LTD</v>
          </cell>
          <cell r="C2366">
            <v>534422</v>
          </cell>
          <cell r="D2366" t="str">
            <v>Not Listed</v>
          </cell>
          <cell r="E2366" t="str">
            <v>Healthcare Facilities</v>
          </cell>
        </row>
        <row r="2367">
          <cell r="B2367" t="str">
            <v>LORDS CHLORO ALKALI LTD</v>
          </cell>
          <cell r="C2367">
            <v>500284</v>
          </cell>
          <cell r="D2367" t="str">
            <v>Not Listed</v>
          </cell>
          <cell r="E2367" t="str">
            <v>Commodity Chemicals</v>
          </cell>
        </row>
        <row r="2368">
          <cell r="B2368" t="str">
            <v>LORDS ISHWAR HOTELS LTD</v>
          </cell>
          <cell r="C2368">
            <v>530065</v>
          </cell>
          <cell r="D2368" t="str">
            <v>Not Listed</v>
          </cell>
          <cell r="E2368" t="str">
            <v>Hotels</v>
          </cell>
        </row>
        <row r="2369">
          <cell r="B2369" t="str">
            <v>LORENZINI APPARELS LTD</v>
          </cell>
          <cell r="C2369">
            <v>540952</v>
          </cell>
          <cell r="D2369" t="str">
            <v>Not Listed</v>
          </cell>
          <cell r="E2369" t="str">
            <v>Other Apparels &amp; Accessories</v>
          </cell>
        </row>
        <row r="2370">
          <cell r="B2370" t="str">
            <v>LOTUS CHOCOLATE CO LTD</v>
          </cell>
          <cell r="C2370">
            <v>523475</v>
          </cell>
          <cell r="D2370" t="str">
            <v>Not Listed</v>
          </cell>
          <cell r="E2370" t="str">
            <v>Packaged Foods</v>
          </cell>
        </row>
        <row r="2371">
          <cell r="B2371" t="str">
            <v>LOTUS EYE HOSPITAL AND INSTITUTE LTD</v>
          </cell>
          <cell r="C2371">
            <v>532998</v>
          </cell>
          <cell r="D2371" t="str">
            <v>LOTUSEYE</v>
          </cell>
          <cell r="E2371" t="str">
            <v>Healthcare Facilities</v>
          </cell>
        </row>
        <row r="2372">
          <cell r="B2372" t="str">
            <v>LOVABLE LINGERIE LTD</v>
          </cell>
          <cell r="C2372">
            <v>533343</v>
          </cell>
          <cell r="D2372" t="str">
            <v>LOVABLE</v>
          </cell>
          <cell r="E2372" t="str">
            <v>Other Apparels &amp; Accessories</v>
          </cell>
        </row>
        <row r="2373">
          <cell r="B2373" t="str">
            <v>LOYAL EQUIPMENTS LTD</v>
          </cell>
          <cell r="C2373">
            <v>539227</v>
          </cell>
          <cell r="D2373" t="str">
            <v>Not Listed</v>
          </cell>
          <cell r="E2373" t="str">
            <v>Industrial Machinery</v>
          </cell>
        </row>
        <row r="2374">
          <cell r="B2374" t="str">
            <v>LOYAL TEXTILE MILLS LTD</v>
          </cell>
          <cell r="C2374">
            <v>514036</v>
          </cell>
          <cell r="D2374" t="str">
            <v>Not Listed</v>
          </cell>
          <cell r="E2374" t="str">
            <v>Textiles</v>
          </cell>
        </row>
        <row r="2375">
          <cell r="B2375" t="str">
            <v>LT FOODS LTD</v>
          </cell>
          <cell r="C2375">
            <v>532783</v>
          </cell>
          <cell r="D2375" t="str">
            <v>DAAWAT</v>
          </cell>
          <cell r="E2375" t="str">
            <v>Packaged Foods</v>
          </cell>
        </row>
        <row r="2376">
          <cell r="B2376" t="str">
            <v>LUDLOW JUTE &amp; SPECIALITIES LTD</v>
          </cell>
          <cell r="C2376">
            <v>526179</v>
          </cell>
          <cell r="D2376" t="str">
            <v>Not Listed</v>
          </cell>
          <cell r="E2376" t="str">
            <v>Jute &amp; Jute Products</v>
          </cell>
        </row>
        <row r="2377">
          <cell r="B2377" t="str">
            <v>LUHARUKA MEDIA &amp; INFRA LTD</v>
          </cell>
          <cell r="C2377">
            <v>512048</v>
          </cell>
          <cell r="D2377" t="str">
            <v>Not Listed</v>
          </cell>
          <cell r="E2377" t="str">
            <v>Realty</v>
          </cell>
        </row>
        <row r="2378">
          <cell r="B2378" t="str">
            <v>LUMAX AUTO TECHNOLOGIES LTD</v>
          </cell>
          <cell r="C2378">
            <v>532796</v>
          </cell>
          <cell r="D2378" t="str">
            <v>LUMAXTECH</v>
          </cell>
          <cell r="E2378" t="str">
            <v>Auto Parts &amp; Equipment</v>
          </cell>
        </row>
        <row r="2379">
          <cell r="B2379" t="str">
            <v>LUMAX INDUSTRIES LTD</v>
          </cell>
          <cell r="C2379">
            <v>517206</v>
          </cell>
          <cell r="D2379" t="str">
            <v>LUMAXIND</v>
          </cell>
          <cell r="E2379" t="str">
            <v>Auto Parts &amp; Equipment</v>
          </cell>
        </row>
        <row r="2380">
          <cell r="B2380" t="str">
            <v>LUPIN LTD</v>
          </cell>
          <cell r="C2380">
            <v>500257</v>
          </cell>
          <cell r="D2380" t="str">
            <v>LUPIN</v>
          </cell>
          <cell r="E2380" t="str">
            <v>Pharmaceuticals</v>
          </cell>
        </row>
        <row r="2381">
          <cell r="B2381" t="str">
            <v>LUX INDUSTRIES LTD</v>
          </cell>
          <cell r="C2381">
            <v>539542</v>
          </cell>
          <cell r="D2381" t="str">
            <v>LUXIND</v>
          </cell>
          <cell r="E2381" t="str">
            <v>Other Apparels &amp; Accessories</v>
          </cell>
        </row>
        <row r="2382">
          <cell r="B2382" t="str">
            <v>LWS KNITWEAR LTD</v>
          </cell>
          <cell r="C2382">
            <v>531402</v>
          </cell>
          <cell r="D2382" t="str">
            <v>Not Listed</v>
          </cell>
          <cell r="E2382" t="str">
            <v>Comm.Trading  &amp; Distribution</v>
          </cell>
        </row>
        <row r="2383">
          <cell r="B2383" t="str">
            <v>LYKA LABS LTD</v>
          </cell>
          <cell r="C2383">
            <v>500259</v>
          </cell>
          <cell r="D2383" t="str">
            <v>LYKALABS</v>
          </cell>
          <cell r="E2383" t="str">
            <v>Pharmaceuticals</v>
          </cell>
        </row>
        <row r="2384">
          <cell r="B2384" t="str">
            <v>LYKIS LTD</v>
          </cell>
          <cell r="C2384">
            <v>530689</v>
          </cell>
          <cell r="D2384" t="str">
            <v>Not Listed</v>
          </cell>
          <cell r="E2384" t="str">
            <v>Personal Products</v>
          </cell>
        </row>
        <row r="2385">
          <cell r="B2385" t="str">
            <v>LYNX MACHINERY &amp; COMMERCIALS LTD</v>
          </cell>
          <cell r="C2385">
            <v>505320</v>
          </cell>
          <cell r="D2385" t="str">
            <v>Not Listed</v>
          </cell>
          <cell r="E2385" t="str">
            <v>Industrial Machinery</v>
          </cell>
        </row>
        <row r="2386">
          <cell r="B2386" t="str">
            <v>LYPSA GEMS &amp; JEWELLERY LTD</v>
          </cell>
          <cell r="C2386">
            <v>534532</v>
          </cell>
          <cell r="D2386" t="str">
            <v>LYPSAGEMS</v>
          </cell>
          <cell r="E2386" t="str">
            <v>Other Apparels &amp; Accessories</v>
          </cell>
        </row>
        <row r="2387">
          <cell r="B2387" t="str">
            <v>M B PARIKH FINSTOCKS LTD</v>
          </cell>
          <cell r="C2387">
            <v>526935</v>
          </cell>
          <cell r="D2387" t="str">
            <v>Not Listed</v>
          </cell>
          <cell r="E2387" t="str">
            <v>Other Financial Services</v>
          </cell>
        </row>
        <row r="2388">
          <cell r="B2388" t="str">
            <v>M K  EXIM (INDIA) LTD</v>
          </cell>
          <cell r="C2388">
            <v>538890</v>
          </cell>
          <cell r="D2388" t="str">
            <v>Not Listed</v>
          </cell>
          <cell r="E2388" t="str">
            <v>Textiles</v>
          </cell>
        </row>
        <row r="2389">
          <cell r="B2389" t="str">
            <v>M K  EXIM INDIA LTD</v>
          </cell>
          <cell r="C2389">
            <v>538890</v>
          </cell>
          <cell r="D2389" t="str">
            <v>Not Listed</v>
          </cell>
          <cell r="E2389" t="str">
            <v>Textiles</v>
          </cell>
        </row>
        <row r="2390">
          <cell r="B2390" t="str">
            <v>M K PROTEINS LTD</v>
          </cell>
          <cell r="C2390" t="str">
            <v>Not Listed</v>
          </cell>
          <cell r="D2390" t="str">
            <v>MKPL</v>
          </cell>
          <cell r="E2390" t="str">
            <v>SME</v>
          </cell>
        </row>
        <row r="2391">
          <cell r="B2391" t="str">
            <v>M P AGRO INDUSTRIES LTD</v>
          </cell>
          <cell r="C2391">
            <v>506543</v>
          </cell>
          <cell r="D2391" t="str">
            <v>Not Listed</v>
          </cell>
          <cell r="E2391" t="str">
            <v>Fertilizers</v>
          </cell>
        </row>
        <row r="2392">
          <cell r="B2392" t="str">
            <v>MAAN ALUMINIUM LTD</v>
          </cell>
          <cell r="C2392">
            <v>532906</v>
          </cell>
          <cell r="D2392" t="str">
            <v>MAANALU</v>
          </cell>
          <cell r="E2392" t="str">
            <v>Construction &amp; Engineering</v>
          </cell>
        </row>
        <row r="2393">
          <cell r="B2393" t="str">
            <v>MAC CHARLES (INDIA) LTD</v>
          </cell>
          <cell r="C2393">
            <v>507836</v>
          </cell>
          <cell r="D2393" t="str">
            <v>Not Listed</v>
          </cell>
          <cell r="E2393" t="str">
            <v>Hotels</v>
          </cell>
        </row>
        <row r="2394">
          <cell r="B2394" t="str">
            <v>MAC CHARLES INDIA LTD</v>
          </cell>
          <cell r="C2394">
            <v>507836</v>
          </cell>
          <cell r="D2394" t="str">
            <v>Not Listed</v>
          </cell>
          <cell r="E2394" t="str">
            <v>Hotels</v>
          </cell>
        </row>
        <row r="2395">
          <cell r="B2395" t="str">
            <v>MAC HOTELS LTD</v>
          </cell>
          <cell r="C2395">
            <v>541973</v>
          </cell>
          <cell r="D2395" t="str">
            <v>Not Listed</v>
          </cell>
          <cell r="E2395" t="str">
            <v>Hotels</v>
          </cell>
        </row>
        <row r="2396">
          <cell r="B2396" t="str">
            <v>MACHINO PLASTICS LTD</v>
          </cell>
          <cell r="C2396">
            <v>523248</v>
          </cell>
          <cell r="D2396" t="str">
            <v>Not Listed</v>
          </cell>
          <cell r="E2396" t="str">
            <v>Plastic Products</v>
          </cell>
        </row>
        <row r="2397">
          <cell r="B2397" t="str">
            <v>MACK TRADING CO LTD</v>
          </cell>
          <cell r="C2397">
            <v>501471</v>
          </cell>
          <cell r="D2397" t="str">
            <v>Not Listed</v>
          </cell>
          <cell r="E2397" t="str">
            <v>Comm.Trading  &amp; Distribution</v>
          </cell>
        </row>
        <row r="2398">
          <cell r="B2398" t="str">
            <v>MACPOWER CNC MACHINES LTD</v>
          </cell>
          <cell r="C2398" t="str">
            <v>Not Listed</v>
          </cell>
          <cell r="D2398" t="str">
            <v>MACPOWER</v>
          </cell>
          <cell r="E2398" t="str">
            <v>SME</v>
          </cell>
        </row>
        <row r="2399">
          <cell r="B2399" t="str">
            <v>MACRO INTERNATIONAL EXPORTS LTD</v>
          </cell>
          <cell r="C2399">
            <v>512600</v>
          </cell>
          <cell r="D2399" t="str">
            <v>Not Listed</v>
          </cell>
          <cell r="E2399" t="str">
            <v>Comm.Trading  &amp; Distribution</v>
          </cell>
        </row>
        <row r="2400">
          <cell r="B2400" t="str">
            <v>MADHAV COPPER LTD</v>
          </cell>
          <cell r="C2400" t="str">
            <v>Not Listed</v>
          </cell>
          <cell r="D2400" t="str">
            <v>MCL</v>
          </cell>
          <cell r="E2400" t="str">
            <v>SME</v>
          </cell>
        </row>
        <row r="2401">
          <cell r="B2401" t="str">
            <v>MADHAV INFRA PROJECTS LTD</v>
          </cell>
          <cell r="C2401">
            <v>539894</v>
          </cell>
          <cell r="D2401" t="str">
            <v>Not Listed</v>
          </cell>
          <cell r="E2401" t="str">
            <v>Construction &amp; Engineering</v>
          </cell>
        </row>
        <row r="2402">
          <cell r="B2402" t="str">
            <v>MADHAV MARBLES AND GRANITES LTD</v>
          </cell>
          <cell r="C2402">
            <v>515093</v>
          </cell>
          <cell r="D2402" t="str">
            <v>MADHAV</v>
          </cell>
          <cell r="E2402" t="str">
            <v>Construction Materials</v>
          </cell>
        </row>
        <row r="2403">
          <cell r="B2403" t="str">
            <v>MADHUBAN CONSTRUCTIONS LTD</v>
          </cell>
          <cell r="C2403">
            <v>780009</v>
          </cell>
          <cell r="D2403" t="str">
            <v>Not Listed</v>
          </cell>
          <cell r="E2403" t="str">
            <v>Others</v>
          </cell>
        </row>
        <row r="2404">
          <cell r="B2404" t="str">
            <v>MADHUCON PROJECTS LTD</v>
          </cell>
          <cell r="C2404">
            <v>531497</v>
          </cell>
          <cell r="D2404" t="str">
            <v>MADHUCON</v>
          </cell>
          <cell r="E2404" t="str">
            <v>Construction &amp; Engineering</v>
          </cell>
        </row>
        <row r="2405">
          <cell r="B2405" t="str">
            <v>MADHUR INDUSTRIES LTD</v>
          </cell>
          <cell r="C2405">
            <v>519279</v>
          </cell>
          <cell r="D2405" t="str">
            <v>Not Listed</v>
          </cell>
          <cell r="E2405" t="str">
            <v>Other Agricultural Products</v>
          </cell>
        </row>
        <row r="2406">
          <cell r="B2406" t="str">
            <v>MADHUSUDAN INDUSTRIES LTD</v>
          </cell>
          <cell r="C2406">
            <v>515059</v>
          </cell>
          <cell r="D2406" t="str">
            <v>Not Listed</v>
          </cell>
          <cell r="E2406" t="str">
            <v>Edible Oils</v>
          </cell>
        </row>
        <row r="2407">
          <cell r="B2407" t="str">
            <v>MADHUSUDAN SECURITIES LTD</v>
          </cell>
          <cell r="C2407">
            <v>511000</v>
          </cell>
          <cell r="D2407" t="str">
            <v>Not Listed</v>
          </cell>
          <cell r="E2407" t="str">
            <v>Finance (including NBFCs)</v>
          </cell>
        </row>
        <row r="2408">
          <cell r="B2408" t="str">
            <v>MADHUVEER COM 18 NETWORK LTD</v>
          </cell>
          <cell r="C2408">
            <v>531910</v>
          </cell>
          <cell r="D2408" t="str">
            <v>Not Listed</v>
          </cell>
          <cell r="E2408" t="str">
            <v>Pharmaceuticals</v>
          </cell>
        </row>
        <row r="2409">
          <cell r="B2409" t="str">
            <v>MADHYA BHARAT AGRO PRODUCTS LTD</v>
          </cell>
          <cell r="C2409" t="str">
            <v>Not Listed</v>
          </cell>
          <cell r="D2409" t="str">
            <v>MBAPL</v>
          </cell>
          <cell r="E2409" t="str">
            <v>SME</v>
          </cell>
        </row>
        <row r="2410">
          <cell r="B2410" t="str">
            <v>MADHYA PRADESH TODAY MEDIA LTD</v>
          </cell>
          <cell r="C2410" t="str">
            <v>Not Listed</v>
          </cell>
          <cell r="D2410" t="str">
            <v>MPTODAY</v>
          </cell>
          <cell r="E2410" t="str">
            <v>SME</v>
          </cell>
        </row>
        <row r="2411">
          <cell r="B2411" t="str">
            <v>MADRAS FERTILIZERS LTD</v>
          </cell>
          <cell r="C2411">
            <v>590134</v>
          </cell>
          <cell r="D2411" t="str">
            <v>MADRASFERT</v>
          </cell>
          <cell r="E2411" t="str">
            <v>Fertilizers</v>
          </cell>
        </row>
        <row r="2412">
          <cell r="B2412" t="str">
            <v>MAESTROS ELECTRONICS &amp; TELECOMMUNICATIONS SYSTEMS LTD</v>
          </cell>
          <cell r="C2412">
            <v>538401</v>
          </cell>
          <cell r="D2412" t="str">
            <v>Not Listed</v>
          </cell>
          <cell r="E2412" t="str">
            <v>Electronic Components</v>
          </cell>
        </row>
        <row r="2413">
          <cell r="B2413" t="str">
            <v>MAFATLAL INDUSTRIES LTD</v>
          </cell>
          <cell r="C2413">
            <v>500264</v>
          </cell>
          <cell r="D2413" t="str">
            <v>Not Listed</v>
          </cell>
          <cell r="E2413" t="str">
            <v>Textiles</v>
          </cell>
        </row>
        <row r="2414">
          <cell r="B2414" t="str">
            <v>MAGADH SUGAR &amp; ENERGY LTD</v>
          </cell>
          <cell r="C2414">
            <v>540650</v>
          </cell>
          <cell r="D2414" t="str">
            <v>MAGADSUGAR</v>
          </cell>
          <cell r="E2414" t="str">
            <v>Sugar</v>
          </cell>
        </row>
        <row r="2415">
          <cell r="B2415" t="str">
            <v>MAGMA FINCORP LTD</v>
          </cell>
          <cell r="C2415">
            <v>524000</v>
          </cell>
          <cell r="D2415" t="str">
            <v>MAGMA</v>
          </cell>
          <cell r="E2415" t="str">
            <v>Finance (including NBFCs)</v>
          </cell>
        </row>
        <row r="2416">
          <cell r="B2416" t="str">
            <v>MAGNA ELECTRO CASTINGS LTD</v>
          </cell>
          <cell r="C2416">
            <v>517449</v>
          </cell>
          <cell r="D2416" t="str">
            <v>Not Listed</v>
          </cell>
          <cell r="E2416" t="str">
            <v>Other Industrial Products</v>
          </cell>
        </row>
        <row r="2417">
          <cell r="B2417" t="str">
            <v>MAGNANIMOUS TRADE &amp; FINANCE LTD</v>
          </cell>
          <cell r="C2417">
            <v>512377</v>
          </cell>
          <cell r="D2417" t="str">
            <v>Not Listed</v>
          </cell>
          <cell r="E2417" t="str">
            <v>Misc.Commercial Services</v>
          </cell>
        </row>
        <row r="2418">
          <cell r="B2418" t="str">
            <v>MAGNUM VENTURES LTD</v>
          </cell>
          <cell r="C2418">
            <v>532896</v>
          </cell>
          <cell r="D2418" t="str">
            <v>MAGNUM</v>
          </cell>
          <cell r="E2418" t="str">
            <v>Paper &amp; Paper Products</v>
          </cell>
        </row>
        <row r="2419">
          <cell r="B2419" t="str">
            <v>MAHA RASHTRA APEX CORPORATION LTD</v>
          </cell>
          <cell r="C2419">
            <v>523384</v>
          </cell>
          <cell r="D2419" t="str">
            <v>MAHAPEXLTD</v>
          </cell>
          <cell r="E2419" t="str">
            <v>Finance (including NBFCs)</v>
          </cell>
        </row>
        <row r="2420">
          <cell r="B2420" t="str">
            <v>MAHAAN FOODS LTD</v>
          </cell>
          <cell r="C2420">
            <v>519612</v>
          </cell>
          <cell r="D2420" t="str">
            <v>Not Listed</v>
          </cell>
          <cell r="E2420" t="str">
            <v>Packaged Foods</v>
          </cell>
        </row>
        <row r="2421">
          <cell r="B2421" t="str">
            <v>MAHALAXMI RUBTECH LTD</v>
          </cell>
          <cell r="C2421">
            <v>514450</v>
          </cell>
          <cell r="D2421" t="str">
            <v>Not Listed</v>
          </cell>
          <cell r="E2421" t="str">
            <v>Other Industrial Products</v>
          </cell>
        </row>
        <row r="2422">
          <cell r="B2422" t="str">
            <v>MAHALAXMI SEAMLESS LTD</v>
          </cell>
          <cell r="C2422">
            <v>513460</v>
          </cell>
          <cell r="D2422" t="str">
            <v>Not Listed</v>
          </cell>
          <cell r="E2422" t="str">
            <v>Iron &amp; Steel Products</v>
          </cell>
        </row>
        <row r="2423">
          <cell r="B2423" t="str">
            <v>MAHAMAYA STEEL INDUSTRIES LTD</v>
          </cell>
          <cell r="C2423">
            <v>513554</v>
          </cell>
          <cell r="D2423" t="str">
            <v>MAHASTEEL</v>
          </cell>
          <cell r="E2423" t="str">
            <v>Iron &amp; Steel Products</v>
          </cell>
        </row>
        <row r="2424">
          <cell r="B2424" t="str">
            <v>MAHAN INDUSTRIES LTD</v>
          </cell>
          <cell r="C2424">
            <v>531515</v>
          </cell>
          <cell r="D2424" t="str">
            <v>Not Listed</v>
          </cell>
          <cell r="E2424" t="str">
            <v>Comm.Trading  &amp; Distribution</v>
          </cell>
        </row>
        <row r="2425">
          <cell r="B2425" t="str">
            <v>MAHANAGAR GAS LTD</v>
          </cell>
          <cell r="C2425">
            <v>539957</v>
          </cell>
          <cell r="D2425" t="str">
            <v>MGL</v>
          </cell>
          <cell r="E2425" t="str">
            <v>Utilities:Non-Elec.</v>
          </cell>
        </row>
        <row r="2426">
          <cell r="B2426" t="str">
            <v>MAHANAGAR TELEPHONE NIGAM LTD</v>
          </cell>
          <cell r="C2426">
            <v>500108</v>
          </cell>
          <cell r="D2426" t="str">
            <v>MTNL</v>
          </cell>
          <cell r="E2426" t="str">
            <v>Telecom Services</v>
          </cell>
        </row>
        <row r="2427">
          <cell r="B2427" t="str">
            <v>MAHANIVESH (INDIA) LTD</v>
          </cell>
          <cell r="C2427">
            <v>530441</v>
          </cell>
          <cell r="D2427" t="str">
            <v>Not Listed</v>
          </cell>
          <cell r="E2427" t="str">
            <v>Misc.Commercial Services</v>
          </cell>
        </row>
        <row r="2428">
          <cell r="B2428" t="str">
            <v>MAHANIVESH INDIA LTD</v>
          </cell>
          <cell r="C2428">
            <v>530441</v>
          </cell>
          <cell r="D2428" t="str">
            <v>Not Listed</v>
          </cell>
          <cell r="E2428" t="str">
            <v>Misc.Commercial Services</v>
          </cell>
        </row>
        <row r="2429">
          <cell r="B2429" t="str">
            <v>MAHARASHTRA CORPORATION LTD</v>
          </cell>
          <cell r="C2429">
            <v>505523</v>
          </cell>
          <cell r="D2429" t="str">
            <v>Not Listed</v>
          </cell>
          <cell r="E2429" t="str">
            <v>Comm.Trading  &amp; Distribution</v>
          </cell>
        </row>
        <row r="2430">
          <cell r="B2430" t="str">
            <v>MAHARASHTRA SCOOTERS LTD</v>
          </cell>
          <cell r="C2430">
            <v>500266</v>
          </cell>
          <cell r="D2430" t="str">
            <v>MAHSCOOTER</v>
          </cell>
          <cell r="E2430" t="str">
            <v>Investment Companies</v>
          </cell>
        </row>
        <row r="2431">
          <cell r="B2431" t="str">
            <v>MAHARASHTRA SEAMLESS LTD</v>
          </cell>
          <cell r="C2431">
            <v>500265</v>
          </cell>
          <cell r="D2431" t="str">
            <v>MAHSEAMLES</v>
          </cell>
          <cell r="E2431" t="str">
            <v>Construction &amp; Engineering</v>
          </cell>
        </row>
        <row r="2432">
          <cell r="B2432" t="str">
            <v>MAHASAGAR TRAVELS LTD</v>
          </cell>
          <cell r="C2432">
            <v>526795</v>
          </cell>
          <cell r="D2432" t="str">
            <v>Not Listed</v>
          </cell>
          <cell r="E2432" t="str">
            <v>Surface Transportation</v>
          </cell>
        </row>
        <row r="2433">
          <cell r="B2433" t="str">
            <v>MAHASHREE TRADING LTD</v>
          </cell>
          <cell r="C2433">
            <v>512337</v>
          </cell>
          <cell r="D2433" t="str">
            <v>Not Listed</v>
          </cell>
          <cell r="E2433" t="str">
            <v>Comm.Trading  &amp; Distribution</v>
          </cell>
        </row>
        <row r="2434">
          <cell r="B2434" t="str">
            <v>MAHAVEER INFOWAY LTD</v>
          </cell>
          <cell r="C2434">
            <v>539383</v>
          </cell>
          <cell r="D2434" t="str">
            <v>Not Listed</v>
          </cell>
          <cell r="E2434" t="str">
            <v>IT Consulting &amp; Software</v>
          </cell>
        </row>
        <row r="2435">
          <cell r="B2435" t="str">
            <v>MAHAVIR INDUSTRIES LTD</v>
          </cell>
          <cell r="C2435">
            <v>531648</v>
          </cell>
          <cell r="D2435" t="str">
            <v>Not Listed</v>
          </cell>
          <cell r="E2435" t="str">
            <v>Copper</v>
          </cell>
        </row>
        <row r="2436">
          <cell r="B2436" t="str">
            <v>Mahesh Developers Ltd</v>
          </cell>
          <cell r="C2436">
            <v>542677</v>
          </cell>
          <cell r="D2436" t="str">
            <v>MAHESH</v>
          </cell>
          <cell r="E2436" t="str">
            <v>Realty</v>
          </cell>
        </row>
        <row r="2437">
          <cell r="B2437" t="str">
            <v>MAHESHWARI LOGISTICS LTD</v>
          </cell>
          <cell r="C2437" t="str">
            <v>Not Listed</v>
          </cell>
          <cell r="D2437" t="str">
            <v>MAHESHWARI</v>
          </cell>
          <cell r="E2437" t="str">
            <v>SME</v>
          </cell>
        </row>
        <row r="2438">
          <cell r="B2438" t="str">
            <v>MAHICKRA CHEMICALS LTD</v>
          </cell>
          <cell r="C2438" t="str">
            <v>Not Listed</v>
          </cell>
          <cell r="D2438" t="str">
            <v>MAHICKRA</v>
          </cell>
          <cell r="E2438" t="str">
            <v>SME</v>
          </cell>
        </row>
        <row r="2439">
          <cell r="B2439" t="str">
            <v>MAHINDRA &amp; MAHINDRA FINANCIAL SERVICES LTD</v>
          </cell>
          <cell r="C2439">
            <v>532720</v>
          </cell>
          <cell r="D2439" t="str">
            <v>M&amp;MFIN</v>
          </cell>
          <cell r="E2439" t="str">
            <v>Finance (including NBFCs)</v>
          </cell>
        </row>
        <row r="2440">
          <cell r="B2440" t="str">
            <v>MAHINDRA &amp; MAHINDRA LTD</v>
          </cell>
          <cell r="C2440">
            <v>500520</v>
          </cell>
          <cell r="D2440" t="str">
            <v>M&amp;M</v>
          </cell>
          <cell r="E2440" t="str">
            <v>Cars &amp; Utility Vehicles</v>
          </cell>
        </row>
        <row r="2441">
          <cell r="B2441" t="str">
            <v>MAHINDRA CIE AUTOMOTIVE LTD</v>
          </cell>
          <cell r="C2441">
            <v>532756</v>
          </cell>
          <cell r="D2441" t="str">
            <v>MAHINDCIE</v>
          </cell>
          <cell r="E2441" t="str">
            <v>Other Industrial Products</v>
          </cell>
        </row>
        <row r="2442">
          <cell r="B2442" t="str">
            <v>MAHINDRA HOLIDAYS &amp; RESORTS (INDIA) LTD</v>
          </cell>
          <cell r="C2442">
            <v>533088</v>
          </cell>
          <cell r="D2442" t="str">
            <v>MHRIL</v>
          </cell>
          <cell r="E2442" t="str">
            <v>Hotels</v>
          </cell>
        </row>
        <row r="2443">
          <cell r="B2443" t="str">
            <v>MAHINDRA HOLIDAYS &amp; RESORTS INDIA LTD</v>
          </cell>
          <cell r="C2443">
            <v>533088</v>
          </cell>
          <cell r="D2443" t="str">
            <v>MHRIL</v>
          </cell>
          <cell r="E2443" t="str">
            <v>Hotels</v>
          </cell>
        </row>
        <row r="2444">
          <cell r="B2444" t="str">
            <v>MAHINDRA LIFESPACE DEVELOPERS LTD</v>
          </cell>
          <cell r="C2444">
            <v>532313</v>
          </cell>
          <cell r="D2444" t="str">
            <v>MAHLIFE</v>
          </cell>
          <cell r="E2444" t="str">
            <v>Realty</v>
          </cell>
        </row>
        <row r="2445">
          <cell r="B2445" t="str">
            <v>MAHINDRA LOGISTICS LTD</v>
          </cell>
          <cell r="C2445">
            <v>540768</v>
          </cell>
          <cell r="D2445" t="str">
            <v>MAHLOG</v>
          </cell>
          <cell r="E2445" t="str">
            <v>Transportation - Logistics</v>
          </cell>
        </row>
        <row r="2446">
          <cell r="B2446" t="str">
            <v>Mahip Industries Ltd</v>
          </cell>
          <cell r="C2446">
            <v>542503</v>
          </cell>
          <cell r="D2446" t="str">
            <v>MAHIP</v>
          </cell>
          <cell r="E2446" t="str">
            <v>Containers &amp;amp; Packaging</v>
          </cell>
        </row>
        <row r="2447">
          <cell r="B2447" t="str">
            <v>MAITHAN ALLOYS LTD</v>
          </cell>
          <cell r="C2447">
            <v>590078</v>
          </cell>
          <cell r="D2447" t="str">
            <v>MAITHANALL</v>
          </cell>
          <cell r="E2447" t="str">
            <v>Iron &amp; Steel/Interm.Products</v>
          </cell>
        </row>
        <row r="2448">
          <cell r="B2448" t="str">
            <v>MAITRI ENTERPRISES LTD</v>
          </cell>
          <cell r="C2448">
            <v>513430</v>
          </cell>
          <cell r="D2448" t="str">
            <v>Not Listed</v>
          </cell>
          <cell r="E2448" t="str">
            <v>Aluminium</v>
          </cell>
        </row>
        <row r="2449">
          <cell r="B2449" t="str">
            <v>MAJESCO LTD</v>
          </cell>
          <cell r="C2449">
            <v>539289</v>
          </cell>
          <cell r="D2449" t="str">
            <v>MAJESCO</v>
          </cell>
          <cell r="E2449" t="str">
            <v>IT Consulting &amp; Software</v>
          </cell>
        </row>
        <row r="2450">
          <cell r="B2450" t="str">
            <v>MAJESTIC AUTO LTD</v>
          </cell>
          <cell r="C2450">
            <v>500267</v>
          </cell>
          <cell r="D2450" t="str">
            <v>Not Listed</v>
          </cell>
          <cell r="E2450" t="str">
            <v>2/3 Wheelers</v>
          </cell>
        </row>
        <row r="2451">
          <cell r="B2451" t="str">
            <v>MAJESTIC RESEARCH SERVICES AND SOLUTIONS LTD</v>
          </cell>
          <cell r="C2451">
            <v>539229</v>
          </cell>
          <cell r="D2451" t="str">
            <v>Not Listed</v>
          </cell>
          <cell r="E2451" t="str">
            <v>Diversified</v>
          </cell>
        </row>
        <row r="2452">
          <cell r="B2452" t="str">
            <v>MAKERS LABORATORIES LTD</v>
          </cell>
          <cell r="C2452">
            <v>506919</v>
          </cell>
          <cell r="D2452" t="str">
            <v>Not Listed</v>
          </cell>
          <cell r="E2452" t="str">
            <v>Pharmaceuticals</v>
          </cell>
        </row>
        <row r="2453">
          <cell r="B2453" t="str">
            <v>MALLCOM (INDIA) LTD</v>
          </cell>
          <cell r="C2453">
            <v>539400</v>
          </cell>
          <cell r="D2453" t="str">
            <v>Not Listed</v>
          </cell>
          <cell r="E2453" t="str">
            <v>Other Apparels &amp; Accessories</v>
          </cell>
        </row>
        <row r="2454">
          <cell r="B2454" t="str">
            <v>MALLCOM INDIA LTD</v>
          </cell>
          <cell r="C2454">
            <v>539400</v>
          </cell>
          <cell r="D2454" t="str">
            <v>Not Listed</v>
          </cell>
          <cell r="E2454" t="str">
            <v>Other Apparels &amp; Accessories</v>
          </cell>
        </row>
        <row r="2455">
          <cell r="B2455" t="str">
            <v>MALU PAPER MILLS LTD</v>
          </cell>
          <cell r="C2455">
            <v>532728</v>
          </cell>
          <cell r="D2455" t="str">
            <v>MALUPAPER</v>
          </cell>
          <cell r="E2455" t="str">
            <v>Paper &amp; Paper Products</v>
          </cell>
        </row>
        <row r="2456">
          <cell r="B2456" t="str">
            <v>MAN INDUSTRIES (INDIA) LTD</v>
          </cell>
          <cell r="C2456">
            <v>513269</v>
          </cell>
          <cell r="D2456" t="str">
            <v>MANINDS</v>
          </cell>
          <cell r="E2456" t="str">
            <v>Construction &amp; Engineering</v>
          </cell>
        </row>
        <row r="2457">
          <cell r="B2457" t="str">
            <v>MAN INDUSTRIES INDIA LTD</v>
          </cell>
          <cell r="C2457">
            <v>513269</v>
          </cell>
          <cell r="D2457" t="str">
            <v>MANINDS</v>
          </cell>
          <cell r="E2457" t="str">
            <v>Construction &amp; Engineering</v>
          </cell>
        </row>
        <row r="2458">
          <cell r="B2458" t="str">
            <v>MAN INFRACONSTRUCTION LTD</v>
          </cell>
          <cell r="C2458">
            <v>533169</v>
          </cell>
          <cell r="D2458" t="str">
            <v>MANINFRA</v>
          </cell>
          <cell r="E2458" t="str">
            <v>Construction &amp; Engineering</v>
          </cell>
        </row>
        <row r="2459">
          <cell r="B2459" t="str">
            <v>MANAKSIA ALUMINIUM COMPANY LTD</v>
          </cell>
          <cell r="C2459">
            <v>539045</v>
          </cell>
          <cell r="D2459" t="str">
            <v>MANAKALUCO</v>
          </cell>
          <cell r="E2459" t="str">
            <v>Aluminium</v>
          </cell>
        </row>
        <row r="2460">
          <cell r="B2460" t="str">
            <v>MANAKSIA COATED METALS &amp; INDUSTRIES LTD</v>
          </cell>
          <cell r="C2460">
            <v>539046</v>
          </cell>
          <cell r="D2460" t="str">
            <v>MANAKCOAT</v>
          </cell>
          <cell r="E2460" t="str">
            <v>Iron &amp; Steel/Interm.Products</v>
          </cell>
        </row>
        <row r="2461">
          <cell r="B2461" t="str">
            <v>MANAKSIA LTD</v>
          </cell>
          <cell r="C2461">
            <v>532932</v>
          </cell>
          <cell r="D2461" t="str">
            <v>MANAKSIA</v>
          </cell>
          <cell r="E2461" t="str">
            <v>Containers &amp; Packaging</v>
          </cell>
        </row>
        <row r="2462">
          <cell r="B2462" t="str">
            <v>MANAKSIA STEELS LTD</v>
          </cell>
          <cell r="C2462">
            <v>539044</v>
          </cell>
          <cell r="D2462" t="str">
            <v>MANAKSTEEL</v>
          </cell>
          <cell r="E2462" t="str">
            <v>Iron &amp; Steel/Interm.Products</v>
          </cell>
        </row>
        <row r="2463">
          <cell r="B2463" t="str">
            <v>MANALI PETROCHEMICALS LTD</v>
          </cell>
          <cell r="C2463">
            <v>500268</v>
          </cell>
          <cell r="D2463" t="str">
            <v>MANALIPETC</v>
          </cell>
          <cell r="E2463" t="str">
            <v>Petrochemicals</v>
          </cell>
        </row>
        <row r="2464">
          <cell r="B2464" t="str">
            <v>MANAPPURAM FINANCE LTD</v>
          </cell>
          <cell r="C2464">
            <v>531213</v>
          </cell>
          <cell r="D2464" t="str">
            <v>MANAPPURAM</v>
          </cell>
          <cell r="E2464" t="str">
            <v>Finance (including NBFCs)</v>
          </cell>
        </row>
        <row r="2465">
          <cell r="B2465" t="str">
            <v>MANAS PROPERTIES LTD</v>
          </cell>
          <cell r="C2465">
            <v>540402</v>
          </cell>
          <cell r="D2465" t="str">
            <v>Not Listed</v>
          </cell>
          <cell r="E2465" t="str">
            <v>Realty</v>
          </cell>
        </row>
        <row r="2466">
          <cell r="B2466" t="str">
            <v>MANAV INFRA PROJECTS LTD</v>
          </cell>
          <cell r="C2466" t="str">
            <v>Not Listed</v>
          </cell>
          <cell r="D2466" t="str">
            <v>MANAV</v>
          </cell>
          <cell r="E2466" t="str">
            <v>SME</v>
          </cell>
        </row>
        <row r="2467">
          <cell r="B2467" t="str">
            <v>MANDHANA INDUSTRIES LTD</v>
          </cell>
          <cell r="C2467">
            <v>533204</v>
          </cell>
          <cell r="D2467" t="str">
            <v>MANDHANA</v>
          </cell>
          <cell r="E2467" t="str">
            <v>Textiles</v>
          </cell>
        </row>
        <row r="2468">
          <cell r="B2468" t="str">
            <v>MANGAL CREDIT AND FINCORP LTD.</v>
          </cell>
          <cell r="C2468">
            <v>505850</v>
          </cell>
          <cell r="D2468" t="str">
            <v>MANCREDIT</v>
          </cell>
          <cell r="E2468" t="str">
            <v>Finance (including NBFCs)</v>
          </cell>
        </row>
        <row r="2469">
          <cell r="B2469" t="str">
            <v>MANGALAM CEMENT LTD</v>
          </cell>
          <cell r="C2469">
            <v>502157</v>
          </cell>
          <cell r="D2469" t="str">
            <v>MANGLMCEM</v>
          </cell>
          <cell r="E2469" t="str">
            <v>Cement &amp; Cement Products</v>
          </cell>
        </row>
        <row r="2470">
          <cell r="B2470" t="str">
            <v>MANGALAM DRUGS AND ORGANICS LTD</v>
          </cell>
          <cell r="C2470">
            <v>532637</v>
          </cell>
          <cell r="D2470" t="str">
            <v>MANGALAM</v>
          </cell>
          <cell r="E2470" t="str">
            <v>Pharmaceuticals</v>
          </cell>
        </row>
        <row r="2471">
          <cell r="B2471" t="str">
            <v>MANGALAM INDUSTRIAL FINANCE LTD</v>
          </cell>
          <cell r="C2471">
            <v>537800</v>
          </cell>
          <cell r="D2471" t="str">
            <v>Not Listed</v>
          </cell>
          <cell r="E2471" t="str">
            <v>Finance (including NBFCs)</v>
          </cell>
        </row>
        <row r="2472">
          <cell r="B2472" t="str">
            <v>MANGALAM ORGANICS LTD</v>
          </cell>
          <cell r="C2472">
            <v>514418</v>
          </cell>
          <cell r="D2472" t="str">
            <v>Not Listed</v>
          </cell>
          <cell r="E2472" t="str">
            <v>Commodity Chemicals</v>
          </cell>
        </row>
        <row r="2473">
          <cell r="B2473" t="str">
            <v>MANGALAM SEEDS LTD</v>
          </cell>
          <cell r="C2473">
            <v>539275</v>
          </cell>
          <cell r="D2473" t="str">
            <v>Not Listed</v>
          </cell>
          <cell r="E2473" t="str">
            <v>Other Agricultural Products</v>
          </cell>
        </row>
        <row r="2474">
          <cell r="B2474" t="str">
            <v>MANGALAM TIMBER PRODUCTS LTD</v>
          </cell>
          <cell r="C2474">
            <v>516007</v>
          </cell>
          <cell r="D2474" t="str">
            <v>MANGTIMBER</v>
          </cell>
          <cell r="E2474" t="str">
            <v>Forest Products</v>
          </cell>
        </row>
        <row r="2475">
          <cell r="B2475" t="str">
            <v>MANGALORE CHEMICALS &amp; FERTILIZERS LTD</v>
          </cell>
          <cell r="C2475">
            <v>530011</v>
          </cell>
          <cell r="D2475" t="str">
            <v>MANGCHEFER</v>
          </cell>
          <cell r="E2475" t="str">
            <v>Fertilizers</v>
          </cell>
        </row>
        <row r="2476">
          <cell r="B2476" t="str">
            <v>MANGALORE REFINERY AND PETROCHEMICALS LTD</v>
          </cell>
          <cell r="C2476">
            <v>500109</v>
          </cell>
          <cell r="D2476" t="str">
            <v>MRPL</v>
          </cell>
          <cell r="E2476" t="str">
            <v>Refineries/ Petro-Products</v>
          </cell>
        </row>
        <row r="2477">
          <cell r="B2477" t="str">
            <v>MANGALYA SOFT-TECH LTD</v>
          </cell>
          <cell r="C2477">
            <v>530243</v>
          </cell>
          <cell r="D2477" t="str">
            <v>Not Listed</v>
          </cell>
          <cell r="E2477" t="str">
            <v>IT Software Products</v>
          </cell>
        </row>
        <row r="2478">
          <cell r="B2478" t="str">
            <v>MANIPAL FINANCE CORPORATION LTD</v>
          </cell>
          <cell r="C2478">
            <v>507938</v>
          </cell>
          <cell r="D2478" t="str">
            <v>Not Listed</v>
          </cell>
          <cell r="E2478" t="str">
            <v>Finance (including NBFCs)</v>
          </cell>
        </row>
        <row r="2479">
          <cell r="B2479" t="str">
            <v>MANJEERA CONSTRUCTIONS LTD</v>
          </cell>
          <cell r="C2479">
            <v>533078</v>
          </cell>
          <cell r="D2479" t="str">
            <v>Not Listed</v>
          </cell>
          <cell r="E2479" t="str">
            <v>Realty</v>
          </cell>
        </row>
        <row r="2480">
          <cell r="B2480" t="str">
            <v>MANOMAY TEX (INDIA) LTD</v>
          </cell>
          <cell r="C2480">
            <v>540396</v>
          </cell>
          <cell r="D2480" t="str">
            <v>Not Listed</v>
          </cell>
          <cell r="E2480" t="str">
            <v>Textiles</v>
          </cell>
        </row>
        <row r="2481">
          <cell r="B2481" t="str">
            <v>MANOMAY TEX INDIA LTD</v>
          </cell>
          <cell r="C2481">
            <v>540396</v>
          </cell>
          <cell r="D2481" t="str">
            <v>Not Listed</v>
          </cell>
          <cell r="E2481" t="str">
            <v>Textiles</v>
          </cell>
        </row>
        <row r="2482">
          <cell r="B2482" t="str">
            <v>MANORAMA INDUSTRIES LTD</v>
          </cell>
          <cell r="C2482">
            <v>541974</v>
          </cell>
          <cell r="D2482" t="str">
            <v>Not Listed</v>
          </cell>
          <cell r="E2482" t="str">
            <v>Edible Oils</v>
          </cell>
        </row>
        <row r="2483">
          <cell r="B2483" t="str">
            <v>MANPASAND BEVERAGES LTD</v>
          </cell>
          <cell r="C2483">
            <v>539207</v>
          </cell>
          <cell r="D2483" t="str">
            <v>MANPASAND</v>
          </cell>
          <cell r="E2483" t="str">
            <v>Non-alcoholic Beverages</v>
          </cell>
        </row>
        <row r="2484">
          <cell r="B2484" t="str">
            <v>MANRAJ HOUSING FINANCE LTD</v>
          </cell>
          <cell r="C2484">
            <v>530537</v>
          </cell>
          <cell r="D2484" t="str">
            <v>Not Listed</v>
          </cell>
          <cell r="E2484" t="str">
            <v xml:space="preserve">Housing Finance </v>
          </cell>
        </row>
        <row r="2485">
          <cell r="B2485" t="str">
            <v>MANSI FINANCE CHENNAI LTD</v>
          </cell>
          <cell r="C2485">
            <v>511758</v>
          </cell>
          <cell r="D2485" t="str">
            <v>Not Listed</v>
          </cell>
          <cell r="E2485" t="str">
            <v>Finance (including NBFCs)</v>
          </cell>
        </row>
        <row r="2486">
          <cell r="B2486" t="str">
            <v>MANSOON TRADING CO LTD</v>
          </cell>
          <cell r="C2486">
            <v>512303</v>
          </cell>
          <cell r="D2486" t="str">
            <v>Not Listed</v>
          </cell>
          <cell r="E2486" t="str">
            <v>Misc.Commercial Services</v>
          </cell>
        </row>
        <row r="2487">
          <cell r="B2487" t="str">
            <v>MANUGRAPH (INDIA) LTD</v>
          </cell>
          <cell r="C2487">
            <v>505324</v>
          </cell>
          <cell r="D2487" t="str">
            <v>MANUGRAPH</v>
          </cell>
          <cell r="E2487" t="str">
            <v>Industrial Machinery</v>
          </cell>
        </row>
        <row r="2488">
          <cell r="B2488" t="str">
            <v>MANUGRAPH INDIA LTD</v>
          </cell>
          <cell r="C2488">
            <v>505324</v>
          </cell>
          <cell r="D2488" t="str">
            <v>MANUGRAPH</v>
          </cell>
          <cell r="E2488" t="str">
            <v>Industrial Machinery</v>
          </cell>
        </row>
        <row r="2489">
          <cell r="B2489" t="str">
            <v>MANVIJAY DEVELOPMENT COMPANY LTD</v>
          </cell>
          <cell r="C2489">
            <v>538970</v>
          </cell>
          <cell r="D2489" t="str">
            <v>Not Listed</v>
          </cell>
          <cell r="E2489" t="str">
            <v>Realty</v>
          </cell>
        </row>
        <row r="2490">
          <cell r="B2490" t="str">
            <v>MARAL OVERSEAS LTD</v>
          </cell>
          <cell r="C2490">
            <v>521018</v>
          </cell>
          <cell r="D2490" t="str">
            <v>MARALOVER</v>
          </cell>
          <cell r="E2490" t="str">
            <v>Textiles</v>
          </cell>
        </row>
        <row r="2491">
          <cell r="B2491" t="str">
            <v>MARATHON NEXTGEN REALTY LTD</v>
          </cell>
          <cell r="C2491">
            <v>503101</v>
          </cell>
          <cell r="D2491" t="str">
            <v>MARATHON</v>
          </cell>
          <cell r="E2491" t="str">
            <v>Realty</v>
          </cell>
        </row>
        <row r="2492">
          <cell r="B2492" t="str">
            <v>MARATHWADA REFRACTORIES LTD</v>
          </cell>
          <cell r="C2492">
            <v>502250</v>
          </cell>
          <cell r="D2492" t="str">
            <v>Not Listed</v>
          </cell>
          <cell r="E2492" t="str">
            <v>Construction Materials</v>
          </cell>
        </row>
        <row r="2493">
          <cell r="B2493" t="str">
            <v>MARDIA SAMYOUNG CAPILLARY TUBES COMPANY LTD</v>
          </cell>
          <cell r="C2493">
            <v>513544</v>
          </cell>
          <cell r="D2493" t="str">
            <v>Not Listed</v>
          </cell>
          <cell r="E2493" t="str">
            <v>Copper</v>
          </cell>
        </row>
        <row r="2494">
          <cell r="B2494" t="str">
            <v>MARG LTD</v>
          </cell>
          <cell r="C2494">
            <v>530543</v>
          </cell>
          <cell r="D2494" t="str">
            <v>Not Listed</v>
          </cell>
          <cell r="E2494" t="str">
            <v>Realty</v>
          </cell>
        </row>
        <row r="2495">
          <cell r="B2495" t="str">
            <v>MARG TECHNO PROJECTS LTD</v>
          </cell>
          <cell r="C2495">
            <v>540254</v>
          </cell>
          <cell r="D2495" t="str">
            <v>Not Listed</v>
          </cell>
          <cell r="E2495" t="str">
            <v>Finance (including NBFCs)</v>
          </cell>
        </row>
        <row r="2496">
          <cell r="B2496" t="str">
            <v>MARGO FINANCE LTD</v>
          </cell>
          <cell r="C2496">
            <v>500206</v>
          </cell>
          <cell r="D2496" t="str">
            <v>Not Listed</v>
          </cell>
          <cell r="E2496" t="str">
            <v>Finance (including NBFCs)</v>
          </cell>
        </row>
        <row r="2497">
          <cell r="B2497" t="str">
            <v>MARICO LTD</v>
          </cell>
          <cell r="C2497">
            <v>531642</v>
          </cell>
          <cell r="D2497" t="str">
            <v>MARICO</v>
          </cell>
          <cell r="E2497" t="str">
            <v>Personal Products</v>
          </cell>
        </row>
        <row r="2498">
          <cell r="B2498" t="str">
            <v>MARINE ELECTRICALS (INDIA) LTD</v>
          </cell>
          <cell r="C2498" t="str">
            <v>Not Listed</v>
          </cell>
          <cell r="D2498" t="str">
            <v>MARINE</v>
          </cell>
          <cell r="E2498" t="str">
            <v>SME</v>
          </cell>
        </row>
        <row r="2499">
          <cell r="B2499" t="str">
            <v>MARINE ELECTRICALS INDIA LTD</v>
          </cell>
          <cell r="C2499" t="str">
            <v>Not Listed</v>
          </cell>
          <cell r="D2499" t="str">
            <v>MARINE</v>
          </cell>
          <cell r="E2499" t="str">
            <v>SME</v>
          </cell>
        </row>
        <row r="2500">
          <cell r="B2500" t="str">
            <v>MARIS SPINNERS LTD</v>
          </cell>
          <cell r="C2500">
            <v>531503</v>
          </cell>
          <cell r="D2500" t="str">
            <v>Not Listed</v>
          </cell>
          <cell r="E2500" t="str">
            <v>Textiles</v>
          </cell>
        </row>
        <row r="2501">
          <cell r="B2501" t="str">
            <v>MARKET CREATORS LTD</v>
          </cell>
          <cell r="C2501">
            <v>526891</v>
          </cell>
          <cell r="D2501" t="str">
            <v>Not Listed</v>
          </cell>
          <cell r="E2501" t="str">
            <v>Other Financial Services</v>
          </cell>
        </row>
        <row r="2502">
          <cell r="B2502" t="str">
            <v>MARKSANS PHARMA LTD</v>
          </cell>
          <cell r="C2502">
            <v>524404</v>
          </cell>
          <cell r="D2502" t="str">
            <v>MARKSANS</v>
          </cell>
          <cell r="E2502" t="str">
            <v>Pharmaceuticals</v>
          </cell>
        </row>
        <row r="2503">
          <cell r="B2503" t="str">
            <v>MARSHALL MACHINES LTD</v>
          </cell>
          <cell r="C2503" t="str">
            <v>Not Listed</v>
          </cell>
          <cell r="D2503" t="str">
            <v>MARSHALL</v>
          </cell>
          <cell r="E2503" t="str">
            <v>SME</v>
          </cell>
        </row>
        <row r="2504">
          <cell r="B2504" t="str">
            <v>MARSONS LTD</v>
          </cell>
          <cell r="C2504">
            <v>517467</v>
          </cell>
          <cell r="D2504" t="str">
            <v>Not Listed</v>
          </cell>
          <cell r="E2504" t="str">
            <v>Other Elect.Equip./ Prod.</v>
          </cell>
        </row>
        <row r="2505">
          <cell r="B2505" t="str">
            <v>MARTIN BURN LTD</v>
          </cell>
          <cell r="C2505">
            <v>523566</v>
          </cell>
          <cell r="D2505" t="str">
            <v>Not Listed</v>
          </cell>
          <cell r="E2505" t="str">
            <v>Realty</v>
          </cell>
        </row>
        <row r="2506">
          <cell r="B2506" t="str">
            <v>MARUTI INFRASTRUCTURE LTD</v>
          </cell>
          <cell r="C2506">
            <v>531540</v>
          </cell>
          <cell r="D2506" t="str">
            <v>Not Listed</v>
          </cell>
          <cell r="E2506" t="str">
            <v>Construction &amp; Engineering</v>
          </cell>
        </row>
        <row r="2507">
          <cell r="B2507" t="str">
            <v>MARUTI SECURITIES LTD</v>
          </cell>
          <cell r="C2507">
            <v>531319</v>
          </cell>
          <cell r="D2507" t="str">
            <v>Not Listed</v>
          </cell>
          <cell r="E2507" t="str">
            <v>Finance (including NBFCs)</v>
          </cell>
        </row>
        <row r="2508">
          <cell r="B2508" t="str">
            <v>MARUTI SUZUKI (INDIA) LTD</v>
          </cell>
          <cell r="C2508">
            <v>532500</v>
          </cell>
          <cell r="D2508" t="str">
            <v>MARUTI</v>
          </cell>
          <cell r="E2508" t="str">
            <v>Cars &amp; Utility Vehicles</v>
          </cell>
        </row>
        <row r="2509">
          <cell r="B2509" t="str">
            <v>MARUTI SUZUKI INDIA LTD</v>
          </cell>
          <cell r="C2509">
            <v>532500</v>
          </cell>
          <cell r="D2509" t="str">
            <v>MARUTI</v>
          </cell>
          <cell r="E2509" t="str">
            <v>Cars &amp; Utility Vehicles</v>
          </cell>
        </row>
        <row r="2510">
          <cell r="B2510" t="str">
            <v>MARVEL DECOR LTD</v>
          </cell>
          <cell r="C2510" t="str">
            <v>Not Listed</v>
          </cell>
          <cell r="D2510" t="str">
            <v>MDL</v>
          </cell>
          <cell r="E2510" t="str">
            <v>SME</v>
          </cell>
        </row>
        <row r="2511">
          <cell r="B2511" t="str">
            <v>MAS FINANCIAL SERVICES LTD</v>
          </cell>
          <cell r="C2511">
            <v>540749</v>
          </cell>
          <cell r="D2511" t="str">
            <v>MASFIN</v>
          </cell>
          <cell r="E2511" t="str">
            <v>Finance (including NBFCs)</v>
          </cell>
        </row>
        <row r="2512">
          <cell r="B2512" t="str">
            <v>MASK INVESTMENTS LTD</v>
          </cell>
          <cell r="C2512" t="str">
            <v>Not Listed</v>
          </cell>
          <cell r="D2512" t="str">
            <v>MASKINVEST</v>
          </cell>
          <cell r="E2512" t="str">
            <v>Others</v>
          </cell>
        </row>
        <row r="2513">
          <cell r="B2513" t="str">
            <v>MASTEK LTD</v>
          </cell>
          <cell r="C2513">
            <v>523704</v>
          </cell>
          <cell r="D2513" t="str">
            <v>MASTEK</v>
          </cell>
          <cell r="E2513" t="str">
            <v>IT Software Products</v>
          </cell>
        </row>
        <row r="2514">
          <cell r="B2514" t="str">
            <v>MASTER CHEMICALS LTD</v>
          </cell>
          <cell r="C2514">
            <v>506867</v>
          </cell>
          <cell r="D2514" t="str">
            <v>Not Listed</v>
          </cell>
          <cell r="E2514" t="str">
            <v>Textiles</v>
          </cell>
        </row>
        <row r="2515">
          <cell r="B2515" t="str">
            <v>MASTER TRUST LTD</v>
          </cell>
          <cell r="C2515">
            <v>511768</v>
          </cell>
          <cell r="D2515" t="str">
            <v>Not Listed</v>
          </cell>
          <cell r="E2515" t="str">
            <v>Finance (including NBFCs)</v>
          </cell>
        </row>
        <row r="2516">
          <cell r="B2516" t="str">
            <v>MATHEW EASOW RESEARCH SECURITIES LTD</v>
          </cell>
          <cell r="C2516">
            <v>511688</v>
          </cell>
          <cell r="D2516" t="str">
            <v>Not Listed</v>
          </cell>
          <cell r="E2516" t="str">
            <v>Finance (including NBFCs)</v>
          </cell>
        </row>
        <row r="2517">
          <cell r="B2517" t="str">
            <v>MATRIMONY COM LTD</v>
          </cell>
          <cell r="C2517">
            <v>540704</v>
          </cell>
          <cell r="D2517" t="str">
            <v>MATRIMONY</v>
          </cell>
          <cell r="E2517" t="str">
            <v>Internet Software &amp; Services</v>
          </cell>
        </row>
        <row r="2518">
          <cell r="B2518" t="str">
            <v>MAURIA UDYOG LTD</v>
          </cell>
          <cell r="C2518">
            <v>539219</v>
          </cell>
          <cell r="D2518" t="str">
            <v>Not Listed</v>
          </cell>
          <cell r="E2518" t="str">
            <v>Other Industrial Products</v>
          </cell>
        </row>
        <row r="2519">
          <cell r="B2519" t="str">
            <v>MAVI INDUSTRIES LTD</v>
          </cell>
          <cell r="C2519">
            <v>500248</v>
          </cell>
          <cell r="D2519" t="str">
            <v>Not Listed</v>
          </cell>
          <cell r="E2519" t="str">
            <v>Plastic Products</v>
          </cell>
        </row>
        <row r="2520">
          <cell r="B2520" t="str">
            <v>MAWANA SUGARS LTD</v>
          </cell>
          <cell r="C2520">
            <v>523371</v>
          </cell>
          <cell r="D2520" t="str">
            <v>MAWANASUG</v>
          </cell>
          <cell r="E2520" t="str">
            <v>Sugar</v>
          </cell>
        </row>
        <row r="2521">
          <cell r="B2521" t="str">
            <v>MAX (INDIA) LTD</v>
          </cell>
          <cell r="C2521">
            <v>539981</v>
          </cell>
          <cell r="D2521" t="str">
            <v>MAX(INDIA)</v>
          </cell>
          <cell r="E2521" t="str">
            <v>Holding Companies</v>
          </cell>
        </row>
        <row r="2522">
          <cell r="B2522" t="str">
            <v>MAX ALERT SYSTEMS LTD.</v>
          </cell>
          <cell r="C2522">
            <v>534563</v>
          </cell>
          <cell r="D2522" t="str">
            <v>MASL</v>
          </cell>
          <cell r="E2522" t="str">
            <v>Industrial Machinery</v>
          </cell>
        </row>
        <row r="2523">
          <cell r="B2523" t="str">
            <v>MAX FINANCIAL SERVICES LTD</v>
          </cell>
          <cell r="C2523">
            <v>500271</v>
          </cell>
          <cell r="D2523" t="str">
            <v>MFSL</v>
          </cell>
          <cell r="E2523" t="str">
            <v>Life Insurance</v>
          </cell>
        </row>
        <row r="2524">
          <cell r="B2524" t="str">
            <v>MAX INDIA LTD</v>
          </cell>
          <cell r="C2524">
            <v>539981</v>
          </cell>
          <cell r="D2524" t="str">
            <v>MAXINDIA</v>
          </cell>
          <cell r="E2524" t="str">
            <v>Holding Companies</v>
          </cell>
        </row>
        <row r="2525">
          <cell r="B2525" t="str">
            <v>MAX VENTURES AND INDUSTRIES LTD</v>
          </cell>
          <cell r="C2525">
            <v>539940</v>
          </cell>
          <cell r="D2525" t="str">
            <v>MAXVIL</v>
          </cell>
          <cell r="E2525" t="str">
            <v>Holding Companies</v>
          </cell>
        </row>
        <row r="2526">
          <cell r="B2526" t="str">
            <v>MAXHEIGHTS INFRASTRUCTURE LTD</v>
          </cell>
          <cell r="C2526">
            <v>534338</v>
          </cell>
          <cell r="D2526" t="str">
            <v>Not Listed</v>
          </cell>
          <cell r="E2526" t="str">
            <v>Realty</v>
          </cell>
        </row>
        <row r="2527">
          <cell r="B2527" t="str">
            <v>MAXIMAA SYSTEMS LTD</v>
          </cell>
          <cell r="C2527">
            <v>526538</v>
          </cell>
          <cell r="D2527" t="str">
            <v>Not Listed</v>
          </cell>
          <cell r="E2527" t="str">
            <v>Pharmaceuticals</v>
          </cell>
        </row>
        <row r="2528">
          <cell r="B2528" t="str">
            <v>MAXIMUS INTERNATIONAL LTD</v>
          </cell>
          <cell r="C2528">
            <v>540401</v>
          </cell>
          <cell r="D2528" t="str">
            <v>Not Listed</v>
          </cell>
          <cell r="E2528" t="str">
            <v>Comm.Trading  &amp; Distribution</v>
          </cell>
        </row>
        <row r="2529">
          <cell r="B2529" t="str">
            <v>MAYUKH DEALTRADE LTD</v>
          </cell>
          <cell r="C2529">
            <v>539519</v>
          </cell>
          <cell r="D2529" t="str">
            <v>Not Listed</v>
          </cell>
          <cell r="E2529" t="str">
            <v>Distributors</v>
          </cell>
        </row>
        <row r="2530">
          <cell r="B2530" t="str">
            <v>MAYUR FLOORINGS LTD</v>
          </cell>
          <cell r="C2530">
            <v>531221</v>
          </cell>
          <cell r="D2530" t="str">
            <v>Not Listed</v>
          </cell>
          <cell r="E2530" t="str">
            <v>Construction Materials</v>
          </cell>
        </row>
        <row r="2531">
          <cell r="B2531" t="str">
            <v>MAYUR LEATHER PRODUCTS LTD</v>
          </cell>
          <cell r="C2531">
            <v>531680</v>
          </cell>
          <cell r="D2531" t="str">
            <v>Not Listed</v>
          </cell>
          <cell r="E2531" t="str">
            <v>Other Apparels &amp; Accessories</v>
          </cell>
        </row>
        <row r="2532">
          <cell r="B2532" t="str">
            <v>MAYUR UNIQUOTERS LTD</v>
          </cell>
          <cell r="C2532">
            <v>522249</v>
          </cell>
          <cell r="D2532" t="str">
            <v>MAYURUNIQ</v>
          </cell>
          <cell r="E2532" t="str">
            <v>Textiles</v>
          </cell>
        </row>
        <row r="2533">
          <cell r="B2533" t="str">
            <v>MAZDA LTD</v>
          </cell>
          <cell r="C2533">
            <v>523792</v>
          </cell>
          <cell r="D2533" t="str">
            <v>MAZDA</v>
          </cell>
          <cell r="E2533" t="str">
            <v>Industrial Machinery</v>
          </cell>
        </row>
        <row r="2534">
          <cell r="B2534" t="str">
            <v>MBL INFRASTRUCTURES LTD</v>
          </cell>
          <cell r="C2534">
            <v>533152</v>
          </cell>
          <cell r="D2534" t="str">
            <v>MBLINFRA</v>
          </cell>
          <cell r="E2534" t="str">
            <v>Construction &amp; Engineering</v>
          </cell>
        </row>
        <row r="2535">
          <cell r="B2535" t="str">
            <v>MCDOWELL HOLDINGS LTD</v>
          </cell>
          <cell r="C2535">
            <v>532852</v>
          </cell>
          <cell r="D2535" t="str">
            <v>MCDHOLDING</v>
          </cell>
          <cell r="E2535" t="str">
            <v>Investment Companies</v>
          </cell>
        </row>
        <row r="2536">
          <cell r="B2536" t="str">
            <v>MCLEOD RUSSEL (INDIA) LTD</v>
          </cell>
          <cell r="C2536">
            <v>532654</v>
          </cell>
          <cell r="D2536" t="str">
            <v>MCLEODRUSS</v>
          </cell>
          <cell r="E2536" t="str">
            <v>Tea &amp; Coffee</v>
          </cell>
        </row>
        <row r="2537">
          <cell r="B2537" t="str">
            <v>MCLEOD RUSSEL INDIA LTD</v>
          </cell>
          <cell r="C2537">
            <v>532654</v>
          </cell>
          <cell r="D2537" t="str">
            <v>MCLEODRUSS</v>
          </cell>
          <cell r="E2537" t="str">
            <v>Tea &amp; Coffee</v>
          </cell>
        </row>
        <row r="2538">
          <cell r="B2538" t="str">
            <v>MCNALLY BHARAT ENGINEERING COMPANY LTD</v>
          </cell>
          <cell r="C2538">
            <v>532629</v>
          </cell>
          <cell r="D2538" t="str">
            <v>MBECL</v>
          </cell>
          <cell r="E2538" t="str">
            <v>Construction &amp; Engineering</v>
          </cell>
        </row>
        <row r="2539">
          <cell r="B2539" t="str">
            <v>MEDIA MATRIX WORLDWIDE LTD</v>
          </cell>
          <cell r="C2539">
            <v>512267</v>
          </cell>
          <cell r="D2539" t="str">
            <v>Not Listed</v>
          </cell>
          <cell r="E2539" t="str">
            <v>Movies &amp; Entertainment</v>
          </cell>
        </row>
        <row r="2540">
          <cell r="B2540" t="str">
            <v>MEDICAMEN BIOTECH LTD</v>
          </cell>
          <cell r="C2540">
            <v>531146</v>
          </cell>
          <cell r="D2540" t="str">
            <v>Not Listed</v>
          </cell>
          <cell r="E2540" t="str">
            <v>Pharmaceuticals</v>
          </cell>
        </row>
        <row r="2541">
          <cell r="B2541" t="str">
            <v>MEDI-CAPS LTD</v>
          </cell>
          <cell r="C2541">
            <v>523144</v>
          </cell>
          <cell r="D2541" t="str">
            <v>Not Listed</v>
          </cell>
          <cell r="E2541" t="str">
            <v>Pharmaceuticals</v>
          </cell>
        </row>
        <row r="2542">
          <cell r="B2542" t="str">
            <v>Medico Intercontinental Ltd</v>
          </cell>
          <cell r="C2542">
            <v>539938</v>
          </cell>
          <cell r="D2542" t="str">
            <v>MIL</v>
          </cell>
          <cell r="E2542" t="str">
            <v>Other Financial Services</v>
          </cell>
        </row>
        <row r="2543">
          <cell r="B2543" t="str">
            <v>MEDICO REMEDIES LTD</v>
          </cell>
          <cell r="C2543">
            <v>540937</v>
          </cell>
          <cell r="D2543" t="str">
            <v>Not Listed</v>
          </cell>
          <cell r="E2543" t="str">
            <v>Pharmaceuticals</v>
          </cell>
        </row>
        <row r="2544">
          <cell r="B2544" t="str">
            <v>MEDINOVA DIAGNOSTIC SERVICES LTD</v>
          </cell>
          <cell r="C2544">
            <v>526301</v>
          </cell>
          <cell r="D2544" t="str">
            <v>Not Listed</v>
          </cell>
          <cell r="E2544" t="str">
            <v>Healthcare Services</v>
          </cell>
        </row>
        <row r="2545">
          <cell r="B2545" t="str">
            <v>MEENAKSHI ENTERPRISES LTD</v>
          </cell>
          <cell r="C2545">
            <v>538834</v>
          </cell>
          <cell r="D2545" t="str">
            <v>Not Listed</v>
          </cell>
          <cell r="E2545" t="str">
            <v>Finance (including NBFCs)</v>
          </cell>
        </row>
        <row r="2546">
          <cell r="B2546" t="str">
            <v>MEENAKSHI STEEL INDUSTRIES LTD</v>
          </cell>
          <cell r="C2546">
            <v>512505</v>
          </cell>
          <cell r="D2546" t="str">
            <v>Not Listed</v>
          </cell>
          <cell r="E2546" t="str">
            <v>Iron &amp; Steel Products</v>
          </cell>
        </row>
        <row r="2547">
          <cell r="B2547" t="str">
            <v>MEERA INDUSTRIES LTD</v>
          </cell>
          <cell r="C2547">
            <v>540519</v>
          </cell>
          <cell r="D2547" t="str">
            <v>Not Listed</v>
          </cell>
          <cell r="E2547" t="str">
            <v>Industrial Machinery</v>
          </cell>
        </row>
        <row r="2548">
          <cell r="B2548" t="str">
            <v>MEFCOM AGRO INDUSTRIES LTD</v>
          </cell>
          <cell r="C2548">
            <v>511276</v>
          </cell>
          <cell r="D2548" t="str">
            <v>Not Listed</v>
          </cell>
          <cell r="E2548" t="str">
            <v>Other Agricultural Products</v>
          </cell>
        </row>
        <row r="2549">
          <cell r="B2549" t="str">
            <v>MEFCOM CAPITAL MARKETS LTD</v>
          </cell>
          <cell r="C2549">
            <v>531176</v>
          </cell>
          <cell r="D2549" t="str">
            <v>Not Listed</v>
          </cell>
          <cell r="E2549" t="str">
            <v>Finance (including NBFCs)</v>
          </cell>
        </row>
        <row r="2550">
          <cell r="B2550" t="str">
            <v>MEGA CORPORATION LTD</v>
          </cell>
          <cell r="C2550">
            <v>531417</v>
          </cell>
          <cell r="D2550" t="str">
            <v>Not Listed</v>
          </cell>
          <cell r="E2550" t="str">
            <v>Finance (including NBFCs)</v>
          </cell>
        </row>
        <row r="2551">
          <cell r="B2551" t="str">
            <v>MEGA FIN (INDIA) LTD</v>
          </cell>
          <cell r="C2551">
            <v>532105</v>
          </cell>
          <cell r="D2551" t="str">
            <v>Not Listed</v>
          </cell>
          <cell r="E2551" t="str">
            <v>Misc.Commercial Services</v>
          </cell>
        </row>
        <row r="2552">
          <cell r="B2552" t="str">
            <v>MEGA FIN INDIA LTD</v>
          </cell>
          <cell r="C2552">
            <v>532105</v>
          </cell>
          <cell r="D2552" t="str">
            <v>Not Listed</v>
          </cell>
          <cell r="E2552" t="str">
            <v>Misc.Commercial Services</v>
          </cell>
        </row>
        <row r="2553">
          <cell r="B2553" t="str">
            <v>MEGA NIRMAN AND INDUSTRIES LTD</v>
          </cell>
          <cell r="C2553">
            <v>539767</v>
          </cell>
          <cell r="D2553" t="str">
            <v>Not Listed</v>
          </cell>
          <cell r="E2553" t="str">
            <v>Realty</v>
          </cell>
        </row>
        <row r="2554">
          <cell r="B2554" t="str">
            <v>MEGASOFT LTD</v>
          </cell>
          <cell r="C2554">
            <v>532408</v>
          </cell>
          <cell r="D2554" t="str">
            <v>MEGASOFT</v>
          </cell>
          <cell r="E2554" t="str">
            <v>IT Software Products</v>
          </cell>
        </row>
        <row r="2555">
          <cell r="B2555" t="str">
            <v>MEGASTAR FOODS LTD</v>
          </cell>
          <cell r="C2555">
            <v>541352</v>
          </cell>
          <cell r="D2555" t="str">
            <v>Not Listed</v>
          </cell>
          <cell r="E2555" t="str">
            <v>Other Food Products</v>
          </cell>
        </row>
        <row r="2556">
          <cell r="B2556" t="str">
            <v>MEGHMANI ORGANICS LTD</v>
          </cell>
          <cell r="C2556">
            <v>532865</v>
          </cell>
          <cell r="D2556" t="str">
            <v>MEGH</v>
          </cell>
          <cell r="E2556" t="str">
            <v>Specialty Chemicals</v>
          </cell>
        </row>
        <row r="2557">
          <cell r="B2557" t="str">
            <v>MEGLON INFRA-REAL (INDIA) LTD</v>
          </cell>
          <cell r="C2557">
            <v>511367</v>
          </cell>
          <cell r="D2557" t="str">
            <v>Not Listed</v>
          </cell>
          <cell r="E2557" t="str">
            <v>Finance (including NBFCs)</v>
          </cell>
        </row>
        <row r="2558">
          <cell r="B2558" t="str">
            <v>MEGLON INFRA-REAL INDIA LTD</v>
          </cell>
          <cell r="C2558">
            <v>511367</v>
          </cell>
          <cell r="D2558" t="str">
            <v>Not Listed</v>
          </cell>
          <cell r="E2558" t="str">
            <v>Finance (including NBFCs)</v>
          </cell>
        </row>
        <row r="2559">
          <cell r="B2559" t="str">
            <v>MEGRI SOFT LTD</v>
          </cell>
          <cell r="C2559">
            <v>539012</v>
          </cell>
          <cell r="D2559" t="str">
            <v>Not Listed</v>
          </cell>
          <cell r="E2559" t="str">
            <v>Internet Software &amp; Services</v>
          </cell>
        </row>
        <row r="2560">
          <cell r="B2560" t="str">
            <v>MEHAI TECHNOLOGY LTD</v>
          </cell>
          <cell r="C2560">
            <v>540730</v>
          </cell>
          <cell r="D2560" t="str">
            <v>Not Listed</v>
          </cell>
          <cell r="E2560" t="str">
            <v>Comm.Trading  &amp; Distribution</v>
          </cell>
        </row>
        <row r="2561">
          <cell r="B2561" t="str">
            <v>MEHTA HOUSING FINANCE LTD</v>
          </cell>
          <cell r="C2561">
            <v>511740</v>
          </cell>
          <cell r="D2561" t="str">
            <v>Not Listed</v>
          </cell>
          <cell r="E2561" t="str">
            <v xml:space="preserve">Housing Finance </v>
          </cell>
        </row>
        <row r="2562">
          <cell r="B2562" t="str">
            <v>MEHTA INTEGRATED FINANCE LTD</v>
          </cell>
          <cell r="C2562">
            <v>511377</v>
          </cell>
          <cell r="D2562" t="str">
            <v>Not Listed</v>
          </cell>
          <cell r="E2562" t="str">
            <v>Finance (including NBFCs)</v>
          </cell>
        </row>
        <row r="2563">
          <cell r="B2563" t="str">
            <v>MEHTA SECURITIES LTD</v>
          </cell>
          <cell r="C2563">
            <v>511738</v>
          </cell>
          <cell r="D2563" t="str">
            <v>Not Listed</v>
          </cell>
          <cell r="E2563" t="str">
            <v>Other Financial Services</v>
          </cell>
        </row>
        <row r="2564">
          <cell r="B2564" t="str">
            <v>MELSTAR INFORMATION TECHNOLOGIES LTD</v>
          </cell>
          <cell r="C2564">
            <v>532307</v>
          </cell>
          <cell r="D2564" t="str">
            <v>MELSTAR</v>
          </cell>
          <cell r="E2564" t="str">
            <v>IT Software Products</v>
          </cell>
        </row>
        <row r="2565">
          <cell r="B2565" t="str">
            <v>MENA MANI INDUSTRIES LTD</v>
          </cell>
          <cell r="C2565">
            <v>531127</v>
          </cell>
          <cell r="D2565" t="str">
            <v>Not Listed</v>
          </cell>
          <cell r="E2565" t="str">
            <v>Finance (including NBFCs)</v>
          </cell>
        </row>
        <row r="2566">
          <cell r="B2566" t="str">
            <v>MENON BEARINGS LTD</v>
          </cell>
          <cell r="C2566">
            <v>523828</v>
          </cell>
          <cell r="D2566" t="str">
            <v>MENONBE</v>
          </cell>
          <cell r="E2566" t="str">
            <v>Auto Parts &amp; Equipment</v>
          </cell>
        </row>
        <row r="2567">
          <cell r="B2567" t="str">
            <v>MENON PISTONS LTD</v>
          </cell>
          <cell r="C2567">
            <v>531727</v>
          </cell>
          <cell r="D2567" t="str">
            <v>Not Listed</v>
          </cell>
          <cell r="E2567" t="str">
            <v>Auto Parts &amp; Equipment</v>
          </cell>
        </row>
        <row r="2568">
          <cell r="B2568" t="str">
            <v>MEP INFRASTRUCTURE DEVELOPERS LTD</v>
          </cell>
          <cell r="C2568">
            <v>539126</v>
          </cell>
          <cell r="D2568" t="str">
            <v>MEP</v>
          </cell>
          <cell r="E2568" t="str">
            <v>Roads &amp; Highways</v>
          </cell>
        </row>
        <row r="2569">
          <cell r="B2569" t="str">
            <v>MERCANTILE VENTURES LTD</v>
          </cell>
          <cell r="C2569">
            <v>538942</v>
          </cell>
          <cell r="D2569" t="str">
            <v>Not Listed</v>
          </cell>
          <cell r="E2569" t="str">
            <v>Misc.Commercial Services</v>
          </cell>
        </row>
        <row r="2570">
          <cell r="B2570" t="str">
            <v>MERCATOR LTD</v>
          </cell>
          <cell r="C2570">
            <v>526235</v>
          </cell>
          <cell r="D2570" t="str">
            <v>MERCATOR</v>
          </cell>
          <cell r="E2570" t="str">
            <v>Diversified</v>
          </cell>
        </row>
        <row r="2571">
          <cell r="B2571" t="str">
            <v>MERCK LTD</v>
          </cell>
          <cell r="C2571">
            <v>500126</v>
          </cell>
          <cell r="D2571" t="str">
            <v>MERCK</v>
          </cell>
          <cell r="E2571" t="str">
            <v>Pharmaceuticals</v>
          </cell>
        </row>
        <row r="2572">
          <cell r="B2572" t="str">
            <v>MERCURY LABORATORIES LTD</v>
          </cell>
          <cell r="C2572">
            <v>538964</v>
          </cell>
          <cell r="D2572" t="str">
            <v>Not Listed</v>
          </cell>
          <cell r="E2572" t="str">
            <v>Pharmaceuticals</v>
          </cell>
        </row>
        <row r="2573">
          <cell r="B2573" t="str">
            <v>MERCURY METALS LTD</v>
          </cell>
          <cell r="C2573">
            <v>531357</v>
          </cell>
          <cell r="D2573" t="str">
            <v>Not Listed</v>
          </cell>
          <cell r="E2573" t="str">
            <v>Comm.Trading  &amp; Distribution</v>
          </cell>
        </row>
        <row r="2574">
          <cell r="B2574" t="str">
            <v>MERCURY TRADE LINKS LTD</v>
          </cell>
          <cell r="C2574">
            <v>512415</v>
          </cell>
          <cell r="D2574" t="str">
            <v>Not Listed</v>
          </cell>
          <cell r="E2574" t="str">
            <v>Misc.Commercial Services</v>
          </cell>
        </row>
        <row r="2575">
          <cell r="B2575" t="str">
            <v>MESCO PHARMACEUTICALS LTD</v>
          </cell>
          <cell r="C2575">
            <v>500274</v>
          </cell>
          <cell r="D2575" t="str">
            <v>Not Listed</v>
          </cell>
          <cell r="E2575" t="str">
            <v>Pharmaceuticals</v>
          </cell>
        </row>
        <row r="2576">
          <cell r="B2576" t="str">
            <v>METAL COATINGS (INDIA) LTD</v>
          </cell>
          <cell r="C2576">
            <v>531810</v>
          </cell>
          <cell r="D2576" t="str">
            <v>Not Listed</v>
          </cell>
          <cell r="E2576" t="str">
            <v>Iron &amp; Steel Products</v>
          </cell>
        </row>
        <row r="2577">
          <cell r="B2577" t="str">
            <v>METAL COATINGS INDIA LTD</v>
          </cell>
          <cell r="C2577">
            <v>531810</v>
          </cell>
          <cell r="D2577" t="str">
            <v>Not Listed</v>
          </cell>
          <cell r="E2577" t="str">
            <v>Iron &amp; Steel Products</v>
          </cell>
        </row>
        <row r="2578">
          <cell r="B2578" t="str">
            <v>METALYST FORGINGS LTD</v>
          </cell>
          <cell r="C2578">
            <v>513335</v>
          </cell>
          <cell r="D2578" t="str">
            <v>METALFORGE</v>
          </cell>
          <cell r="E2578" t="str">
            <v>Other Industrial Products</v>
          </cell>
        </row>
        <row r="2579">
          <cell r="B2579" t="str">
            <v>METKORE ALLOYS &amp; INDUSTRIES LTD</v>
          </cell>
          <cell r="C2579">
            <v>532990</v>
          </cell>
          <cell r="D2579" t="str">
            <v>METKORE</v>
          </cell>
          <cell r="E2579" t="str">
            <v>Iron &amp; Steel/Interm.Products</v>
          </cell>
        </row>
        <row r="2580">
          <cell r="B2580" t="str">
            <v>METROGLOBAL LTD</v>
          </cell>
          <cell r="C2580">
            <v>500159</v>
          </cell>
          <cell r="D2580" t="str">
            <v>Not Listed</v>
          </cell>
          <cell r="E2580" t="str">
            <v>Paper &amp; Paper Products</v>
          </cell>
        </row>
        <row r="2581">
          <cell r="B2581" t="str">
            <v>Metropolis Healthcare Ltd</v>
          </cell>
          <cell r="C2581">
            <v>542650</v>
          </cell>
          <cell r="D2581" t="str">
            <v>METROPOLIS</v>
          </cell>
          <cell r="E2581" t="str">
            <v>Healthcare Services</v>
          </cell>
        </row>
        <row r="2582">
          <cell r="B2582" t="str">
            <v>MEWAR HI-TECH ENGINEERING LTD</v>
          </cell>
          <cell r="C2582">
            <v>540150</v>
          </cell>
          <cell r="D2582" t="str">
            <v>Not Listed</v>
          </cell>
          <cell r="E2582" t="str">
            <v>Construction &amp; Engineering</v>
          </cell>
        </row>
        <row r="2583">
          <cell r="B2583" t="str">
            <v>MEWAT ZINC LTD</v>
          </cell>
          <cell r="C2583">
            <v>513496</v>
          </cell>
          <cell r="D2583" t="str">
            <v>Not Listed</v>
          </cell>
          <cell r="E2583" t="str">
            <v>Zinc</v>
          </cell>
        </row>
        <row r="2584">
          <cell r="B2584" t="str">
            <v>Meyer Apparel Ltd</v>
          </cell>
          <cell r="C2584">
            <v>531613</v>
          </cell>
          <cell r="D2584" t="str">
            <v>MAL</v>
          </cell>
          <cell r="E2584" t="str">
            <v>Other Apparels &amp;amp; Accessories</v>
          </cell>
        </row>
        <row r="2585">
          <cell r="B2585" t="str">
            <v>MFL (INDIA) LTD</v>
          </cell>
          <cell r="C2585">
            <v>526622</v>
          </cell>
          <cell r="D2585" t="str">
            <v>Not Listed</v>
          </cell>
          <cell r="E2585" t="str">
            <v>Transportation - Logistics</v>
          </cell>
        </row>
        <row r="2586">
          <cell r="B2586" t="str">
            <v>MFL INDIA LTD</v>
          </cell>
          <cell r="C2586">
            <v>526622</v>
          </cell>
          <cell r="D2586" t="str">
            <v>Not Listed</v>
          </cell>
          <cell r="E2586" t="str">
            <v>Transportation - Logistics</v>
          </cell>
        </row>
        <row r="2587">
          <cell r="B2587" t="str">
            <v>MFS INTERCORP LTD</v>
          </cell>
          <cell r="C2587">
            <v>513721</v>
          </cell>
          <cell r="D2587" t="str">
            <v>Not Listed</v>
          </cell>
          <cell r="E2587" t="str">
            <v>Iron &amp; Steel/Interm.Products</v>
          </cell>
        </row>
        <row r="2588">
          <cell r="B2588" t="str">
            <v>MIC ELECTRONICS LTD</v>
          </cell>
          <cell r="C2588">
            <v>532850</v>
          </cell>
          <cell r="D2588" t="str">
            <v>MIC</v>
          </cell>
          <cell r="E2588" t="str">
            <v>Electronic Components</v>
          </cell>
        </row>
        <row r="2589">
          <cell r="B2589" t="str">
            <v>MICROSE (INDIA) LTD</v>
          </cell>
          <cell r="C2589">
            <v>523343</v>
          </cell>
          <cell r="D2589" t="str">
            <v>Not Listed</v>
          </cell>
          <cell r="E2589" t="str">
            <v>Finance (including NBFCs)</v>
          </cell>
        </row>
        <row r="2590">
          <cell r="B2590" t="str">
            <v>MICROSE INDIA LTD</v>
          </cell>
          <cell r="C2590">
            <v>523343</v>
          </cell>
          <cell r="D2590" t="str">
            <v>Not Listed</v>
          </cell>
          <cell r="E2590" t="str">
            <v>Finance (including NBFCs)</v>
          </cell>
        </row>
        <row r="2591">
          <cell r="B2591" t="str">
            <v>MID EAST PORTFOLIO MANAGEMENT LTD</v>
          </cell>
          <cell r="C2591">
            <v>526251</v>
          </cell>
          <cell r="D2591" t="str">
            <v>Not Listed</v>
          </cell>
          <cell r="E2591" t="str">
            <v>Other Financial Services</v>
          </cell>
        </row>
        <row r="2592">
          <cell r="B2592" t="str">
            <v>MID INDIA INDUSTRIES LTD</v>
          </cell>
          <cell r="C2592">
            <v>500277</v>
          </cell>
          <cell r="D2592" t="str">
            <v>Not Listed</v>
          </cell>
          <cell r="E2592" t="str">
            <v>Textiles</v>
          </cell>
        </row>
        <row r="2593">
          <cell r="B2593" t="str">
            <v>MIDAS INFRA TRADE LTD</v>
          </cell>
          <cell r="C2593">
            <v>531192</v>
          </cell>
          <cell r="D2593" t="str">
            <v>Not Listed</v>
          </cell>
          <cell r="E2593" t="str">
            <v>Finance (including NBFCs)</v>
          </cell>
        </row>
        <row r="2594">
          <cell r="B2594" t="str">
            <v>MIDEAST INTEGRATED STEELS LTD</v>
          </cell>
          <cell r="C2594">
            <v>540744</v>
          </cell>
          <cell r="D2594" t="str">
            <v>Not Listed</v>
          </cell>
          <cell r="E2594" t="str">
            <v>Iron &amp; Steel/Interm.Products</v>
          </cell>
        </row>
        <row r="2595">
          <cell r="B2595" t="str">
            <v>MIDVALLEY ENTERTAINMENT LTD.</v>
          </cell>
          <cell r="C2595">
            <v>533310</v>
          </cell>
          <cell r="D2595" t="str">
            <v>MIDVAL</v>
          </cell>
          <cell r="E2595" t="str">
            <v>Movies &amp;amp; Entertainment</v>
          </cell>
        </row>
        <row r="2596">
          <cell r="B2596" t="str">
            <v>MIDWEST GOLD LTD</v>
          </cell>
          <cell r="C2596">
            <v>526570</v>
          </cell>
          <cell r="D2596" t="str">
            <v>Not Listed</v>
          </cell>
          <cell r="E2596" t="str">
            <v>Construction Materials</v>
          </cell>
        </row>
        <row r="2597">
          <cell r="B2597" t="str">
            <v>MIHIKA INDUSTRIES LTD</v>
          </cell>
          <cell r="C2597">
            <v>538895</v>
          </cell>
          <cell r="D2597" t="str">
            <v>Not Listed</v>
          </cell>
          <cell r="E2597" t="str">
            <v>Comm.Trading  &amp; Distribution</v>
          </cell>
        </row>
        <row r="2598">
          <cell r="B2598" t="str">
            <v>MILESTONE FURNITURE LTD</v>
          </cell>
          <cell r="C2598">
            <v>541337</v>
          </cell>
          <cell r="D2598" t="str">
            <v>Not Listed</v>
          </cell>
          <cell r="E2598" t="str">
            <v>Furniture-Furnishing-Paints</v>
          </cell>
        </row>
        <row r="2599">
          <cell r="B2599" t="str">
            <v>MILESTONE GLOBAL LTD</v>
          </cell>
          <cell r="C2599">
            <v>531338</v>
          </cell>
          <cell r="D2599" t="str">
            <v>Not Listed</v>
          </cell>
          <cell r="E2599" t="str">
            <v>Construction Materials</v>
          </cell>
        </row>
        <row r="2600">
          <cell r="B2600" t="str">
            <v>MILGREY FINANCE &amp; INVESTMENTS LTD</v>
          </cell>
          <cell r="C2600">
            <v>511018</v>
          </cell>
          <cell r="D2600" t="str">
            <v>Not Listed</v>
          </cell>
          <cell r="E2600" t="str">
            <v>Misc.Commercial Services</v>
          </cell>
        </row>
        <row r="2601">
          <cell r="B2601" t="str">
            <v>MILKFOOD LTD</v>
          </cell>
          <cell r="C2601">
            <v>507621</v>
          </cell>
          <cell r="D2601" t="str">
            <v>Not Listed</v>
          </cell>
          <cell r="E2601" t="str">
            <v>Packaged Foods</v>
          </cell>
        </row>
        <row r="2602">
          <cell r="B2602" t="str">
            <v>MILLENNIUM ONLINE SOLUTIONS  INDIA  LTD</v>
          </cell>
          <cell r="C2602">
            <v>511187</v>
          </cell>
          <cell r="D2602" t="str">
            <v>Not Listed</v>
          </cell>
          <cell r="E2602" t="str">
            <v>Misc.Commercial Services</v>
          </cell>
        </row>
        <row r="2603">
          <cell r="B2603" t="str">
            <v>MILTON INDUSTRIES LTD</v>
          </cell>
          <cell r="C2603" t="str">
            <v>Not Listed</v>
          </cell>
          <cell r="D2603" t="str">
            <v>MILTON</v>
          </cell>
          <cell r="E2603" t="str">
            <v>SME</v>
          </cell>
        </row>
        <row r="2604">
          <cell r="B2604" t="str">
            <v>MINAXI TEXTILES LTD</v>
          </cell>
          <cell r="C2604">
            <v>531456</v>
          </cell>
          <cell r="D2604" t="str">
            <v>Not Listed</v>
          </cell>
          <cell r="E2604" t="str">
            <v>Textiles</v>
          </cell>
        </row>
        <row r="2605">
          <cell r="B2605" t="str">
            <v>MINDA CORPORATION LTD</v>
          </cell>
          <cell r="C2605">
            <v>538962</v>
          </cell>
          <cell r="D2605" t="str">
            <v>MINDACORP</v>
          </cell>
          <cell r="E2605" t="str">
            <v>Auto Parts &amp; Equipment</v>
          </cell>
        </row>
        <row r="2606">
          <cell r="B2606" t="str">
            <v>MINDA FINANCE LTD</v>
          </cell>
          <cell r="C2606">
            <v>539303</v>
          </cell>
          <cell r="D2606" t="str">
            <v>Not Listed</v>
          </cell>
          <cell r="E2606" t="str">
            <v>Finance (including NBFCs)</v>
          </cell>
        </row>
        <row r="2607">
          <cell r="B2607" t="str">
            <v>MINDA INDUSTRIES LTD</v>
          </cell>
          <cell r="C2607">
            <v>532539</v>
          </cell>
          <cell r="D2607" t="str">
            <v>MINDAIND</v>
          </cell>
          <cell r="E2607" t="str">
            <v>Auto Parts &amp; Equipment</v>
          </cell>
        </row>
        <row r="2608">
          <cell r="B2608" t="str">
            <v>MINDTECK (INDIA) LTD</v>
          </cell>
          <cell r="C2608">
            <v>517344</v>
          </cell>
          <cell r="D2608" t="str">
            <v>MINDTECK</v>
          </cell>
          <cell r="E2608" t="str">
            <v>IT Software Products</v>
          </cell>
        </row>
        <row r="2609">
          <cell r="B2609" t="str">
            <v>MINDTECK INDIA LTD</v>
          </cell>
          <cell r="C2609">
            <v>517344</v>
          </cell>
          <cell r="D2609" t="str">
            <v>MINDTECK</v>
          </cell>
          <cell r="E2609" t="str">
            <v>IT Software Products</v>
          </cell>
        </row>
        <row r="2610">
          <cell r="B2610" t="str">
            <v>MINDTREE LTD</v>
          </cell>
          <cell r="C2610">
            <v>532819</v>
          </cell>
          <cell r="D2610" t="str">
            <v>MINDTREE</v>
          </cell>
          <cell r="E2610" t="str">
            <v>IT Consulting &amp; Software</v>
          </cell>
        </row>
        <row r="2611">
          <cell r="B2611" t="str">
            <v>MINI DIAMONDS (INDIA) LTD</v>
          </cell>
          <cell r="C2611">
            <v>523373</v>
          </cell>
          <cell r="D2611" t="str">
            <v>Not Listed</v>
          </cell>
          <cell r="E2611" t="str">
            <v>Other Apparels &amp; Accessories</v>
          </cell>
        </row>
        <row r="2612">
          <cell r="B2612" t="str">
            <v>MINI DIAMONDS INDIA LTD</v>
          </cell>
          <cell r="C2612">
            <v>523373</v>
          </cell>
          <cell r="D2612" t="str">
            <v>Not Listed</v>
          </cell>
          <cell r="E2612" t="str">
            <v>Other Apparels &amp; Accessories</v>
          </cell>
        </row>
        <row r="2613">
          <cell r="B2613" t="str">
            <v>MINOLTA FINANCE LTD</v>
          </cell>
          <cell r="C2613">
            <v>532164</v>
          </cell>
          <cell r="D2613" t="str">
            <v>Not Listed</v>
          </cell>
          <cell r="E2613" t="str">
            <v>Finance (including NBFCs)</v>
          </cell>
        </row>
        <row r="2614">
          <cell r="B2614" t="str">
            <v>MIPCO SEAMLESS RINGS GUJARAT LTD</v>
          </cell>
          <cell r="C2614">
            <v>505797</v>
          </cell>
          <cell r="D2614" t="str">
            <v>Not Listed</v>
          </cell>
          <cell r="E2614" t="str">
            <v>Other Industrial Goods</v>
          </cell>
        </row>
        <row r="2615">
          <cell r="B2615" t="str">
            <v>MIRC ELECTRONICS LTD</v>
          </cell>
          <cell r="C2615">
            <v>500279</v>
          </cell>
          <cell r="D2615" t="str">
            <v>MIRCELECTR</v>
          </cell>
          <cell r="E2615" t="str">
            <v>Consumer Electronics</v>
          </cell>
        </row>
        <row r="2616">
          <cell r="B2616" t="str">
            <v>MIRCH TECHNOLOGIES (INDIA) LTD</v>
          </cell>
          <cell r="C2616">
            <v>505336</v>
          </cell>
          <cell r="D2616" t="str">
            <v>Not Listed</v>
          </cell>
          <cell r="E2616" t="str">
            <v>Industrial Machinery</v>
          </cell>
        </row>
        <row r="2617">
          <cell r="B2617" t="str">
            <v>MIRCH TECHNOLOGIES INDIA LTD</v>
          </cell>
          <cell r="C2617">
            <v>505336</v>
          </cell>
          <cell r="D2617" t="str">
            <v>Not Listed</v>
          </cell>
          <cell r="E2617" t="str">
            <v>Industrial Machinery</v>
          </cell>
        </row>
        <row r="2618">
          <cell r="B2618" t="str">
            <v>MIRZA INTERNATIONAL LTD</v>
          </cell>
          <cell r="C2618">
            <v>526642</v>
          </cell>
          <cell r="D2618" t="str">
            <v>MIRZAINT</v>
          </cell>
          <cell r="E2618" t="str">
            <v>Footwear</v>
          </cell>
        </row>
        <row r="2619">
          <cell r="B2619" t="str">
            <v>MISHKA EXIM LTD</v>
          </cell>
          <cell r="C2619">
            <v>539220</v>
          </cell>
          <cell r="D2619" t="str">
            <v>Not Listed</v>
          </cell>
          <cell r="E2619" t="str">
            <v>Other Apparels &amp; Accessories</v>
          </cell>
        </row>
        <row r="2620">
          <cell r="B2620" t="str">
            <v>MISHRA DHATU NIGAM LTD</v>
          </cell>
          <cell r="C2620">
            <v>541195</v>
          </cell>
          <cell r="D2620" t="str">
            <v>MIDHANI</v>
          </cell>
          <cell r="E2620" t="str">
            <v>Iron &amp; Steel Products</v>
          </cell>
        </row>
        <row r="2621">
          <cell r="B2621" t="str">
            <v>MISHTANN FOODS LTD</v>
          </cell>
          <cell r="C2621">
            <v>539594</v>
          </cell>
          <cell r="D2621" t="str">
            <v>Not Listed</v>
          </cell>
          <cell r="E2621" t="str">
            <v>Other Agricultural Products</v>
          </cell>
        </row>
        <row r="2622">
          <cell r="B2622" t="str">
            <v>MITCON CONSULTANCY &amp; ENGINEERING SERVICES LTD</v>
          </cell>
          <cell r="C2622" t="str">
            <v>Not Listed</v>
          </cell>
          <cell r="D2622" t="str">
            <v>MITCON</v>
          </cell>
          <cell r="E2622" t="str">
            <v>SME</v>
          </cell>
        </row>
        <row r="2623">
          <cell r="B2623" t="str">
            <v>MITSHI (INDIA) LTD</v>
          </cell>
          <cell r="C2623">
            <v>523782</v>
          </cell>
          <cell r="D2623" t="str">
            <v>Not Listed</v>
          </cell>
          <cell r="E2623" t="str">
            <v>Comm.Trading  &amp; Distribution</v>
          </cell>
        </row>
        <row r="2624">
          <cell r="B2624" t="str">
            <v>MITSHI INDIA LTD</v>
          </cell>
          <cell r="C2624">
            <v>523782</v>
          </cell>
          <cell r="D2624" t="str">
            <v>Not Listed</v>
          </cell>
          <cell r="E2624" t="str">
            <v>Comm.Trading  &amp; Distribution</v>
          </cell>
        </row>
        <row r="2625">
          <cell r="B2625" t="str">
            <v>MITSU CHEM PLAST LTD</v>
          </cell>
          <cell r="C2625">
            <v>540078</v>
          </cell>
          <cell r="D2625" t="str">
            <v>Not Listed</v>
          </cell>
          <cell r="E2625" t="str">
            <v>Containers &amp; Packaging</v>
          </cell>
        </row>
        <row r="2626">
          <cell r="B2626" t="str">
            <v>MITTAL LIFE STYLE LTD</v>
          </cell>
          <cell r="C2626" t="str">
            <v>Not Listed</v>
          </cell>
          <cell r="D2626" t="str">
            <v>MITTAL</v>
          </cell>
          <cell r="E2626" t="str">
            <v>SME</v>
          </cell>
        </row>
        <row r="2627">
          <cell r="B2627" t="str">
            <v>MIVEN MACHINE TOOLS LTD.</v>
          </cell>
          <cell r="C2627">
            <v>522036</v>
          </cell>
          <cell r="D2627" t="str">
            <v>MIVENMACH</v>
          </cell>
          <cell r="E2627" t="str">
            <v>Other Industrial Goods</v>
          </cell>
        </row>
        <row r="2628">
          <cell r="B2628" t="str">
            <v>MM FORGINGS LTD</v>
          </cell>
          <cell r="C2628">
            <v>522241</v>
          </cell>
          <cell r="D2628" t="str">
            <v>MMFL</v>
          </cell>
          <cell r="E2628" t="str">
            <v>Other Industrial Products</v>
          </cell>
        </row>
        <row r="2629">
          <cell r="B2629" t="str">
            <v>MM RUBBER COMPANY LTD.</v>
          </cell>
          <cell r="C2629">
            <v>509196</v>
          </cell>
          <cell r="D2629" t="str">
            <v>MMRUBBR-B</v>
          </cell>
          <cell r="E2629" t="str">
            <v>Auto Tyres &amp;amp; Rubber Products</v>
          </cell>
        </row>
        <row r="2630">
          <cell r="B2630" t="str">
            <v>MMP INDUSTRIES LTD</v>
          </cell>
          <cell r="C2630" t="str">
            <v>Not Listed</v>
          </cell>
          <cell r="D2630" t="str">
            <v>MMP</v>
          </cell>
          <cell r="E2630" t="str">
            <v>SME</v>
          </cell>
        </row>
        <row r="2631">
          <cell r="B2631" t="str">
            <v>MMTC LTD</v>
          </cell>
          <cell r="C2631">
            <v>513377</v>
          </cell>
          <cell r="D2631" t="str">
            <v>MMTC</v>
          </cell>
          <cell r="E2631" t="str">
            <v>Comm.Trading  &amp; Distribution</v>
          </cell>
        </row>
        <row r="2632">
          <cell r="B2632" t="str">
            <v>MODELLA WOOLLENS LTD</v>
          </cell>
          <cell r="C2632">
            <v>503772</v>
          </cell>
          <cell r="D2632" t="str">
            <v>Not Listed</v>
          </cell>
          <cell r="E2632" t="str">
            <v>Comm.Trading  &amp; Distribution</v>
          </cell>
        </row>
        <row r="2633">
          <cell r="B2633" t="str">
            <v>MODERN (INDIA) LTD</v>
          </cell>
          <cell r="C2633">
            <v>503015</v>
          </cell>
          <cell r="D2633" t="str">
            <v>Not Listed</v>
          </cell>
          <cell r="E2633" t="str">
            <v>Comm.Trading  &amp; Distribution</v>
          </cell>
        </row>
        <row r="2634">
          <cell r="B2634" t="str">
            <v>MODERN CONVERTERS LTD</v>
          </cell>
          <cell r="C2634">
            <v>539762</v>
          </cell>
          <cell r="D2634" t="str">
            <v>Not Listed</v>
          </cell>
          <cell r="E2634" t="str">
            <v>Other Agricultural Products</v>
          </cell>
        </row>
        <row r="2635">
          <cell r="B2635" t="str">
            <v>MODERN DAIRIES LTD</v>
          </cell>
          <cell r="C2635">
            <v>519287</v>
          </cell>
          <cell r="D2635" t="str">
            <v>Not Listed</v>
          </cell>
          <cell r="E2635" t="str">
            <v>Packaged Foods</v>
          </cell>
        </row>
        <row r="2636">
          <cell r="B2636" t="str">
            <v>MODERN INDIA LTD</v>
          </cell>
          <cell r="C2636">
            <v>503015</v>
          </cell>
          <cell r="D2636" t="str">
            <v>Not Listed</v>
          </cell>
          <cell r="E2636" t="str">
            <v>Comm.Trading  &amp; Distribution</v>
          </cell>
        </row>
        <row r="2637">
          <cell r="B2637" t="str">
            <v>MODERN SHARES &amp; STOCKBROKERS LTD</v>
          </cell>
          <cell r="C2637">
            <v>509760</v>
          </cell>
          <cell r="D2637" t="str">
            <v>Not Listed</v>
          </cell>
          <cell r="E2637" t="str">
            <v>Other Financial Services</v>
          </cell>
        </row>
        <row r="2638">
          <cell r="B2638" t="str">
            <v>MODERN STEELS LTD.-$</v>
          </cell>
          <cell r="C2638">
            <v>513303</v>
          </cell>
          <cell r="D2638" t="str">
            <v>MDRNSTL</v>
          </cell>
          <cell r="E2638" t="str">
            <v>Iron &amp;amp; Steel/Interm.Products</v>
          </cell>
        </row>
        <row r="2639">
          <cell r="B2639" t="str">
            <v>MODEX INTERNATIONAL SECURITIES LTD</v>
          </cell>
          <cell r="C2639">
            <v>537092</v>
          </cell>
          <cell r="D2639" t="str">
            <v>Not Listed</v>
          </cell>
          <cell r="E2639" t="str">
            <v>Other Financial Services</v>
          </cell>
        </row>
        <row r="2640">
          <cell r="B2640" t="str">
            <v>MODI NATURALS LTD</v>
          </cell>
          <cell r="C2640">
            <v>519003</v>
          </cell>
          <cell r="D2640" t="str">
            <v>Not Listed</v>
          </cell>
          <cell r="E2640" t="str">
            <v>Other Agricultural Products</v>
          </cell>
        </row>
        <row r="2641">
          <cell r="B2641" t="str">
            <v>MODI RUBBER LTD</v>
          </cell>
          <cell r="C2641">
            <v>500890</v>
          </cell>
          <cell r="D2641" t="str">
            <v>MODIRUBBER</v>
          </cell>
          <cell r="E2641" t="str">
            <v>Auto Tyres &amp; Rubber Products</v>
          </cell>
        </row>
        <row r="2642">
          <cell r="B2642" t="str">
            <v>MODIPON LTD</v>
          </cell>
          <cell r="C2642">
            <v>503776</v>
          </cell>
          <cell r="D2642" t="str">
            <v>Not Listed</v>
          </cell>
          <cell r="E2642" t="str">
            <v>Agrochemicals</v>
          </cell>
        </row>
        <row r="2643">
          <cell r="B2643" t="str">
            <v>MODISON METALS LTD</v>
          </cell>
          <cell r="C2643">
            <v>506261</v>
          </cell>
          <cell r="D2643" t="str">
            <v>Not Listed</v>
          </cell>
          <cell r="E2643" t="str">
            <v>Other Elect.Equip./ Prod.</v>
          </cell>
        </row>
        <row r="2644">
          <cell r="B2644" t="str">
            <v>MOHINI HEALTH &amp; HYGIENE LTD</v>
          </cell>
          <cell r="C2644" t="str">
            <v>Not Listed</v>
          </cell>
          <cell r="D2644" t="str">
            <v>MHHL</v>
          </cell>
          <cell r="E2644" t="str">
            <v>SME</v>
          </cell>
        </row>
        <row r="2645">
          <cell r="B2645" t="str">
            <v>MOHIT INDUSTRIES LTD</v>
          </cell>
          <cell r="C2645">
            <v>531453</v>
          </cell>
          <cell r="D2645" t="str">
            <v>MOHITIND</v>
          </cell>
          <cell r="E2645" t="str">
            <v>Textiles</v>
          </cell>
        </row>
        <row r="2646">
          <cell r="B2646" t="str">
            <v>MOHIT PAPER MILLS LTD</v>
          </cell>
          <cell r="C2646">
            <v>530169</v>
          </cell>
          <cell r="D2646" t="str">
            <v>Not Listed</v>
          </cell>
          <cell r="E2646" t="str">
            <v>Paper &amp; Paper Products</v>
          </cell>
        </row>
        <row r="2647">
          <cell r="B2647" t="str">
            <v>MOHITE INDUSTRIES LTD</v>
          </cell>
          <cell r="C2647">
            <v>532140</v>
          </cell>
          <cell r="D2647" t="str">
            <v>Not Listed</v>
          </cell>
          <cell r="E2647" t="str">
            <v>Textiles</v>
          </cell>
        </row>
        <row r="2648">
          <cell r="B2648" t="str">
            <v>MOHOTA INDUSTRIES LTD</v>
          </cell>
          <cell r="C2648">
            <v>530047</v>
          </cell>
          <cell r="D2648" t="str">
            <v>MOHOTAIND</v>
          </cell>
          <cell r="E2648" t="str">
            <v>Textiles</v>
          </cell>
        </row>
        <row r="2649">
          <cell r="B2649" t="str">
            <v>MOIL LTD</v>
          </cell>
          <cell r="C2649">
            <v>533286</v>
          </cell>
          <cell r="D2649" t="str">
            <v>MOIL</v>
          </cell>
          <cell r="E2649" t="str">
            <v>Mining</v>
          </cell>
        </row>
        <row r="2650">
          <cell r="B2650" t="str">
            <v>MOKSH ORNAMENTS LTD</v>
          </cell>
          <cell r="C2650" t="str">
            <v>Not Listed</v>
          </cell>
          <cell r="D2650" t="str">
            <v>MOKSH</v>
          </cell>
          <cell r="E2650" t="str">
            <v>SME</v>
          </cell>
        </row>
        <row r="2651">
          <cell r="B2651" t="str">
            <v>MOLD-TEK PACKAGING LTD</v>
          </cell>
          <cell r="C2651">
            <v>533080</v>
          </cell>
          <cell r="D2651" t="str">
            <v>MOLDTKPAC</v>
          </cell>
          <cell r="E2651" t="str">
            <v>Containers &amp; Packaging</v>
          </cell>
        </row>
        <row r="2652">
          <cell r="B2652" t="str">
            <v>MOLD-TEK TECHNOLOGIES LTD</v>
          </cell>
          <cell r="C2652">
            <v>526263</v>
          </cell>
          <cell r="D2652" t="str">
            <v>MOLDTECH</v>
          </cell>
          <cell r="E2652" t="str">
            <v>BPO/KPO</v>
          </cell>
        </row>
        <row r="2653">
          <cell r="B2653" t="str">
            <v>MONARCH NETWORTH CAPITAL LTD</v>
          </cell>
          <cell r="C2653">
            <v>511551</v>
          </cell>
          <cell r="D2653" t="str">
            <v>Not Listed</v>
          </cell>
          <cell r="E2653" t="str">
            <v>Other Financial Services</v>
          </cell>
        </row>
        <row r="2654">
          <cell r="B2654" t="str">
            <v>MONEY MASTERS LEASING &amp; FINANCE LTD</v>
          </cell>
          <cell r="C2654">
            <v>535910</v>
          </cell>
          <cell r="D2654" t="str">
            <v>Not Listed</v>
          </cell>
          <cell r="E2654" t="str">
            <v>Finance (including NBFCs)</v>
          </cell>
        </row>
        <row r="2655">
          <cell r="B2655" t="str">
            <v>MONNET INDUSTRIES LTD</v>
          </cell>
          <cell r="C2655">
            <v>532078</v>
          </cell>
          <cell r="D2655" t="str">
            <v>Not Listed</v>
          </cell>
          <cell r="E2655" t="str">
            <v>Iron &amp; Steel/Interm.Products</v>
          </cell>
        </row>
        <row r="2656">
          <cell r="B2656" t="str">
            <v>MONNET ISPAT &amp; ENERGY LTD</v>
          </cell>
          <cell r="C2656">
            <v>513446</v>
          </cell>
          <cell r="D2656" t="str">
            <v>AIONJSW</v>
          </cell>
          <cell r="E2656" t="str">
            <v>Iron &amp; Steel/Interm.Products</v>
          </cell>
        </row>
        <row r="2657">
          <cell r="B2657" t="str">
            <v>MONNET PROJECT DEVELOPERS LTD</v>
          </cell>
          <cell r="C2657">
            <v>532723</v>
          </cell>
          <cell r="D2657" t="str">
            <v>Not Listed</v>
          </cell>
          <cell r="E2657" t="str">
            <v>Realty</v>
          </cell>
        </row>
        <row r="2658">
          <cell r="B2658" t="str">
            <v>MONOTYPE (INDIA) LTD</v>
          </cell>
          <cell r="C2658">
            <v>505343</v>
          </cell>
          <cell r="D2658" t="str">
            <v>Not Listed</v>
          </cell>
          <cell r="E2658" t="str">
            <v>Misc.Commercial Services</v>
          </cell>
        </row>
        <row r="2659">
          <cell r="B2659" t="str">
            <v>MONOTYPE INDIA LTD</v>
          </cell>
          <cell r="C2659">
            <v>505343</v>
          </cell>
          <cell r="D2659" t="str">
            <v>Not Listed</v>
          </cell>
          <cell r="E2659" t="str">
            <v>Misc.Commercial Services</v>
          </cell>
        </row>
        <row r="2660">
          <cell r="B2660" t="str">
            <v>MONSANTO (INDIA) LTD</v>
          </cell>
          <cell r="C2660">
            <v>524084</v>
          </cell>
          <cell r="D2660" t="str">
            <v>MONSANTO</v>
          </cell>
          <cell r="E2660" t="str">
            <v>Agrochemicals</v>
          </cell>
        </row>
        <row r="2661">
          <cell r="B2661" t="str">
            <v>MONSANTO INDIA LTD</v>
          </cell>
          <cell r="C2661">
            <v>524084</v>
          </cell>
          <cell r="D2661" t="str">
            <v>MONSANTO</v>
          </cell>
          <cell r="E2661" t="str">
            <v>Agrochemicals</v>
          </cell>
        </row>
        <row r="2662">
          <cell r="B2662" t="str">
            <v>MONTE CARLO FASHIONS LTD</v>
          </cell>
          <cell r="C2662">
            <v>538836</v>
          </cell>
          <cell r="D2662" t="str">
            <v>MONTECARLO</v>
          </cell>
          <cell r="E2662" t="str">
            <v>Other Apparels &amp; Accessories</v>
          </cell>
        </row>
        <row r="2663">
          <cell r="B2663" t="str">
            <v>MOONGIPA CAPITAL FINANCE LTD</v>
          </cell>
          <cell r="C2663">
            <v>530167</v>
          </cell>
          <cell r="D2663" t="str">
            <v>Not Listed</v>
          </cell>
          <cell r="E2663" t="str">
            <v>Finance (including NBFCs)</v>
          </cell>
        </row>
        <row r="2664">
          <cell r="B2664" t="str">
            <v>MOONGIPA SECURITIES LTD</v>
          </cell>
          <cell r="C2664">
            <v>539199</v>
          </cell>
          <cell r="D2664" t="str">
            <v>Not Listed</v>
          </cell>
          <cell r="E2664" t="str">
            <v>Other Financial Services</v>
          </cell>
        </row>
        <row r="2665">
          <cell r="B2665" t="str">
            <v>MORARJEE TEXTILES LTD</v>
          </cell>
          <cell r="C2665">
            <v>532621</v>
          </cell>
          <cell r="D2665" t="str">
            <v>MORARJEE</v>
          </cell>
          <cell r="E2665" t="str">
            <v>Textiles</v>
          </cell>
        </row>
        <row r="2666">
          <cell r="B2666" t="str">
            <v>MORARKA FINANCE LTD</v>
          </cell>
          <cell r="C2666">
            <v>511549</v>
          </cell>
          <cell r="D2666" t="str">
            <v>Not Listed</v>
          </cell>
          <cell r="E2666" t="str">
            <v>Finance (including NBFCs)</v>
          </cell>
        </row>
        <row r="2667">
          <cell r="B2667" t="str">
            <v>MOREPEN LABORATORIES LTD</v>
          </cell>
          <cell r="C2667">
            <v>500288</v>
          </cell>
          <cell r="D2667" t="str">
            <v>MOREPENLAB</v>
          </cell>
          <cell r="E2667" t="str">
            <v>Pharmaceuticals</v>
          </cell>
        </row>
        <row r="2668">
          <cell r="B2668" t="str">
            <v>MORGAN VENTURES LTD</v>
          </cell>
          <cell r="C2668">
            <v>526237</v>
          </cell>
          <cell r="D2668" t="str">
            <v>Not Listed</v>
          </cell>
          <cell r="E2668" t="str">
            <v>Finance (including NBFCs)</v>
          </cell>
        </row>
        <row r="2669">
          <cell r="B2669" t="str">
            <v>MORGANITE CRUCIBLE (INDIA) LTD</v>
          </cell>
          <cell r="C2669">
            <v>523160</v>
          </cell>
          <cell r="D2669" t="str">
            <v>Not Listed</v>
          </cell>
          <cell r="E2669" t="str">
            <v>Other Industrial Goods</v>
          </cell>
        </row>
        <row r="2670">
          <cell r="B2670" t="str">
            <v>MORGANITE CRUCIBLE INDIA LTD</v>
          </cell>
          <cell r="C2670">
            <v>523160</v>
          </cell>
          <cell r="D2670" t="str">
            <v>Not Listed</v>
          </cell>
          <cell r="E2670" t="str">
            <v>Other Industrial Goods</v>
          </cell>
        </row>
        <row r="2671">
          <cell r="B2671" t="str">
            <v>MORYO INDUSTRIES LTD.</v>
          </cell>
          <cell r="C2671">
            <v>513305</v>
          </cell>
          <cell r="D2671" t="str">
            <v>MORYOIND</v>
          </cell>
          <cell r="E2671" t="str">
            <v>Misc.Commercial Services</v>
          </cell>
        </row>
        <row r="2672">
          <cell r="B2672" t="str">
            <v>MOSCHIP SEMICONDUCTOR TECHNOLOGY LTD</v>
          </cell>
          <cell r="C2672">
            <v>532407</v>
          </cell>
          <cell r="D2672" t="str">
            <v>Not Listed</v>
          </cell>
          <cell r="E2672" t="str">
            <v>IT Software Products</v>
          </cell>
        </row>
        <row r="2673">
          <cell r="B2673" t="str">
            <v>MOSER-BAER I LTD</v>
          </cell>
          <cell r="C2673" t="str">
            <v>Not Listed</v>
          </cell>
          <cell r="D2673" t="str">
            <v>MOSERBAER</v>
          </cell>
          <cell r="E2673" t="str">
            <v>Others</v>
          </cell>
        </row>
        <row r="2674">
          <cell r="B2674" t="str">
            <v>MOTHERSON SUMI SYSTEMS LTD</v>
          </cell>
          <cell r="C2674">
            <v>517334</v>
          </cell>
          <cell r="D2674" t="str">
            <v>MOTHERSUMI</v>
          </cell>
          <cell r="E2674" t="str">
            <v>Auto Parts &amp; Equipment</v>
          </cell>
        </row>
        <row r="2675">
          <cell r="B2675" t="str">
            <v>MOTILAL OSWAL FINANCIAL SERVICES LTD</v>
          </cell>
          <cell r="C2675">
            <v>532892</v>
          </cell>
          <cell r="D2675" t="str">
            <v>MOTILALOFS</v>
          </cell>
          <cell r="E2675" t="str">
            <v>Finance (including NBFCs)</v>
          </cell>
        </row>
        <row r="2676">
          <cell r="B2676" t="str">
            <v>Motilal Oswal MOSt Shares M50 ETF</v>
          </cell>
          <cell r="C2676">
            <v>590115</v>
          </cell>
          <cell r="D2676" t="str">
            <v>M50</v>
          </cell>
          <cell r="E2676" t="str">
            <v>Other Financial Services</v>
          </cell>
        </row>
        <row r="2677">
          <cell r="B2677" t="str">
            <v>Motilal Oswal MOSt Shares NASDAQ-100 ETF</v>
          </cell>
          <cell r="C2677">
            <v>533385</v>
          </cell>
          <cell r="D2677" t="str">
            <v>N100</v>
          </cell>
          <cell r="E2677" t="str">
            <v>Other Financial Services</v>
          </cell>
        </row>
        <row r="2678">
          <cell r="B2678" t="str">
            <v>MOUNT SHIVALIK INDUSTRIES LTD</v>
          </cell>
          <cell r="C2678">
            <v>507522</v>
          </cell>
          <cell r="D2678" t="str">
            <v>Not Listed</v>
          </cell>
          <cell r="E2678" t="str">
            <v>Breweries &amp; Distilleries</v>
          </cell>
        </row>
        <row r="2679">
          <cell r="B2679" t="str">
            <v>MPHASIS LTD</v>
          </cell>
          <cell r="C2679">
            <v>526299</v>
          </cell>
          <cell r="D2679" t="str">
            <v>MPHASIS</v>
          </cell>
          <cell r="E2679" t="str">
            <v>IT Consulting &amp; Software</v>
          </cell>
        </row>
        <row r="2680">
          <cell r="B2680" t="str">
            <v>MPIL CORPORATION LTD</v>
          </cell>
          <cell r="C2680">
            <v>500450</v>
          </cell>
          <cell r="D2680" t="str">
            <v>Not Listed</v>
          </cell>
          <cell r="E2680" t="str">
            <v>Other Financial Services</v>
          </cell>
        </row>
        <row r="2681">
          <cell r="B2681" t="str">
            <v>MPL PLASTICS LTD</v>
          </cell>
          <cell r="C2681">
            <v>526143</v>
          </cell>
          <cell r="D2681" t="str">
            <v>Not Listed</v>
          </cell>
          <cell r="E2681" t="str">
            <v>Containers &amp; Packaging</v>
          </cell>
        </row>
        <row r="2682">
          <cell r="B2682" t="str">
            <v>MPS LTD</v>
          </cell>
          <cell r="C2682">
            <v>532440</v>
          </cell>
          <cell r="D2682" t="str">
            <v>MPSLTD</v>
          </cell>
          <cell r="E2682" t="str">
            <v>Comm.Printing/Stationery</v>
          </cell>
        </row>
        <row r="2683">
          <cell r="B2683" t="str">
            <v>MRC EXIM LTD</v>
          </cell>
          <cell r="C2683">
            <v>540809</v>
          </cell>
          <cell r="D2683" t="str">
            <v>Not Listed</v>
          </cell>
          <cell r="E2683" t="str">
            <v>Comm.Trading  &amp; Distribution</v>
          </cell>
        </row>
        <row r="2684">
          <cell r="B2684" t="str">
            <v>MRF LTD</v>
          </cell>
          <cell r="C2684">
            <v>500290</v>
          </cell>
          <cell r="D2684" t="str">
            <v>MRF</v>
          </cell>
          <cell r="E2684" t="str">
            <v>Auto Tyres &amp; Rubber Products</v>
          </cell>
        </row>
        <row r="2685">
          <cell r="B2685" t="str">
            <v>MRO-TEK REALTY LTD</v>
          </cell>
          <cell r="C2685">
            <v>532376</v>
          </cell>
          <cell r="D2685" t="str">
            <v>MRO-TEK</v>
          </cell>
          <cell r="E2685" t="str">
            <v>Telecom Equipment</v>
          </cell>
        </row>
        <row r="2686">
          <cell r="B2686" t="str">
            <v>MRUGESH TRADING LTD</v>
          </cell>
          <cell r="C2686">
            <v>512065</v>
          </cell>
          <cell r="D2686" t="str">
            <v>Not Listed</v>
          </cell>
          <cell r="E2686" t="str">
            <v>Finance (including NBFCs)</v>
          </cell>
        </row>
        <row r="2687">
          <cell r="B2687" t="str">
            <v>MSP STEEL &amp; POWER LTD</v>
          </cell>
          <cell r="C2687">
            <v>532650</v>
          </cell>
          <cell r="D2687" t="str">
            <v>MSPL</v>
          </cell>
          <cell r="E2687" t="str">
            <v>Iron &amp; Steel Products</v>
          </cell>
        </row>
        <row r="2688">
          <cell r="B2688" t="str">
            <v>MSR (INDIA) LTD</v>
          </cell>
          <cell r="C2688">
            <v>508922</v>
          </cell>
          <cell r="D2688" t="str">
            <v>Not Listed</v>
          </cell>
          <cell r="E2688" t="str">
            <v>Houseware</v>
          </cell>
        </row>
        <row r="2689">
          <cell r="B2689" t="str">
            <v>MSR INDIA LTD</v>
          </cell>
          <cell r="C2689">
            <v>508922</v>
          </cell>
          <cell r="D2689" t="str">
            <v>Not Listed</v>
          </cell>
          <cell r="E2689" t="str">
            <v>Houseware</v>
          </cell>
        </row>
        <row r="2690">
          <cell r="B2690" t="str">
            <v>Mstc LTD</v>
          </cell>
          <cell r="C2690" t="str">
            <v>Not Listed</v>
          </cell>
          <cell r="D2690" t="str">
            <v>MSTCLTD</v>
          </cell>
          <cell r="E2690" t="str">
            <v>Houseware</v>
          </cell>
        </row>
        <row r="2691">
          <cell r="B2691" t="str">
            <v>MSTC Ltd</v>
          </cell>
          <cell r="C2691">
            <v>542597</v>
          </cell>
          <cell r="D2691" t="str">
            <v>MSTC</v>
          </cell>
          <cell r="E2691" t="str">
            <v>Comm.Trading  &amp;amp; Distribution</v>
          </cell>
        </row>
        <row r="2692">
          <cell r="B2692" t="str">
            <v>MT EDUCARE LTD</v>
          </cell>
          <cell r="C2692">
            <v>534312</v>
          </cell>
          <cell r="D2692" t="str">
            <v>MTEDUCARE</v>
          </cell>
          <cell r="E2692" t="str">
            <v>Education</v>
          </cell>
        </row>
        <row r="2693">
          <cell r="B2693" t="str">
            <v>MUDIT FINLEASE LTD</v>
          </cell>
          <cell r="C2693">
            <v>531919</v>
          </cell>
          <cell r="D2693" t="str">
            <v>Not Listed</v>
          </cell>
          <cell r="E2693" t="str">
            <v>Investment Companies</v>
          </cell>
        </row>
        <row r="2694">
          <cell r="B2694" t="str">
            <v>MUDRA FINANCIAL SERVICES LTD</v>
          </cell>
          <cell r="C2694">
            <v>539819</v>
          </cell>
          <cell r="D2694" t="str">
            <v>Not Listed</v>
          </cell>
          <cell r="E2694" t="str">
            <v>Other Financial Services</v>
          </cell>
        </row>
        <row r="2695">
          <cell r="B2695" t="str">
            <v>MUDUNURU LTD</v>
          </cell>
          <cell r="C2695">
            <v>538743</v>
          </cell>
          <cell r="D2695" t="str">
            <v>Not Listed</v>
          </cell>
          <cell r="E2695" t="str">
            <v>IT Consulting &amp; Software</v>
          </cell>
        </row>
        <row r="2696">
          <cell r="B2696" t="str">
            <v>MUKAND ENGINEERS LTD</v>
          </cell>
          <cell r="C2696">
            <v>532097</v>
          </cell>
          <cell r="D2696" t="str">
            <v>MUKANDENGG</v>
          </cell>
          <cell r="E2696" t="str">
            <v>Construction &amp; Engineering</v>
          </cell>
        </row>
        <row r="2697">
          <cell r="B2697" t="str">
            <v>MUKAND LTD</v>
          </cell>
          <cell r="C2697">
            <v>500460</v>
          </cell>
          <cell r="D2697" t="str">
            <v>MUKANDLTD</v>
          </cell>
          <cell r="E2697" t="str">
            <v>Iron &amp; Steel/Interm.Products</v>
          </cell>
        </row>
        <row r="2698">
          <cell r="B2698" t="str">
            <v>MUKAT PIPES LTD.-$</v>
          </cell>
          <cell r="C2698">
            <v>523832</v>
          </cell>
          <cell r="D2698" t="str">
            <v>MUKATPIP</v>
          </cell>
          <cell r="E2698" t="str">
            <v>Iron &amp;amp; Steel Products</v>
          </cell>
        </row>
        <row r="2699">
          <cell r="B2699" t="str">
            <v>MUKESH BABU FINANCIAL SERVICES LTD</v>
          </cell>
          <cell r="C2699">
            <v>530341</v>
          </cell>
          <cell r="D2699" t="str">
            <v>Not Listed</v>
          </cell>
          <cell r="E2699" t="str">
            <v>Other Financial Services</v>
          </cell>
        </row>
        <row r="2700">
          <cell r="B2700" t="str">
            <v>MUKTA AGRICULTURE LTD</v>
          </cell>
          <cell r="C2700">
            <v>535204</v>
          </cell>
          <cell r="D2700" t="str">
            <v>Not Listed</v>
          </cell>
          <cell r="E2700" t="str">
            <v>Comm.Trading  &amp; Distribution</v>
          </cell>
        </row>
        <row r="2701">
          <cell r="B2701" t="str">
            <v>MUKTA ARTS LTD</v>
          </cell>
          <cell r="C2701">
            <v>532357</v>
          </cell>
          <cell r="D2701" t="str">
            <v>MUKTAARTS</v>
          </cell>
          <cell r="E2701" t="str">
            <v>Movies &amp; Entertainment</v>
          </cell>
        </row>
        <row r="2702">
          <cell r="B2702" t="str">
            <v>MULLER &amp; PHIPPS (INDIA) LTD</v>
          </cell>
          <cell r="C2702">
            <v>501477</v>
          </cell>
          <cell r="D2702" t="str">
            <v>Not Listed</v>
          </cell>
          <cell r="E2702" t="str">
            <v>Comm.Trading  &amp; Distribution</v>
          </cell>
        </row>
        <row r="2703">
          <cell r="B2703" t="str">
            <v>MULLER &amp; PHIPPS INDIA LTD</v>
          </cell>
          <cell r="C2703">
            <v>501477</v>
          </cell>
          <cell r="D2703" t="str">
            <v>Not Listed</v>
          </cell>
          <cell r="E2703" t="str">
            <v>Comm.Trading  &amp; Distribution</v>
          </cell>
        </row>
        <row r="2704">
          <cell r="B2704" t="str">
            <v>MULTI COMMODITY EXCHANGE OF (INDIA) LTD</v>
          </cell>
          <cell r="C2704">
            <v>534091</v>
          </cell>
          <cell r="D2704" t="str">
            <v>MCX</v>
          </cell>
          <cell r="E2704" t="str">
            <v>Investment Companies</v>
          </cell>
        </row>
        <row r="2705">
          <cell r="B2705" t="str">
            <v>MULTI COMMODITY EXCHANGE OF INDIA LTD</v>
          </cell>
          <cell r="C2705">
            <v>534091</v>
          </cell>
          <cell r="D2705" t="str">
            <v>MCX</v>
          </cell>
          <cell r="E2705" t="str">
            <v>Investment Companies</v>
          </cell>
        </row>
        <row r="2706">
          <cell r="B2706" t="str">
            <v>MULTIBASE (INDIA) LTD</v>
          </cell>
          <cell r="C2706">
            <v>526169</v>
          </cell>
          <cell r="D2706" t="str">
            <v>Not Listed</v>
          </cell>
          <cell r="E2706" t="str">
            <v>Auto Tyres &amp; Rubber Products</v>
          </cell>
        </row>
        <row r="2707">
          <cell r="B2707" t="str">
            <v>MULTIBASE INDIA LTD</v>
          </cell>
          <cell r="C2707">
            <v>526169</v>
          </cell>
          <cell r="D2707" t="str">
            <v>Not Listed</v>
          </cell>
          <cell r="E2707" t="str">
            <v>Auto Tyres &amp; Rubber Products</v>
          </cell>
        </row>
        <row r="2708">
          <cell r="B2708" t="str">
            <v>MULTIPLUS HOLDINGS LTD</v>
          </cell>
          <cell r="C2708">
            <v>505594</v>
          </cell>
          <cell r="D2708" t="str">
            <v>Not Listed</v>
          </cell>
          <cell r="E2708" t="str">
            <v>Misc.Commercial Services</v>
          </cell>
        </row>
        <row r="2709">
          <cell r="B2709" t="str">
            <v>MULTIPURPOSE TRADING &amp; AGENCIES LTD</v>
          </cell>
          <cell r="C2709">
            <v>504356</v>
          </cell>
          <cell r="D2709" t="str">
            <v>Not Listed</v>
          </cell>
          <cell r="E2709" t="str">
            <v>Misc.Commercial Services</v>
          </cell>
        </row>
        <row r="2710">
          <cell r="B2710" t="str">
            <v>MUNJAL AUTO INDUSTRIES LTD</v>
          </cell>
          <cell r="C2710">
            <v>520059</v>
          </cell>
          <cell r="D2710" t="str">
            <v>MUNJALAU</v>
          </cell>
          <cell r="E2710" t="str">
            <v>Auto Parts &amp; Equipment</v>
          </cell>
        </row>
        <row r="2711">
          <cell r="B2711" t="str">
            <v>MUNJAL SHOWA LTD</v>
          </cell>
          <cell r="C2711">
            <v>520043</v>
          </cell>
          <cell r="D2711" t="str">
            <v>MUNJALSHOW</v>
          </cell>
          <cell r="E2711" t="str">
            <v>Auto Parts &amp; Equipment</v>
          </cell>
        </row>
        <row r="2712">
          <cell r="B2712" t="str">
            <v>MUNOTH CAPITAL MARKET LTD</v>
          </cell>
          <cell r="C2712">
            <v>511200</v>
          </cell>
          <cell r="D2712" t="str">
            <v>Not Listed</v>
          </cell>
          <cell r="E2712" t="str">
            <v>Misc.Commercial Services</v>
          </cell>
        </row>
        <row r="2713">
          <cell r="B2713" t="str">
            <v>Munoth Communication Ltd</v>
          </cell>
          <cell r="C2713">
            <v>511401</v>
          </cell>
          <cell r="D2713" t="str">
            <v>MCLTD</v>
          </cell>
          <cell r="E2713" t="str">
            <v>Other Financial Services</v>
          </cell>
        </row>
        <row r="2714">
          <cell r="B2714" t="str">
            <v>MUNOTH FINANCIAL SERVICES LTD</v>
          </cell>
          <cell r="C2714">
            <v>531821</v>
          </cell>
          <cell r="D2714" t="str">
            <v>Not Listed</v>
          </cell>
          <cell r="E2714" t="str">
            <v>Other Financial Services</v>
          </cell>
        </row>
        <row r="2715">
          <cell r="B2715" t="str">
            <v>MURUDESHWAR CERAMICS LTD</v>
          </cell>
          <cell r="C2715">
            <v>515037</v>
          </cell>
          <cell r="D2715" t="str">
            <v>MURUDCERA</v>
          </cell>
          <cell r="E2715" t="str">
            <v>Furniture-Furnishing-Paints</v>
          </cell>
        </row>
        <row r="2716">
          <cell r="B2716" t="str">
            <v>MUSIC BROADCAST LTD</v>
          </cell>
          <cell r="C2716">
            <v>540366</v>
          </cell>
          <cell r="D2716" t="str">
            <v>RADIOCITY</v>
          </cell>
          <cell r="E2716" t="str">
            <v>Broadcasting &amp; Cable TV</v>
          </cell>
        </row>
        <row r="2717">
          <cell r="B2717" t="str">
            <v>MUTHOOT CAPITAL SERVICES LTD</v>
          </cell>
          <cell r="C2717">
            <v>511766</v>
          </cell>
          <cell r="D2717" t="str">
            <v>MUTHOOTCAP</v>
          </cell>
          <cell r="E2717" t="str">
            <v>Finance (including NBFCs)</v>
          </cell>
        </row>
        <row r="2718">
          <cell r="B2718" t="str">
            <v>MUTHOOT FINANCE LTD</v>
          </cell>
          <cell r="C2718">
            <v>533398</v>
          </cell>
          <cell r="D2718" t="str">
            <v>MUTHOOTFIN</v>
          </cell>
          <cell r="E2718" t="str">
            <v>Finance (including NBFCs)</v>
          </cell>
        </row>
        <row r="2719">
          <cell r="B2719" t="str">
            <v>MVL LTD</v>
          </cell>
          <cell r="C2719">
            <v>532991</v>
          </cell>
          <cell r="D2719" t="str">
            <v>MVL</v>
          </cell>
          <cell r="E2719" t="str">
            <v>Realty</v>
          </cell>
        </row>
        <row r="2720">
          <cell r="B2720" t="str">
            <v>MY MONEY SECURITIES LTD</v>
          </cell>
          <cell r="C2720">
            <v>538862</v>
          </cell>
          <cell r="D2720" t="str">
            <v>Not Listed</v>
          </cell>
          <cell r="E2720" t="str">
            <v>Other Financial Services</v>
          </cell>
        </row>
        <row r="2721">
          <cell r="B2721" t="str">
            <v>MYSORE PETRO CHEMICALS LTD</v>
          </cell>
          <cell r="C2721">
            <v>506734</v>
          </cell>
          <cell r="D2721" t="str">
            <v>Not Listed</v>
          </cell>
          <cell r="E2721" t="str">
            <v>Commodity Chemicals</v>
          </cell>
        </row>
        <row r="2722">
          <cell r="B2722" t="str">
            <v>MYSTIC ELECTRONICS LTD</v>
          </cell>
          <cell r="C2722">
            <v>535205</v>
          </cell>
          <cell r="D2722" t="str">
            <v>Not Listed</v>
          </cell>
          <cell r="E2722" t="str">
            <v>Comm.Trading  &amp; Distribution</v>
          </cell>
        </row>
        <row r="2723">
          <cell r="B2723" t="str">
            <v>N B I INDUSTRIAL FINANCE COMPANY LTD</v>
          </cell>
          <cell r="C2723" t="str">
            <v>Not Listed</v>
          </cell>
          <cell r="D2723" t="str">
            <v>NBIFIN</v>
          </cell>
          <cell r="E2723" t="str">
            <v>Others</v>
          </cell>
        </row>
        <row r="2724">
          <cell r="B2724" t="str">
            <v>N D METAL INDUSTRIES LTD</v>
          </cell>
          <cell r="C2724">
            <v>512024</v>
          </cell>
          <cell r="D2724" t="str">
            <v>Not Listed</v>
          </cell>
          <cell r="E2724" t="str">
            <v>Copper</v>
          </cell>
        </row>
        <row r="2725">
          <cell r="B2725" t="str">
            <v>N G INDUSTRIES LTD</v>
          </cell>
          <cell r="C2725">
            <v>530897</v>
          </cell>
          <cell r="D2725" t="str">
            <v>Not Listed</v>
          </cell>
          <cell r="E2725" t="str">
            <v>Healthcare Services</v>
          </cell>
        </row>
        <row r="2726">
          <cell r="B2726" t="str">
            <v>N R AGARWAL INDUSTRIES LTD</v>
          </cell>
          <cell r="C2726">
            <v>516082</v>
          </cell>
          <cell r="D2726" t="str">
            <v>NRAIL</v>
          </cell>
          <cell r="E2726" t="str">
            <v>Paper &amp; Paper Products</v>
          </cell>
        </row>
        <row r="2727">
          <cell r="B2727" t="str">
            <v>N R INTERNATIONAL LTD</v>
          </cell>
          <cell r="C2727">
            <v>532623</v>
          </cell>
          <cell r="D2727" t="str">
            <v>Not Listed</v>
          </cell>
          <cell r="E2727" t="str">
            <v>Comm.Trading  &amp; Distribution</v>
          </cell>
        </row>
        <row r="2728">
          <cell r="B2728" t="str">
            <v>N2N TECHNOLOGIES LTD</v>
          </cell>
          <cell r="C2728">
            <v>512279</v>
          </cell>
          <cell r="D2728" t="str">
            <v>Not Listed</v>
          </cell>
          <cell r="E2728" t="str">
            <v>Misc.Commercial Services</v>
          </cell>
        </row>
        <row r="2729">
          <cell r="B2729" t="str">
            <v>NACL INDUSTRIES LTD</v>
          </cell>
          <cell r="C2729">
            <v>524709</v>
          </cell>
          <cell r="D2729" t="str">
            <v>NACLIND</v>
          </cell>
          <cell r="E2729" t="str">
            <v>Agrochemicals</v>
          </cell>
        </row>
        <row r="2730">
          <cell r="B2730" t="str">
            <v>NAGA DHUNSERI GROUP LTD</v>
          </cell>
          <cell r="C2730" t="str">
            <v>Not Listed</v>
          </cell>
          <cell r="D2730" t="str">
            <v>NDGL</v>
          </cell>
          <cell r="E2730" t="str">
            <v>Others</v>
          </cell>
        </row>
        <row r="2731">
          <cell r="B2731" t="str">
            <v>NAGARJUNA AGRI TECH LTD</v>
          </cell>
          <cell r="C2731">
            <v>531832</v>
          </cell>
          <cell r="D2731" t="str">
            <v>Not Listed</v>
          </cell>
          <cell r="E2731" t="str">
            <v>Other Agricultural Products</v>
          </cell>
        </row>
        <row r="2732">
          <cell r="B2732" t="str">
            <v>NAGARJUNA FERTILIZERS AND CHEMICALS LTD</v>
          </cell>
          <cell r="C2732">
            <v>539917</v>
          </cell>
          <cell r="D2732" t="str">
            <v>NAGAFERT</v>
          </cell>
          <cell r="E2732" t="str">
            <v>Fertilizers</v>
          </cell>
        </row>
        <row r="2733">
          <cell r="B2733" t="str">
            <v>NAGARJUNA OIL REFINERY LTD</v>
          </cell>
          <cell r="C2733">
            <v>534184</v>
          </cell>
          <cell r="D2733" t="str">
            <v>NAGAROIL</v>
          </cell>
          <cell r="E2733" t="str">
            <v>Exploration &amp; Production</v>
          </cell>
        </row>
        <row r="2734">
          <cell r="B2734" t="str">
            <v>NAGPUR POWER &amp; INDUSTRIES LTD</v>
          </cell>
          <cell r="C2734">
            <v>532362</v>
          </cell>
          <cell r="D2734" t="str">
            <v>Not Listed</v>
          </cell>
          <cell r="E2734" t="str">
            <v>Iron &amp; Steel/Interm.Products</v>
          </cell>
        </row>
        <row r="2735">
          <cell r="B2735" t="str">
            <v>NAGREEKA CAPITAL &amp; INFRASTRUCTURE LTD</v>
          </cell>
          <cell r="C2735">
            <v>532895</v>
          </cell>
          <cell r="D2735" t="str">
            <v>NAGREEKCAP</v>
          </cell>
          <cell r="E2735" t="str">
            <v>Investment Companies</v>
          </cell>
        </row>
        <row r="2736">
          <cell r="B2736" t="str">
            <v>NAGREEKA EXPORTS LTD</v>
          </cell>
          <cell r="C2736">
            <v>521109</v>
          </cell>
          <cell r="D2736" t="str">
            <v>NAGREEKEXP</v>
          </cell>
          <cell r="E2736" t="str">
            <v>Textiles</v>
          </cell>
        </row>
        <row r="2737">
          <cell r="B2737" t="str">
            <v>NAHAR CAPITAL AND FINANCIAL SERVICES LTD</v>
          </cell>
          <cell r="C2737">
            <v>532952</v>
          </cell>
          <cell r="D2737" t="str">
            <v>NAHARCAP</v>
          </cell>
          <cell r="E2737" t="str">
            <v>Investment Companies</v>
          </cell>
        </row>
        <row r="2738">
          <cell r="B2738" t="str">
            <v>NAHAR INDUSTRIAL ENTERPRISES LTD</v>
          </cell>
          <cell r="C2738">
            <v>519136</v>
          </cell>
          <cell r="D2738" t="str">
            <v>NAHARINDUS</v>
          </cell>
          <cell r="E2738" t="str">
            <v>Textiles</v>
          </cell>
        </row>
        <row r="2739">
          <cell r="B2739" t="str">
            <v>NAHAR POLY FILMS LTD</v>
          </cell>
          <cell r="C2739">
            <v>523391</v>
          </cell>
          <cell r="D2739" t="str">
            <v>NAHARPOLY</v>
          </cell>
          <cell r="E2739" t="str">
            <v>Textiles</v>
          </cell>
        </row>
        <row r="2740">
          <cell r="B2740" t="str">
            <v>NAHAR SPINNING MILLS LTD</v>
          </cell>
          <cell r="C2740">
            <v>500296</v>
          </cell>
          <cell r="D2740" t="str">
            <v>NAHARSPING</v>
          </cell>
          <cell r="E2740" t="str">
            <v>Textiles</v>
          </cell>
        </row>
        <row r="2741">
          <cell r="B2741" t="str">
            <v>NAKODA GROUP OF INDUSTRIES LTD</v>
          </cell>
          <cell r="C2741">
            <v>541418</v>
          </cell>
          <cell r="D2741" t="str">
            <v>Not Listed</v>
          </cell>
          <cell r="E2741" t="str">
            <v>Packaged Foods</v>
          </cell>
        </row>
        <row r="2742">
          <cell r="B2742" t="str">
            <v>NALIN LEASE FINANCE LTD</v>
          </cell>
          <cell r="C2742">
            <v>531212</v>
          </cell>
          <cell r="D2742" t="str">
            <v>Not Listed</v>
          </cell>
          <cell r="E2742" t="str">
            <v>Finance (including NBFCs)</v>
          </cell>
        </row>
        <row r="2743">
          <cell r="B2743" t="str">
            <v>NALWA SONS INVESTMENTS LTD</v>
          </cell>
          <cell r="C2743">
            <v>532256</v>
          </cell>
          <cell r="D2743" t="str">
            <v>NSIL</v>
          </cell>
          <cell r="E2743" t="str">
            <v>Finance (including NBFCs)</v>
          </cell>
        </row>
        <row r="2744">
          <cell r="B2744" t="str">
            <v>NAM SECURITIES LTD</v>
          </cell>
          <cell r="C2744">
            <v>538395</v>
          </cell>
          <cell r="D2744" t="str">
            <v>Not Listed</v>
          </cell>
          <cell r="E2744" t="str">
            <v>Other Financial Services</v>
          </cell>
        </row>
        <row r="2745">
          <cell r="B2745" t="str">
            <v>NANDAN DENIM LTD</v>
          </cell>
          <cell r="C2745">
            <v>532641</v>
          </cell>
          <cell r="D2745" t="str">
            <v>NDL</v>
          </cell>
          <cell r="E2745" t="str">
            <v>Textiles</v>
          </cell>
        </row>
        <row r="2746">
          <cell r="B2746" t="str">
            <v>NANDANI CREATION LTD</v>
          </cell>
          <cell r="C2746" t="str">
            <v>Not Listed</v>
          </cell>
          <cell r="D2746" t="str">
            <v>NANDANI</v>
          </cell>
          <cell r="E2746" t="str">
            <v>SME</v>
          </cell>
        </row>
        <row r="2747">
          <cell r="B2747" t="str">
            <v>NARAYANA HRUDAYALAYA LTD</v>
          </cell>
          <cell r="C2747">
            <v>539551</v>
          </cell>
          <cell r="D2747" t="str">
            <v>NH</v>
          </cell>
          <cell r="E2747" t="str">
            <v>Healthcare Facilities</v>
          </cell>
        </row>
        <row r="2748">
          <cell r="B2748" t="str">
            <v>NARAYANI STEELS LTD</v>
          </cell>
          <cell r="C2748">
            <v>540080</v>
          </cell>
          <cell r="D2748" t="str">
            <v>Not Listed</v>
          </cell>
          <cell r="E2748" t="str">
            <v>Iron &amp; Steel/Interm.Products</v>
          </cell>
        </row>
        <row r="2749">
          <cell r="B2749" t="str">
            <v>NARBADA GEMS AND JEWELLERY LTD</v>
          </cell>
          <cell r="C2749">
            <v>519455</v>
          </cell>
          <cell r="D2749" t="str">
            <v>Not Listed</v>
          </cell>
          <cell r="E2749" t="str">
            <v>Other Apparels &amp; Accessories</v>
          </cell>
        </row>
        <row r="2750">
          <cell r="B2750" t="str">
            <v>Narendra Investments (Delhi) Ltd</v>
          </cell>
          <cell r="C2750">
            <v>540204</v>
          </cell>
          <cell r="D2750" t="str">
            <v>NIDL</v>
          </cell>
          <cell r="E2750" t="str">
            <v>Consulting Services</v>
          </cell>
        </row>
        <row r="2751">
          <cell r="B2751" t="str">
            <v>NARENDRA PROPERTIES LTD</v>
          </cell>
          <cell r="C2751">
            <v>531416</v>
          </cell>
          <cell r="D2751" t="str">
            <v>Not Listed</v>
          </cell>
          <cell r="E2751" t="str">
            <v>Realty</v>
          </cell>
        </row>
        <row r="2752">
          <cell r="B2752" t="str">
            <v>NARMADA AGROBASE LTD</v>
          </cell>
          <cell r="C2752" t="str">
            <v>Not Listed</v>
          </cell>
          <cell r="D2752" t="str">
            <v>NARMADA</v>
          </cell>
          <cell r="E2752" t="str">
            <v>SME</v>
          </cell>
        </row>
        <row r="2753">
          <cell r="B2753" t="str">
            <v>NARMADA GELATINES LTD</v>
          </cell>
          <cell r="C2753">
            <v>526739</v>
          </cell>
          <cell r="D2753" t="str">
            <v>Not Listed</v>
          </cell>
          <cell r="E2753" t="str">
            <v>Specialty Chemicals</v>
          </cell>
        </row>
        <row r="2754">
          <cell r="B2754" t="str">
            <v>NARMADA MACPLAST DRIP IRRIGATION SYSTEMS LTD.</v>
          </cell>
          <cell r="C2754">
            <v>517431</v>
          </cell>
          <cell r="D2754" t="str">
            <v>NARMP</v>
          </cell>
          <cell r="E2754" t="str">
            <v>Plastic Products</v>
          </cell>
        </row>
        <row r="2755">
          <cell r="B2755" t="str">
            <v>NATCO ECONOMICALS LTD</v>
          </cell>
          <cell r="C2755">
            <v>539595</v>
          </cell>
          <cell r="D2755" t="str">
            <v>Not Listed</v>
          </cell>
          <cell r="E2755" t="str">
            <v>Other Financial Services</v>
          </cell>
        </row>
        <row r="2756">
          <cell r="B2756" t="str">
            <v>NATCO PHARMA LTD</v>
          </cell>
          <cell r="C2756">
            <v>524816</v>
          </cell>
          <cell r="D2756" t="str">
            <v>NATCOPHARM</v>
          </cell>
          <cell r="E2756" t="str">
            <v>Pharmaceuticals</v>
          </cell>
        </row>
        <row r="2757">
          <cell r="B2757" t="str">
            <v>NATH BIO-GENES (INDIA) LTD</v>
          </cell>
          <cell r="C2757">
            <v>537291</v>
          </cell>
          <cell r="D2757" t="str">
            <v>NATHBIOGEN</v>
          </cell>
          <cell r="E2757" t="str">
            <v>Other Agricultural Products</v>
          </cell>
        </row>
        <row r="2758">
          <cell r="B2758" t="str">
            <v>NATH BIO-GENES INDIA LTD</v>
          </cell>
          <cell r="C2758">
            <v>537291</v>
          </cell>
          <cell r="D2758" t="str">
            <v>NATHBIOGEN</v>
          </cell>
          <cell r="E2758" t="str">
            <v>Other Agricultural Products</v>
          </cell>
        </row>
        <row r="2759">
          <cell r="B2759" t="str">
            <v>NATH PULP &amp; PAPER MILLS LTD</v>
          </cell>
          <cell r="C2759">
            <v>502407</v>
          </cell>
          <cell r="D2759" t="str">
            <v>Not Listed</v>
          </cell>
          <cell r="E2759" t="str">
            <v>Paper &amp; Paper Products</v>
          </cell>
        </row>
        <row r="2760">
          <cell r="B2760" t="str">
            <v>NATIONAL ALUMINIUM COMPANY LTD</v>
          </cell>
          <cell r="C2760">
            <v>532234</v>
          </cell>
          <cell r="D2760" t="str">
            <v>NATIONALUM</v>
          </cell>
          <cell r="E2760" t="str">
            <v>Aluminium</v>
          </cell>
        </row>
        <row r="2761">
          <cell r="B2761" t="str">
            <v>NATIONAL FERTILIZERS LTD</v>
          </cell>
          <cell r="C2761">
            <v>523630</v>
          </cell>
          <cell r="D2761" t="str">
            <v>NFL</v>
          </cell>
          <cell r="E2761" t="str">
            <v>Fertilizers</v>
          </cell>
        </row>
        <row r="2762">
          <cell r="B2762" t="str">
            <v>NATIONAL FITTINGS LTD</v>
          </cell>
          <cell r="C2762">
            <v>531289</v>
          </cell>
          <cell r="D2762" t="str">
            <v>Not Listed</v>
          </cell>
          <cell r="E2762" t="str">
            <v>Iron &amp; Steel Products</v>
          </cell>
        </row>
        <row r="2763">
          <cell r="B2763" t="str">
            <v>NATIONAL GENERAL INDUSTRIES LTD</v>
          </cell>
          <cell r="C2763">
            <v>531651</v>
          </cell>
          <cell r="D2763" t="str">
            <v>Not Listed</v>
          </cell>
          <cell r="E2763" t="str">
            <v>Iron &amp; Steel/Interm.Products</v>
          </cell>
        </row>
        <row r="2764">
          <cell r="B2764" t="str">
            <v>NATIONAL OXYGEN LTD</v>
          </cell>
          <cell r="C2764">
            <v>507813</v>
          </cell>
          <cell r="D2764" t="str">
            <v>Not Listed</v>
          </cell>
          <cell r="E2764" t="str">
            <v>Industrial Gases</v>
          </cell>
        </row>
        <row r="2765">
          <cell r="B2765" t="str">
            <v>NATIONAL PEROXIDE LTD</v>
          </cell>
          <cell r="C2765">
            <v>500298</v>
          </cell>
          <cell r="D2765" t="str">
            <v>Not Listed</v>
          </cell>
          <cell r="E2765" t="str">
            <v>Commodity Chemicals</v>
          </cell>
        </row>
        <row r="2766">
          <cell r="B2766" t="str">
            <v>NATIONAL PLASTIC INDUSTRIES LTD</v>
          </cell>
          <cell r="C2766">
            <v>526616</v>
          </cell>
          <cell r="D2766" t="str">
            <v>Not Listed</v>
          </cell>
          <cell r="E2766" t="str">
            <v>Plastic Products</v>
          </cell>
        </row>
        <row r="2767">
          <cell r="B2767" t="str">
            <v>NATIONAL PLASTIC TECHNOLOGIES LTD</v>
          </cell>
          <cell r="C2767">
            <v>531287</v>
          </cell>
          <cell r="D2767" t="str">
            <v>Not Listed</v>
          </cell>
          <cell r="E2767" t="str">
            <v>Plastic Products</v>
          </cell>
        </row>
        <row r="2768">
          <cell r="B2768" t="str">
            <v>NATIONAL PLYWOOD INDUSTRIES LTD</v>
          </cell>
          <cell r="C2768">
            <v>516062</v>
          </cell>
          <cell r="D2768" t="str">
            <v>Not Listed</v>
          </cell>
          <cell r="E2768" t="str">
            <v>Forest Products</v>
          </cell>
        </row>
        <row r="2769">
          <cell r="B2769" t="str">
            <v>NATIONAL STANDARD (INDIA) LTD</v>
          </cell>
          <cell r="C2769">
            <v>504882</v>
          </cell>
          <cell r="D2769" t="str">
            <v>Not Listed</v>
          </cell>
          <cell r="E2769" t="str">
            <v>Realty</v>
          </cell>
        </row>
        <row r="2770">
          <cell r="B2770" t="str">
            <v>NATIONAL STANDARD INDIA LTD</v>
          </cell>
          <cell r="C2770">
            <v>504882</v>
          </cell>
          <cell r="D2770" t="str">
            <v>Not Listed</v>
          </cell>
          <cell r="E2770" t="str">
            <v>Realty</v>
          </cell>
        </row>
        <row r="2771">
          <cell r="B2771" t="str">
            <v>NATIONAL STEEL AND AGRO INDUSTRIES LTD</v>
          </cell>
          <cell r="C2771">
            <v>513179</v>
          </cell>
          <cell r="D2771" t="str">
            <v>NATNLSTEEL</v>
          </cell>
          <cell r="E2771" t="str">
            <v>Iron &amp; Steel/Interm.Products</v>
          </cell>
        </row>
        <row r="2772">
          <cell r="B2772" t="str">
            <v>NATRAJ PROTEINS LTD</v>
          </cell>
          <cell r="C2772">
            <v>530119</v>
          </cell>
          <cell r="D2772" t="str">
            <v>Not Listed</v>
          </cell>
          <cell r="E2772" t="str">
            <v>Edible Oils</v>
          </cell>
        </row>
        <row r="2773">
          <cell r="B2773" t="str">
            <v>NATURA HUE CHEM LTD</v>
          </cell>
          <cell r="C2773">
            <v>531834</v>
          </cell>
          <cell r="D2773" t="str">
            <v>Not Listed</v>
          </cell>
          <cell r="E2773" t="str">
            <v>Other Agricultural Products</v>
          </cell>
        </row>
        <row r="2774">
          <cell r="B2774" t="str">
            <v>NATURAL CAPSULES LTD</v>
          </cell>
          <cell r="C2774">
            <v>524654</v>
          </cell>
          <cell r="D2774" t="str">
            <v>Not Listed</v>
          </cell>
          <cell r="E2774" t="str">
            <v>Pharmaceuticals</v>
          </cell>
        </row>
        <row r="2775">
          <cell r="B2775" t="str">
            <v>NATURITE AGRO PRODUCTS LTD</v>
          </cell>
          <cell r="C2775">
            <v>538926</v>
          </cell>
          <cell r="D2775" t="str">
            <v>Not Listed</v>
          </cell>
          <cell r="E2775" t="str">
            <v>Other Agricultural Products</v>
          </cell>
        </row>
        <row r="2776">
          <cell r="B2776" t="str">
            <v>NAVA BHARAT VENTURES LTD</v>
          </cell>
          <cell r="C2776">
            <v>513023</v>
          </cell>
          <cell r="D2776" t="str">
            <v>NBVENTURES</v>
          </cell>
          <cell r="E2776" t="str">
            <v>Electric Utilities</v>
          </cell>
        </row>
        <row r="2777">
          <cell r="B2777" t="str">
            <v>NAVIGANT CORPORATE ADVISORS LTD</v>
          </cell>
          <cell r="C2777">
            <v>539521</v>
          </cell>
          <cell r="D2777" t="str">
            <v>Not Listed</v>
          </cell>
          <cell r="E2777" t="str">
            <v>Other Financial Services</v>
          </cell>
        </row>
        <row r="2778">
          <cell r="B2778" t="str">
            <v>NAVIN FLUORINE INTERNATIONAL LTD</v>
          </cell>
          <cell r="C2778">
            <v>532504</v>
          </cell>
          <cell r="D2778" t="str">
            <v>NAVINFLUOR</v>
          </cell>
          <cell r="E2778" t="str">
            <v>Commodity Chemicals</v>
          </cell>
        </row>
        <row r="2779">
          <cell r="B2779" t="str">
            <v>NAVKAR BUILDERS LTD</v>
          </cell>
          <cell r="C2779">
            <v>531494</v>
          </cell>
          <cell r="D2779" t="str">
            <v>Not Listed</v>
          </cell>
          <cell r="E2779" t="str">
            <v>Realty</v>
          </cell>
        </row>
        <row r="2780">
          <cell r="B2780" t="str">
            <v>NAVKAR CORPORATION LTD</v>
          </cell>
          <cell r="C2780">
            <v>539332</v>
          </cell>
          <cell r="D2780" t="str">
            <v>NAVKARCORP</v>
          </cell>
          <cell r="E2780" t="str">
            <v>Transport Related Services</v>
          </cell>
        </row>
        <row r="2781">
          <cell r="B2781" t="str">
            <v>NAVKETAN MERCHANTS LTD</v>
          </cell>
          <cell r="C2781">
            <v>539525</v>
          </cell>
          <cell r="D2781" t="str">
            <v>Not Listed</v>
          </cell>
          <cell r="E2781" t="str">
            <v>Distributors</v>
          </cell>
        </row>
        <row r="2782">
          <cell r="B2782" t="str">
            <v>NAVNEET EDUCATION LTD</v>
          </cell>
          <cell r="C2782">
            <v>508989</v>
          </cell>
          <cell r="D2782" t="str">
            <v>NAVNETEDUL</v>
          </cell>
          <cell r="E2782" t="str">
            <v>Publishing</v>
          </cell>
        </row>
        <row r="2783">
          <cell r="B2783" t="str">
            <v>NAYSAA SECURITIES LTD</v>
          </cell>
          <cell r="C2783">
            <v>538668</v>
          </cell>
          <cell r="D2783" t="str">
            <v>Not Listed</v>
          </cell>
          <cell r="E2783" t="str">
            <v>Finance (including NBFCs)</v>
          </cell>
        </row>
        <row r="2784">
          <cell r="B2784" t="str">
            <v>NB FOOTWEAR LTD</v>
          </cell>
          <cell r="C2784">
            <v>523242</v>
          </cell>
          <cell r="D2784" t="str">
            <v>Not Listed</v>
          </cell>
          <cell r="E2784" t="str">
            <v>Footwear</v>
          </cell>
        </row>
        <row r="2785">
          <cell r="B2785" t="str">
            <v>NBCC (INDIA) LTD</v>
          </cell>
          <cell r="C2785">
            <v>534309</v>
          </cell>
          <cell r="D2785" t="str">
            <v>NBCC</v>
          </cell>
          <cell r="E2785" t="str">
            <v>Construction &amp; Engineering</v>
          </cell>
        </row>
        <row r="2786">
          <cell r="B2786" t="str">
            <v>NBCC INDIA LTD</v>
          </cell>
          <cell r="C2786">
            <v>534309</v>
          </cell>
          <cell r="D2786" t="str">
            <v>NBCC</v>
          </cell>
          <cell r="E2786" t="str">
            <v>Construction &amp; Engineering</v>
          </cell>
        </row>
        <row r="2787">
          <cell r="B2787" t="str">
            <v>NCC BLUE WATER PRODUCTS LTD</v>
          </cell>
          <cell r="C2787">
            <v>519506</v>
          </cell>
          <cell r="D2787" t="str">
            <v>Not Listed</v>
          </cell>
          <cell r="E2787" t="str">
            <v>Packaged Foods</v>
          </cell>
        </row>
        <row r="2788">
          <cell r="B2788" t="str">
            <v>NCC FINANCE LTD</v>
          </cell>
          <cell r="C2788">
            <v>531452</v>
          </cell>
          <cell r="D2788" t="str">
            <v>Not Listed</v>
          </cell>
          <cell r="E2788" t="str">
            <v>Finance (including NBFCs)</v>
          </cell>
        </row>
        <row r="2789">
          <cell r="B2789" t="str">
            <v>NCC LTD</v>
          </cell>
          <cell r="C2789">
            <v>500294</v>
          </cell>
          <cell r="D2789" t="str">
            <v>NCC</v>
          </cell>
          <cell r="E2789" t="str">
            <v>Construction &amp; Engineering</v>
          </cell>
        </row>
        <row r="2790">
          <cell r="B2790" t="str">
            <v>NCL INDUSTRIES LTD</v>
          </cell>
          <cell r="C2790">
            <v>502168</v>
          </cell>
          <cell r="D2790" t="str">
            <v>NCLIND</v>
          </cell>
          <cell r="E2790" t="str">
            <v>Cement &amp; Cement Products</v>
          </cell>
        </row>
        <row r="2791">
          <cell r="B2791" t="str">
            <v>NCL RESEARCH &amp; FINANCIAL SERVICES LTD</v>
          </cell>
          <cell r="C2791">
            <v>530557</v>
          </cell>
          <cell r="D2791" t="str">
            <v>Not Listed</v>
          </cell>
          <cell r="E2791" t="str">
            <v>Other Financial Services</v>
          </cell>
        </row>
        <row r="2792">
          <cell r="B2792" t="str">
            <v>NDA SECURITIES LTD</v>
          </cell>
          <cell r="C2792">
            <v>511535</v>
          </cell>
          <cell r="D2792" t="str">
            <v>Not Listed</v>
          </cell>
          <cell r="E2792" t="str">
            <v>Other Financial Services</v>
          </cell>
        </row>
        <row r="2793">
          <cell r="B2793" t="str">
            <v>NECTAR LIFESCIENCES LTD</v>
          </cell>
          <cell r="C2793">
            <v>532649</v>
          </cell>
          <cell r="D2793" t="str">
            <v>NECLIFE</v>
          </cell>
          <cell r="E2793" t="str">
            <v>Pharmaceuticals</v>
          </cell>
        </row>
        <row r="2794">
          <cell r="B2794" t="str">
            <v>NEELAMALAI AGRO INDUSTRIES LTD</v>
          </cell>
          <cell r="C2794">
            <v>508670</v>
          </cell>
          <cell r="D2794" t="str">
            <v>Not Listed</v>
          </cell>
          <cell r="E2794" t="str">
            <v>Tea &amp; Coffee</v>
          </cell>
        </row>
        <row r="2795">
          <cell r="B2795" t="str">
            <v>NEELKANTH ROCKMINERALS LTD</v>
          </cell>
          <cell r="C2795">
            <v>531049</v>
          </cell>
          <cell r="D2795" t="str">
            <v>Not Listed</v>
          </cell>
          <cell r="E2795" t="str">
            <v>Construction Materials</v>
          </cell>
        </row>
        <row r="2796">
          <cell r="B2796" t="str">
            <v>NEERAJ PAPER MARKETING LTD</v>
          </cell>
          <cell r="C2796">
            <v>539409</v>
          </cell>
          <cell r="D2796" t="str">
            <v>Not Listed</v>
          </cell>
          <cell r="E2796" t="str">
            <v>Comm.Trading  &amp; Distribution</v>
          </cell>
        </row>
        <row r="2797">
          <cell r="B2797" t="str">
            <v>NEGOTIUM INTERNATIONAL TRADE LTD</v>
          </cell>
          <cell r="C2797">
            <v>537838</v>
          </cell>
          <cell r="D2797" t="str">
            <v>Not Listed</v>
          </cell>
          <cell r="E2797" t="str">
            <v>Comm.Trading  &amp; Distribution</v>
          </cell>
        </row>
        <row r="2798">
          <cell r="B2798" t="str">
            <v>NEHA INTERNATIONAL LTD</v>
          </cell>
          <cell r="C2798">
            <v>519560</v>
          </cell>
          <cell r="D2798" t="str">
            <v>Not Listed</v>
          </cell>
          <cell r="E2798" t="str">
            <v>Other Agricultural Products</v>
          </cell>
        </row>
        <row r="2799">
          <cell r="B2799" t="str">
            <v>NEIL INDUSTRIES LTD</v>
          </cell>
          <cell r="C2799">
            <v>539016</v>
          </cell>
          <cell r="D2799" t="str">
            <v>Not Listed</v>
          </cell>
          <cell r="E2799" t="str">
            <v>Finance (including NBFCs)</v>
          </cell>
        </row>
        <row r="2800">
          <cell r="B2800" t="str">
            <v>NELCAST LTD</v>
          </cell>
          <cell r="C2800">
            <v>532864</v>
          </cell>
          <cell r="D2800" t="str">
            <v>NELCAST</v>
          </cell>
          <cell r="E2800" t="str">
            <v>Other Industrial Products</v>
          </cell>
        </row>
        <row r="2801">
          <cell r="B2801" t="str">
            <v>NELCO LTD</v>
          </cell>
          <cell r="C2801">
            <v>504112</v>
          </cell>
          <cell r="D2801" t="str">
            <v>NELCO</v>
          </cell>
          <cell r="E2801" t="str">
            <v>IT Networking Equipment</v>
          </cell>
        </row>
        <row r="2802">
          <cell r="B2802" t="str">
            <v>NEO INFRACON LTD</v>
          </cell>
          <cell r="C2802">
            <v>514332</v>
          </cell>
          <cell r="D2802" t="str">
            <v>Not Listed</v>
          </cell>
          <cell r="E2802" t="str">
            <v>Realty</v>
          </cell>
        </row>
        <row r="2803">
          <cell r="B2803" t="str">
            <v>NEOGEM (INDIA) LTD</v>
          </cell>
          <cell r="C2803">
            <v>526195</v>
          </cell>
          <cell r="D2803" t="str">
            <v>Not Listed</v>
          </cell>
          <cell r="E2803" t="str">
            <v>Other Apparels &amp; Accessories</v>
          </cell>
        </row>
        <row r="2804">
          <cell r="B2804" t="str">
            <v>NEOGEM INDIA LTD</v>
          </cell>
          <cell r="C2804">
            <v>526195</v>
          </cell>
          <cell r="D2804" t="str">
            <v>Not Listed</v>
          </cell>
          <cell r="E2804" t="str">
            <v>Other Apparels &amp; Accessories</v>
          </cell>
        </row>
        <row r="2805">
          <cell r="B2805" t="str">
            <v>Neogen Chemicals Ltd</v>
          </cell>
          <cell r="C2805">
            <v>542665</v>
          </cell>
          <cell r="D2805" t="str">
            <v>NEOGEN</v>
          </cell>
          <cell r="E2805" t="str">
            <v>Specialty Chemicals</v>
          </cell>
        </row>
        <row r="2806">
          <cell r="B2806" t="str">
            <v>NEPTUNE EXPORTS LTD</v>
          </cell>
          <cell r="C2806">
            <v>512522</v>
          </cell>
          <cell r="D2806" t="str">
            <v>Not Listed</v>
          </cell>
          <cell r="E2806" t="str">
            <v>Comm.Trading  &amp; Distribution</v>
          </cell>
        </row>
        <row r="2807">
          <cell r="B2807" t="str">
            <v>NESCO LTD</v>
          </cell>
          <cell r="C2807">
            <v>505355</v>
          </cell>
          <cell r="D2807" t="str">
            <v>NESCO</v>
          </cell>
          <cell r="E2807" t="str">
            <v>Misc.Commercial Services</v>
          </cell>
        </row>
        <row r="2808">
          <cell r="B2808" t="str">
            <v>NESTLE (INDIA) LTD</v>
          </cell>
          <cell r="C2808">
            <v>500790</v>
          </cell>
          <cell r="D2808" t="str">
            <v>NESTLEIND</v>
          </cell>
          <cell r="E2808" t="str">
            <v>Packaged Foods</v>
          </cell>
        </row>
        <row r="2809">
          <cell r="B2809" t="str">
            <v>NESTLE INDIA LTD</v>
          </cell>
          <cell r="C2809">
            <v>500790</v>
          </cell>
          <cell r="D2809" t="str">
            <v>NESTLEIND</v>
          </cell>
          <cell r="E2809" t="str">
            <v>Packaged Foods</v>
          </cell>
        </row>
        <row r="2810">
          <cell r="B2810" t="str">
            <v>NETLINK SOLUTIONS (INDIA) LTD</v>
          </cell>
          <cell r="C2810">
            <v>509040</v>
          </cell>
          <cell r="D2810" t="str">
            <v>Not Listed</v>
          </cell>
          <cell r="E2810" t="str">
            <v>IT Software Products</v>
          </cell>
        </row>
        <row r="2811">
          <cell r="B2811" t="str">
            <v>NETLINK SOLUTIONS INDIA LTD</v>
          </cell>
          <cell r="C2811">
            <v>509040</v>
          </cell>
          <cell r="D2811" t="str">
            <v>Not Listed</v>
          </cell>
          <cell r="E2811" t="str">
            <v>IT Software Products</v>
          </cell>
        </row>
        <row r="2812">
          <cell r="B2812" t="str">
            <v>NETRIPPLES SOFTWARE LTD</v>
          </cell>
          <cell r="C2812">
            <v>542117</v>
          </cell>
          <cell r="D2812" t="str">
            <v>Not Listed</v>
          </cell>
          <cell r="E2812" t="str">
            <v>Others</v>
          </cell>
        </row>
        <row r="2813">
          <cell r="B2813" t="str">
            <v>NETTLINX LTD</v>
          </cell>
          <cell r="C2813">
            <v>511658</v>
          </cell>
          <cell r="D2813" t="str">
            <v>Not Listed</v>
          </cell>
          <cell r="E2813" t="str">
            <v>IT Software Products</v>
          </cell>
        </row>
        <row r="2814">
          <cell r="B2814" t="str">
            <v>NETWORK LTD</v>
          </cell>
          <cell r="C2814">
            <v>523558</v>
          </cell>
          <cell r="D2814" t="str">
            <v>Not Listed</v>
          </cell>
          <cell r="E2814" t="str">
            <v>Electronic Components</v>
          </cell>
        </row>
        <row r="2815">
          <cell r="B2815" t="str">
            <v>NETWORK18 MEDIA &amp; INVESTMENTS LTD</v>
          </cell>
          <cell r="C2815">
            <v>532798</v>
          </cell>
          <cell r="D2815" t="str">
            <v>NETWORK18</v>
          </cell>
          <cell r="E2815" t="str">
            <v>Holding Companies</v>
          </cell>
        </row>
        <row r="2816">
          <cell r="B2816" t="str">
            <v>NEUEON TOWERS LTD</v>
          </cell>
          <cell r="C2816">
            <v>532887</v>
          </cell>
          <cell r="D2816" t="str">
            <v>NTL</v>
          </cell>
          <cell r="E2816" t="str">
            <v>Heavy Electrical Equipment</v>
          </cell>
        </row>
        <row r="2817">
          <cell r="B2817" t="str">
            <v>NEULAND LABORATORIES LTD</v>
          </cell>
          <cell r="C2817">
            <v>524558</v>
          </cell>
          <cell r="D2817" t="str">
            <v>NEULANDLAB</v>
          </cell>
          <cell r="E2817" t="str">
            <v>Pharmaceuticals</v>
          </cell>
        </row>
        <row r="2818">
          <cell r="B2818" t="str">
            <v>NEW DELHI TELEVISION LTD</v>
          </cell>
          <cell r="C2818">
            <v>532529</v>
          </cell>
          <cell r="D2818" t="str">
            <v>NDTV</v>
          </cell>
          <cell r="E2818" t="str">
            <v>Broadcasting &amp; Cable TV</v>
          </cell>
        </row>
        <row r="2819">
          <cell r="B2819" t="str">
            <v>NEW LIGHT APPARELS LTD</v>
          </cell>
          <cell r="C2819">
            <v>540243</v>
          </cell>
          <cell r="D2819" t="str">
            <v>Not Listed</v>
          </cell>
          <cell r="E2819" t="str">
            <v>Comm.Trading  &amp; Distribution</v>
          </cell>
        </row>
        <row r="2820">
          <cell r="B2820" t="str">
            <v>NEW MARKETS ADVISORY LTD</v>
          </cell>
          <cell r="C2820">
            <v>508867</v>
          </cell>
          <cell r="D2820" t="str">
            <v>Not Listed</v>
          </cell>
          <cell r="E2820" t="str">
            <v>IT Software Products</v>
          </cell>
        </row>
        <row r="2821">
          <cell r="B2821" t="str">
            <v>NEW SAGAR TRADING CO LTD</v>
          </cell>
          <cell r="C2821">
            <v>501479</v>
          </cell>
          <cell r="D2821" t="str">
            <v>Not Listed</v>
          </cell>
          <cell r="E2821" t="str">
            <v>Comm.Trading  &amp; Distribution</v>
          </cell>
        </row>
        <row r="2822">
          <cell r="B2822" t="str">
            <v>NEWEVER TRADE WINGS LTD</v>
          </cell>
          <cell r="C2822">
            <v>536644</v>
          </cell>
          <cell r="D2822" t="str">
            <v>Not Listed</v>
          </cell>
          <cell r="E2822" t="str">
            <v>Comm.Trading  &amp; Distribution</v>
          </cell>
        </row>
        <row r="2823">
          <cell r="B2823" t="str">
            <v>NEWGEN SOFTWARE TECHNOLOGIES LTD</v>
          </cell>
          <cell r="C2823">
            <v>540900</v>
          </cell>
          <cell r="D2823" t="str">
            <v>NEWGEN</v>
          </cell>
          <cell r="E2823" t="str">
            <v>IT Consulting &amp; Software</v>
          </cell>
        </row>
        <row r="2824">
          <cell r="B2824" t="str">
            <v>NEXT MEDIAWORKS LTD</v>
          </cell>
          <cell r="C2824">
            <v>532416</v>
          </cell>
          <cell r="D2824" t="str">
            <v>NEXTMEDIA</v>
          </cell>
          <cell r="E2824" t="str">
            <v>Publishing</v>
          </cell>
        </row>
        <row r="2825">
          <cell r="B2825" t="str">
            <v>NEXUS COMMODITIES AND TECHNOLOGIES LTD</v>
          </cell>
          <cell r="C2825">
            <v>538874</v>
          </cell>
          <cell r="D2825" t="str">
            <v>Not Listed</v>
          </cell>
          <cell r="E2825" t="str">
            <v>Other Financial Services</v>
          </cell>
        </row>
        <row r="2826">
          <cell r="B2826" t="str">
            <v>NGL FINE-CHEM LTD</v>
          </cell>
          <cell r="C2826">
            <v>524774</v>
          </cell>
          <cell r="D2826" t="str">
            <v>Not Listed</v>
          </cell>
          <cell r="E2826" t="str">
            <v>Pharmaceuticals</v>
          </cell>
        </row>
        <row r="2827">
          <cell r="B2827" t="str">
            <v>NHC FOODS LTD</v>
          </cell>
          <cell r="C2827">
            <v>517554</v>
          </cell>
          <cell r="D2827" t="str">
            <v>Not Listed</v>
          </cell>
          <cell r="E2827" t="str">
            <v>Other Food Products</v>
          </cell>
        </row>
        <row r="2828">
          <cell r="B2828" t="str">
            <v>NHPC LTD</v>
          </cell>
          <cell r="C2828">
            <v>533098</v>
          </cell>
          <cell r="D2828" t="str">
            <v>NHPC</v>
          </cell>
          <cell r="E2828" t="str">
            <v>Electric Utilities</v>
          </cell>
        </row>
        <row r="2829">
          <cell r="B2829" t="str">
            <v>NICCO PARKS &amp; RESORTS LTD</v>
          </cell>
          <cell r="C2829">
            <v>526721</v>
          </cell>
          <cell r="D2829" t="str">
            <v>Not Listed</v>
          </cell>
          <cell r="E2829" t="str">
            <v>Other Leisure Facilities</v>
          </cell>
        </row>
        <row r="2830">
          <cell r="B2830" t="str">
            <v>NICCO UCO ALLIANCE CREDIT LTD</v>
          </cell>
          <cell r="C2830">
            <v>523209</v>
          </cell>
          <cell r="D2830" t="str">
            <v>Not Listed</v>
          </cell>
          <cell r="E2830" t="str">
            <v>Finance (including NBFCs)</v>
          </cell>
        </row>
        <row r="2831">
          <cell r="B2831" t="str">
            <v>NIDHI GRANITES LTD</v>
          </cell>
          <cell r="C2831">
            <v>512103</v>
          </cell>
          <cell r="D2831" t="str">
            <v>Not Listed</v>
          </cell>
          <cell r="E2831" t="str">
            <v>Construction Materials</v>
          </cell>
        </row>
        <row r="2832">
          <cell r="B2832" t="str">
            <v>NIHAR INFO GLOBAL LTD</v>
          </cell>
          <cell r="C2832">
            <v>531083</v>
          </cell>
          <cell r="D2832" t="str">
            <v>Not Listed</v>
          </cell>
          <cell r="E2832" t="str">
            <v>IT Software Products</v>
          </cell>
        </row>
        <row r="2833">
          <cell r="B2833" t="str">
            <v>NIIT LTD</v>
          </cell>
          <cell r="C2833">
            <v>500304</v>
          </cell>
          <cell r="D2833" t="str">
            <v>NIITLTD</v>
          </cell>
          <cell r="E2833" t="str">
            <v>IT Training Services</v>
          </cell>
        </row>
        <row r="2834">
          <cell r="B2834" t="str">
            <v>NIIT TECHNOLOGIES LTD</v>
          </cell>
          <cell r="C2834">
            <v>532541</v>
          </cell>
          <cell r="D2834" t="str">
            <v>NIITTECH</v>
          </cell>
          <cell r="E2834" t="str">
            <v>IT Consulting &amp; Software</v>
          </cell>
        </row>
        <row r="2835">
          <cell r="B2835" t="str">
            <v>NIKHIL ADHESIVES LTD</v>
          </cell>
          <cell r="C2835">
            <v>526159</v>
          </cell>
          <cell r="D2835" t="str">
            <v>Not Listed</v>
          </cell>
          <cell r="E2835" t="str">
            <v>Comm.Trading  &amp; Distribution</v>
          </cell>
        </row>
        <row r="2836">
          <cell r="B2836" t="str">
            <v>NIKKI GLOBAL FINANCE LTD</v>
          </cell>
          <cell r="C2836">
            <v>531272</v>
          </cell>
          <cell r="D2836" t="str">
            <v>Not Listed</v>
          </cell>
          <cell r="E2836" t="str">
            <v>Finance (including NBFCs)</v>
          </cell>
        </row>
        <row r="2837">
          <cell r="B2837" t="str">
            <v>NILA INFRASTRUCTURES LTD</v>
          </cell>
          <cell r="C2837">
            <v>530377</v>
          </cell>
          <cell r="D2837" t="str">
            <v>NILAINFRA</v>
          </cell>
          <cell r="E2837" t="str">
            <v>Realty</v>
          </cell>
        </row>
        <row r="2838">
          <cell r="B2838" t="str">
            <v>Nila Spaces Ltd</v>
          </cell>
          <cell r="C2838">
            <v>542231</v>
          </cell>
          <cell r="D2838" t="str">
            <v>NILASPACES</v>
          </cell>
          <cell r="E2838" t="str">
            <v>Realty</v>
          </cell>
        </row>
        <row r="2839">
          <cell r="B2839" t="str">
            <v>NILACHAL REFRACTORIES LTD</v>
          </cell>
          <cell r="C2839">
            <v>502294</v>
          </cell>
          <cell r="D2839" t="str">
            <v>Not Listed</v>
          </cell>
          <cell r="E2839" t="str">
            <v>Construction Materials</v>
          </cell>
        </row>
        <row r="2840">
          <cell r="B2840" t="str">
            <v>NILE LTD</v>
          </cell>
          <cell r="C2840">
            <v>530129</v>
          </cell>
          <cell r="D2840" t="str">
            <v>Not Listed</v>
          </cell>
          <cell r="E2840" t="str">
            <v>Iron &amp; Steel Products</v>
          </cell>
        </row>
        <row r="2841">
          <cell r="B2841" t="str">
            <v>NILKAMAL LTD</v>
          </cell>
          <cell r="C2841">
            <v>523385</v>
          </cell>
          <cell r="D2841" t="str">
            <v>NILKAMAL</v>
          </cell>
          <cell r="E2841" t="str">
            <v>Plastic Products</v>
          </cell>
        </row>
        <row r="2842">
          <cell r="B2842" t="str">
            <v>NILKANTH ENGINEERING LTD</v>
          </cell>
          <cell r="C2842">
            <v>512004</v>
          </cell>
          <cell r="D2842" t="str">
            <v>Not Listed</v>
          </cell>
          <cell r="E2842" t="str">
            <v>Misc.Commercial Services</v>
          </cell>
        </row>
        <row r="2843">
          <cell r="B2843" t="str">
            <v>NIMBUS FOODS INDUSTRIES LTD</v>
          </cell>
          <cell r="C2843">
            <v>531598</v>
          </cell>
          <cell r="D2843" t="str">
            <v>Not Listed</v>
          </cell>
          <cell r="E2843" t="str">
            <v>Packaged Foods</v>
          </cell>
        </row>
        <row r="2844">
          <cell r="B2844" t="str">
            <v>NIMBUS INDUSTRIES LTD</v>
          </cell>
          <cell r="C2844">
            <v>530971</v>
          </cell>
          <cell r="D2844" t="str">
            <v>Not Listed</v>
          </cell>
          <cell r="E2844" t="str">
            <v>Comm.Trading  &amp; Distribution</v>
          </cell>
        </row>
        <row r="2845">
          <cell r="B2845" t="str">
            <v>NIMBUS PROJECTS LTD</v>
          </cell>
          <cell r="C2845">
            <v>511714</v>
          </cell>
          <cell r="D2845" t="str">
            <v>Not Listed</v>
          </cell>
          <cell r="E2845" t="str">
            <v>Realty</v>
          </cell>
        </row>
        <row r="2846">
          <cell r="B2846" t="str">
            <v>NINTEC SYSTEMS LTD</v>
          </cell>
          <cell r="C2846">
            <v>539843</v>
          </cell>
          <cell r="D2846" t="str">
            <v>Not Listed</v>
          </cell>
          <cell r="E2846" t="str">
            <v>IT Consulting &amp; Software</v>
          </cell>
        </row>
        <row r="2847">
          <cell r="B2847" t="str">
            <v>NIRAJ CEMENT STRUCTURALS LTD</v>
          </cell>
          <cell r="C2847">
            <v>532986</v>
          </cell>
          <cell r="D2847" t="str">
            <v>Not Listed</v>
          </cell>
          <cell r="E2847" t="str">
            <v>Construction &amp; Engineering</v>
          </cell>
        </row>
        <row r="2848">
          <cell r="B2848" t="str">
            <v>NIRAJ ISPAT INDUSTRIES LTD</v>
          </cell>
          <cell r="C2848" t="str">
            <v>Not Listed</v>
          </cell>
          <cell r="D2848" t="str">
            <v>NIRAJISPAT</v>
          </cell>
          <cell r="E2848" t="str">
            <v>Others</v>
          </cell>
        </row>
        <row r="2849">
          <cell r="B2849" t="str">
            <v>NIRAV COMMERCIALS LTD</v>
          </cell>
          <cell r="C2849">
            <v>512425</v>
          </cell>
          <cell r="D2849" t="str">
            <v>Not Listed</v>
          </cell>
          <cell r="E2849" t="str">
            <v>Comm.Trading  &amp; Distribution</v>
          </cell>
        </row>
        <row r="2850">
          <cell r="B2850" t="str">
            <v>NIRLON LTD</v>
          </cell>
          <cell r="C2850">
            <v>500307</v>
          </cell>
          <cell r="D2850" t="str">
            <v>Not Listed</v>
          </cell>
          <cell r="E2850" t="str">
            <v>Misc.Commercial Services</v>
          </cell>
        </row>
        <row r="2851">
          <cell r="B2851" t="str">
            <v>NISHTHA FINANCE AND INVESTMENT (INDIA) LTD</v>
          </cell>
          <cell r="C2851">
            <v>539311</v>
          </cell>
          <cell r="D2851" t="str">
            <v>Not Listed</v>
          </cell>
          <cell r="E2851" t="str">
            <v>Other Financial Services</v>
          </cell>
        </row>
        <row r="2852">
          <cell r="B2852" t="str">
            <v>NISHTHA FINANCE AND INVESTMENT INDIA LTD</v>
          </cell>
          <cell r="C2852">
            <v>539311</v>
          </cell>
          <cell r="D2852" t="str">
            <v>Not Listed</v>
          </cell>
          <cell r="E2852" t="str">
            <v>Other Financial Services</v>
          </cell>
        </row>
        <row r="2853">
          <cell r="B2853" t="str">
            <v>NITCO LTD</v>
          </cell>
          <cell r="C2853">
            <v>532722</v>
          </cell>
          <cell r="D2853" t="str">
            <v>NITCO</v>
          </cell>
          <cell r="E2853" t="str">
            <v>Furniture-Furnishing-Paints</v>
          </cell>
        </row>
        <row r="2854">
          <cell r="B2854" t="str">
            <v>NITESH ESTATES LTD</v>
          </cell>
          <cell r="C2854">
            <v>533202</v>
          </cell>
          <cell r="D2854" t="str">
            <v>NITESHEST</v>
          </cell>
          <cell r="E2854" t="str">
            <v>Realty</v>
          </cell>
        </row>
        <row r="2855">
          <cell r="B2855" t="str">
            <v>NITIN CASTINGS LTD</v>
          </cell>
          <cell r="C2855">
            <v>508875</v>
          </cell>
          <cell r="D2855" t="str">
            <v>Not Listed</v>
          </cell>
          <cell r="E2855" t="str">
            <v>Misc.Commercial Services</v>
          </cell>
        </row>
        <row r="2856">
          <cell r="B2856" t="str">
            <v>NITIN FIRE PROTECTION INDUSTRIES LTD</v>
          </cell>
          <cell r="C2856">
            <v>532854</v>
          </cell>
          <cell r="D2856" t="str">
            <v>NITINFIRE</v>
          </cell>
          <cell r="E2856" t="str">
            <v>Industrial Machinery</v>
          </cell>
        </row>
        <row r="2857">
          <cell r="B2857" t="str">
            <v>NITIN SPINNERS LTD</v>
          </cell>
          <cell r="C2857">
            <v>532698</v>
          </cell>
          <cell r="D2857" t="str">
            <v>NITINSPIN</v>
          </cell>
          <cell r="E2857" t="str">
            <v>Textiles</v>
          </cell>
        </row>
        <row r="2858">
          <cell r="B2858" t="str">
            <v>NITIRAJ ENGINEERS LTD</v>
          </cell>
          <cell r="C2858" t="str">
            <v>Not Listed</v>
          </cell>
          <cell r="D2858" t="str">
            <v>NITIRAJ</v>
          </cell>
          <cell r="E2858" t="str">
            <v>SME</v>
          </cell>
        </row>
        <row r="2859">
          <cell r="B2859" t="str">
            <v>NITTA GELATIN (INDIA) LTD</v>
          </cell>
          <cell r="C2859">
            <v>506532</v>
          </cell>
          <cell r="D2859" t="str">
            <v>Not Listed</v>
          </cell>
          <cell r="E2859" t="str">
            <v>Specialty Chemicals</v>
          </cell>
        </row>
        <row r="2860">
          <cell r="B2860" t="str">
            <v>NITTA GELATIN INDIA LTD</v>
          </cell>
          <cell r="C2860">
            <v>506532</v>
          </cell>
          <cell r="D2860" t="str">
            <v>Not Listed</v>
          </cell>
          <cell r="E2860" t="str">
            <v>Specialty Chemicals</v>
          </cell>
        </row>
        <row r="2861">
          <cell r="B2861" t="str">
            <v>NIVEDITA MERCANTILE &amp; FINANCING LTD</v>
          </cell>
          <cell r="C2861">
            <v>512381</v>
          </cell>
          <cell r="D2861" t="str">
            <v>Not Listed</v>
          </cell>
          <cell r="E2861" t="str">
            <v>Comm.Trading  &amp; Distribution</v>
          </cell>
        </row>
        <row r="2862">
          <cell r="B2862" t="str">
            <v>NIVI TRADING LTD</v>
          </cell>
          <cell r="C2862">
            <v>512245</v>
          </cell>
          <cell r="D2862" t="str">
            <v>Not Listed</v>
          </cell>
          <cell r="E2862" t="str">
            <v>Misc.Commercial Services</v>
          </cell>
        </row>
        <row r="2863">
          <cell r="B2863" t="str">
            <v>NIYOGIN FINTECH LTD</v>
          </cell>
          <cell r="C2863">
            <v>538772</v>
          </cell>
          <cell r="D2863" t="str">
            <v>Not Listed</v>
          </cell>
          <cell r="E2863" t="str">
            <v>Finance (including NBFCs)</v>
          </cell>
        </row>
        <row r="2864">
          <cell r="B2864" t="str">
            <v>NK INDUSTRIES LTD</v>
          </cell>
          <cell r="C2864">
            <v>519494</v>
          </cell>
          <cell r="D2864" t="str">
            <v>NKIND</v>
          </cell>
          <cell r="E2864" t="str">
            <v>Edible Oils</v>
          </cell>
        </row>
        <row r="2865">
          <cell r="B2865" t="str">
            <v>NLC (INDIA) LTD</v>
          </cell>
          <cell r="C2865">
            <v>513683</v>
          </cell>
          <cell r="D2865" t="str">
            <v>NLC(INDIA)</v>
          </cell>
          <cell r="E2865" t="str">
            <v>Electric Utilities</v>
          </cell>
        </row>
        <row r="2866">
          <cell r="B2866" t="str">
            <v>NLC INDIA LTD</v>
          </cell>
          <cell r="C2866">
            <v>513683</v>
          </cell>
          <cell r="D2866" t="str">
            <v>NLCINDIA</v>
          </cell>
          <cell r="E2866" t="str">
            <v>Electric Utilities</v>
          </cell>
        </row>
        <row r="2867">
          <cell r="B2867" t="str">
            <v>NMDC LTD</v>
          </cell>
          <cell r="C2867">
            <v>526371</v>
          </cell>
          <cell r="D2867" t="str">
            <v>NMDC</v>
          </cell>
          <cell r="E2867" t="str">
            <v>Mining</v>
          </cell>
        </row>
        <row r="2868">
          <cell r="B2868" t="str">
            <v>NOCIL LTD</v>
          </cell>
          <cell r="C2868">
            <v>500730</v>
          </cell>
          <cell r="D2868" t="str">
            <v>NOCIL</v>
          </cell>
          <cell r="E2868" t="str">
            <v>Specialty Chemicals</v>
          </cell>
        </row>
        <row r="2869">
          <cell r="B2869" t="str">
            <v>NOIDA TOLL BRIDGE COMPANY LTD</v>
          </cell>
          <cell r="C2869">
            <v>532481</v>
          </cell>
          <cell r="D2869" t="str">
            <v>NOIDATOLL</v>
          </cell>
          <cell r="E2869" t="str">
            <v>Roads &amp; Highways</v>
          </cell>
        </row>
        <row r="2870">
          <cell r="B2870" t="str">
            <v>NORBEN TEA &amp; EXPORTS LTD</v>
          </cell>
          <cell r="C2870" t="str">
            <v>Not Listed</v>
          </cell>
          <cell r="D2870" t="str">
            <v>NORBTEAEXP</v>
          </cell>
          <cell r="E2870" t="str">
            <v>Others</v>
          </cell>
        </row>
        <row r="2871">
          <cell r="B2871" t="str">
            <v>NORRIS MEDICINES LTD</v>
          </cell>
          <cell r="C2871">
            <v>524414</v>
          </cell>
          <cell r="D2871" t="str">
            <v>Not Listed</v>
          </cell>
          <cell r="E2871" t="str">
            <v>Comm.Trading  &amp; Distribution</v>
          </cell>
        </row>
        <row r="2872">
          <cell r="B2872" t="str">
            <v>NORTH EASTERN CARRYING CORPORATION LTD</v>
          </cell>
          <cell r="C2872">
            <v>534615</v>
          </cell>
          <cell r="D2872" t="str">
            <v>NECCLTD</v>
          </cell>
          <cell r="E2872" t="str">
            <v>Transportation - Logistics</v>
          </cell>
        </row>
        <row r="2873">
          <cell r="B2873" t="str">
            <v>Northern Spirits Ltd</v>
          </cell>
          <cell r="C2873">
            <v>542628</v>
          </cell>
          <cell r="D2873" t="str">
            <v>NSL</v>
          </cell>
          <cell r="E2873" t="str">
            <v>Comm.Trading  &amp;amp; Distribution</v>
          </cell>
        </row>
        <row r="2874">
          <cell r="B2874" t="str">
            <v>NORTHLINK FISCAL AND CAPITAL SERVICES LTD</v>
          </cell>
          <cell r="C2874">
            <v>539110</v>
          </cell>
          <cell r="D2874" t="str">
            <v>Not Listed</v>
          </cell>
          <cell r="E2874" t="str">
            <v>Finance (including NBFCs)</v>
          </cell>
        </row>
        <row r="2875">
          <cell r="B2875" t="str">
            <v>NOURITRANS EXIM LTD</v>
          </cell>
          <cell r="C2875">
            <v>540698</v>
          </cell>
          <cell r="D2875" t="str">
            <v>Not Listed</v>
          </cell>
          <cell r="E2875" t="str">
            <v>Comm.Trading  &amp; Distribution</v>
          </cell>
        </row>
        <row r="2876">
          <cell r="B2876" t="str">
            <v>NOUVEAU GLOBAL VENTURES LTD</v>
          </cell>
          <cell r="C2876">
            <v>531465</v>
          </cell>
          <cell r="D2876" t="str">
            <v>Not Listed</v>
          </cell>
          <cell r="E2876" t="str">
            <v>Comm.Trading  &amp; Distribution</v>
          </cell>
        </row>
        <row r="2877">
          <cell r="B2877" t="str">
            <v>NOVA IRON &amp; STEEL LTD</v>
          </cell>
          <cell r="C2877">
            <v>513566</v>
          </cell>
          <cell r="D2877" t="str">
            <v>Not Listed</v>
          </cell>
          <cell r="E2877" t="str">
            <v>Iron &amp; Steel/Interm.Products</v>
          </cell>
        </row>
        <row r="2878">
          <cell r="B2878" t="str">
            <v>NOVA PUBLICATIONS (INDIA) LTD</v>
          </cell>
          <cell r="C2878">
            <v>530733</v>
          </cell>
          <cell r="D2878" t="str">
            <v>Not Listed</v>
          </cell>
          <cell r="E2878" t="str">
            <v>Publishing</v>
          </cell>
        </row>
        <row r="2879">
          <cell r="B2879" t="str">
            <v>NOVA PUBLICATIONS INDIA LTD</v>
          </cell>
          <cell r="C2879">
            <v>530733</v>
          </cell>
          <cell r="D2879" t="str">
            <v>Not Listed</v>
          </cell>
          <cell r="E2879" t="str">
            <v>Publishing</v>
          </cell>
        </row>
        <row r="2880">
          <cell r="B2880" t="str">
            <v>NOVARTIS (INDIA) LTD</v>
          </cell>
          <cell r="C2880">
            <v>500672</v>
          </cell>
          <cell r="D2880" t="str">
            <v>Not Listed</v>
          </cell>
          <cell r="E2880" t="str">
            <v>Pharmaceuticals</v>
          </cell>
        </row>
        <row r="2881">
          <cell r="B2881" t="str">
            <v>NOVARTIS INDIA LTD</v>
          </cell>
          <cell r="C2881">
            <v>500672</v>
          </cell>
          <cell r="D2881" t="str">
            <v>Not Listed</v>
          </cell>
          <cell r="E2881" t="str">
            <v>Pharmaceuticals</v>
          </cell>
        </row>
        <row r="2882">
          <cell r="B2882" t="str">
            <v>NPR FINANCE LTD</v>
          </cell>
          <cell r="C2882">
            <v>530127</v>
          </cell>
          <cell r="D2882" t="str">
            <v>Not Listed</v>
          </cell>
          <cell r="E2882" t="str">
            <v>Other Financial Services</v>
          </cell>
        </row>
        <row r="2883">
          <cell r="B2883" t="str">
            <v>NRB BEARING LTD</v>
          </cell>
          <cell r="C2883">
            <v>530367</v>
          </cell>
          <cell r="D2883" t="str">
            <v>NRBBEARING</v>
          </cell>
          <cell r="E2883" t="str">
            <v>Industrial Machinery</v>
          </cell>
        </row>
        <row r="2884">
          <cell r="B2884" t="str">
            <v>NRB INDUSTRIAL BEARINGS LTD</v>
          </cell>
          <cell r="C2884">
            <v>535458</v>
          </cell>
          <cell r="D2884" t="str">
            <v>NIBL</v>
          </cell>
          <cell r="E2884" t="str">
            <v>Other Industrial Goods</v>
          </cell>
        </row>
        <row r="2885">
          <cell r="B2885" t="str">
            <v>NTC INDUSTRIES LTD</v>
          </cell>
          <cell r="C2885">
            <v>526723</v>
          </cell>
          <cell r="D2885" t="str">
            <v>Not Listed</v>
          </cell>
          <cell r="E2885" t="str">
            <v>Cigarettes-Tobacco Products</v>
          </cell>
        </row>
        <row r="2886">
          <cell r="B2886" t="str">
            <v>NTPC LTD</v>
          </cell>
          <cell r="C2886">
            <v>532555</v>
          </cell>
          <cell r="D2886" t="str">
            <v>NTPC</v>
          </cell>
          <cell r="E2886" t="str">
            <v>Electric Utilities</v>
          </cell>
        </row>
        <row r="2887">
          <cell r="B2887" t="str">
            <v>NU TEK (INDIA) LTD</v>
          </cell>
          <cell r="C2887">
            <v>533015</v>
          </cell>
          <cell r="D2887" t="str">
            <v>NUTEK</v>
          </cell>
          <cell r="E2887" t="str">
            <v>Other Telecom Services</v>
          </cell>
        </row>
        <row r="2888">
          <cell r="B2888" t="str">
            <v>NU TEK INDIA LTD</v>
          </cell>
          <cell r="C2888">
            <v>533015</v>
          </cell>
          <cell r="D2888" t="str">
            <v>NUTEK</v>
          </cell>
          <cell r="E2888" t="str">
            <v>Other Telecom Services</v>
          </cell>
        </row>
        <row r="2889">
          <cell r="B2889" t="str">
            <v>NUCLEUS SOFTWARE EXPORTS LTD</v>
          </cell>
          <cell r="C2889">
            <v>531209</v>
          </cell>
          <cell r="D2889" t="str">
            <v>NUCLEUS</v>
          </cell>
          <cell r="E2889" t="str">
            <v>IT Software Products</v>
          </cell>
        </row>
        <row r="2890">
          <cell r="B2890" t="str">
            <v>NUTECH GLOBAL LTD</v>
          </cell>
          <cell r="C2890">
            <v>531304</v>
          </cell>
          <cell r="D2890" t="str">
            <v>Not Listed</v>
          </cell>
          <cell r="E2890" t="str">
            <v>Textiles</v>
          </cell>
        </row>
        <row r="2891">
          <cell r="B2891" t="str">
            <v>NUTRAPLUS (INDIA) LTD</v>
          </cell>
          <cell r="C2891">
            <v>524764</v>
          </cell>
          <cell r="D2891" t="str">
            <v>Not Listed</v>
          </cell>
          <cell r="E2891" t="str">
            <v>Commodity Chemicals</v>
          </cell>
        </row>
        <row r="2892">
          <cell r="B2892" t="str">
            <v>NUTRAPLUS INDIA LTD</v>
          </cell>
          <cell r="C2892">
            <v>524764</v>
          </cell>
          <cell r="D2892" t="str">
            <v>Not Listed</v>
          </cell>
          <cell r="E2892" t="str">
            <v>Commodity Chemicals</v>
          </cell>
        </row>
        <row r="2893">
          <cell r="B2893" t="str">
            <v>NUTRICIRCLE LTD</v>
          </cell>
          <cell r="C2893">
            <v>530219</v>
          </cell>
          <cell r="D2893" t="str">
            <v>Not Listed</v>
          </cell>
          <cell r="E2893" t="str">
            <v>Other Apparels &amp; Accessories</v>
          </cell>
        </row>
        <row r="2894">
          <cell r="B2894" t="str">
            <v>NUWAY ORGANIC NATURALS (INDIA) LTD</v>
          </cell>
          <cell r="C2894">
            <v>531819</v>
          </cell>
          <cell r="D2894" t="str">
            <v>Not Listed</v>
          </cell>
          <cell r="E2894" t="str">
            <v>Comm.Trading  &amp; Distribution</v>
          </cell>
        </row>
        <row r="2895">
          <cell r="B2895" t="str">
            <v>NUWAY ORGANIC NATURALS INDIA LTD</v>
          </cell>
          <cell r="C2895">
            <v>531819</v>
          </cell>
          <cell r="D2895" t="str">
            <v>Not Listed</v>
          </cell>
          <cell r="E2895" t="str">
            <v>Comm.Trading  &amp; Distribution</v>
          </cell>
        </row>
        <row r="2896">
          <cell r="B2896" t="str">
            <v>NYSSA CORPORATION LTD</v>
          </cell>
          <cell r="C2896">
            <v>504378</v>
          </cell>
          <cell r="D2896" t="str">
            <v>Not Listed</v>
          </cell>
          <cell r="E2896" t="str">
            <v>Comm.Trading  &amp; Distribution</v>
          </cell>
        </row>
        <row r="2897">
          <cell r="B2897" t="str">
            <v>O  P  CHAINS LTD</v>
          </cell>
          <cell r="C2897">
            <v>539116</v>
          </cell>
          <cell r="D2897" t="str">
            <v>Not Listed</v>
          </cell>
          <cell r="E2897" t="str">
            <v>Comm.Trading  &amp; Distribution</v>
          </cell>
        </row>
        <row r="2898">
          <cell r="B2898" t="str">
            <v>OASIS SECURITIES LTD</v>
          </cell>
          <cell r="C2898">
            <v>512489</v>
          </cell>
          <cell r="D2898" t="str">
            <v>Not Listed</v>
          </cell>
          <cell r="E2898" t="str">
            <v>Finance (including NBFCs)</v>
          </cell>
        </row>
        <row r="2899">
          <cell r="B2899" t="str">
            <v>OASIS TRADELINK LTD</v>
          </cell>
          <cell r="C2899">
            <v>538547</v>
          </cell>
          <cell r="D2899" t="str">
            <v>Not Listed</v>
          </cell>
          <cell r="E2899" t="str">
            <v>Edible Oils</v>
          </cell>
        </row>
        <row r="2900">
          <cell r="B2900" t="str">
            <v>OBEROI REALTY LTD</v>
          </cell>
          <cell r="C2900">
            <v>533273</v>
          </cell>
          <cell r="D2900" t="str">
            <v>OBEROIRLTY</v>
          </cell>
          <cell r="E2900" t="str">
            <v>Realty</v>
          </cell>
        </row>
        <row r="2901">
          <cell r="B2901" t="str">
            <v>OBJECTONE INFORMATION SYSTEMS LTD</v>
          </cell>
          <cell r="C2901">
            <v>535657</v>
          </cell>
          <cell r="D2901" t="str">
            <v>Not Listed</v>
          </cell>
          <cell r="E2901" t="str">
            <v>IT Consulting &amp; Software</v>
          </cell>
        </row>
        <row r="2902">
          <cell r="B2902" t="str">
            <v>OCEAN AGRO (INDIA) LTD</v>
          </cell>
          <cell r="C2902">
            <v>519491</v>
          </cell>
          <cell r="D2902" t="str">
            <v>Not Listed</v>
          </cell>
          <cell r="E2902" t="str">
            <v>Containers &amp; Packaging</v>
          </cell>
        </row>
        <row r="2903">
          <cell r="B2903" t="str">
            <v>OCEAN AGRO INDIA LTD</v>
          </cell>
          <cell r="C2903">
            <v>519491</v>
          </cell>
          <cell r="D2903" t="str">
            <v>Not Listed</v>
          </cell>
          <cell r="E2903" t="str">
            <v>Containers &amp; Packaging</v>
          </cell>
        </row>
        <row r="2904">
          <cell r="B2904" t="str">
            <v>OCEANAA BIOTEK INDUSTRIES LTD</v>
          </cell>
          <cell r="C2904">
            <v>538019</v>
          </cell>
          <cell r="D2904" t="str">
            <v>Not Listed</v>
          </cell>
          <cell r="E2904" t="str">
            <v>Other Food Products</v>
          </cell>
        </row>
        <row r="2905">
          <cell r="B2905" t="str">
            <v>OCEANIC FOODS LTD</v>
          </cell>
          <cell r="C2905">
            <v>540405</v>
          </cell>
          <cell r="D2905" t="str">
            <v>Not Listed</v>
          </cell>
          <cell r="E2905" t="str">
            <v>Other Food Products</v>
          </cell>
        </row>
        <row r="2906">
          <cell r="B2906" t="str">
            <v>OCL IRON AND STEEL LTD</v>
          </cell>
          <cell r="C2906">
            <v>533008</v>
          </cell>
          <cell r="D2906" t="str">
            <v>OISL</v>
          </cell>
          <cell r="E2906" t="str">
            <v>Iron &amp; Steel/Interm.Products</v>
          </cell>
        </row>
        <row r="2907">
          <cell r="B2907" t="str">
            <v>OCTAL CREDIT CAPITAL LTD</v>
          </cell>
          <cell r="C2907">
            <v>538894</v>
          </cell>
          <cell r="D2907" t="str">
            <v>Not Listed</v>
          </cell>
          <cell r="E2907" t="str">
            <v>Other Financial Services</v>
          </cell>
        </row>
        <row r="2908">
          <cell r="B2908" t="str">
            <v>OCTAWARE TECHNOLOGIES LTD</v>
          </cell>
          <cell r="C2908">
            <v>540416</v>
          </cell>
          <cell r="D2908" t="str">
            <v>Not Listed</v>
          </cell>
          <cell r="E2908" t="str">
            <v>Internet Software &amp; Services</v>
          </cell>
        </row>
        <row r="2909">
          <cell r="B2909" t="str">
            <v>ODYSSEY CORPORATION LTD</v>
          </cell>
          <cell r="C2909">
            <v>531996</v>
          </cell>
          <cell r="D2909" t="str">
            <v>Not Listed</v>
          </cell>
          <cell r="E2909" t="str">
            <v>Finance (including NBFCs)</v>
          </cell>
        </row>
        <row r="2910">
          <cell r="B2910" t="str">
            <v>ODYSSEY TECHNOLOGIES LTD</v>
          </cell>
          <cell r="C2910">
            <v>530175</v>
          </cell>
          <cell r="D2910" t="str">
            <v>Not Listed</v>
          </cell>
          <cell r="E2910" t="str">
            <v>IT Software Products</v>
          </cell>
        </row>
        <row r="2911">
          <cell r="B2911" t="str">
            <v>OFS TECHNOLOGIES LTD</v>
          </cell>
          <cell r="C2911">
            <v>539570</v>
          </cell>
          <cell r="D2911" t="str">
            <v>Not Listed</v>
          </cell>
          <cell r="E2911" t="str">
            <v>IT Consulting &amp; Software</v>
          </cell>
        </row>
        <row r="2912">
          <cell r="B2912" t="str">
            <v>OIL &amp; NATURAL GAS CORPORATION LTD</v>
          </cell>
          <cell r="C2912">
            <v>500312</v>
          </cell>
          <cell r="D2912" t="str">
            <v>ONGC</v>
          </cell>
          <cell r="E2912" t="str">
            <v>Exploration &amp; Production</v>
          </cell>
        </row>
        <row r="2913">
          <cell r="B2913" t="str">
            <v>OIL (INDIA) LTD</v>
          </cell>
          <cell r="C2913">
            <v>533106</v>
          </cell>
          <cell r="D2913" t="str">
            <v>OIL</v>
          </cell>
          <cell r="E2913" t="str">
            <v>Exploration &amp; Production</v>
          </cell>
        </row>
        <row r="2914">
          <cell r="B2914" t="str">
            <v>OIL COUNTRY TUBULAR LTD</v>
          </cell>
          <cell r="C2914">
            <v>500313</v>
          </cell>
          <cell r="D2914" t="str">
            <v>OILCOUNTUB</v>
          </cell>
          <cell r="E2914" t="str">
            <v>Oil Equipment &amp; Services</v>
          </cell>
        </row>
        <row r="2915">
          <cell r="B2915" t="str">
            <v>OIL INDIA LTD</v>
          </cell>
          <cell r="C2915">
            <v>533106</v>
          </cell>
          <cell r="D2915" t="str">
            <v>OIL</v>
          </cell>
          <cell r="E2915" t="str">
            <v>Exploration &amp; Production</v>
          </cell>
        </row>
        <row r="2916">
          <cell r="B2916" t="str">
            <v>OK PLAY (INDIA) LTD</v>
          </cell>
          <cell r="C2916">
            <v>526415</v>
          </cell>
          <cell r="D2916" t="str">
            <v>Not Listed</v>
          </cell>
          <cell r="E2916" t="str">
            <v xml:space="preserve">Gift Articles-Toys &amp; Cards </v>
          </cell>
        </row>
        <row r="2917">
          <cell r="B2917" t="str">
            <v>OK PLAY INDIA LTD</v>
          </cell>
          <cell r="C2917">
            <v>526415</v>
          </cell>
          <cell r="D2917" t="str">
            <v>Not Listed</v>
          </cell>
          <cell r="E2917" t="str">
            <v xml:space="preserve">Gift Articles-Toys &amp; Cards </v>
          </cell>
        </row>
        <row r="2918">
          <cell r="B2918" t="str">
            <v>OLECTRA GREENTECH LTD</v>
          </cell>
          <cell r="C2918">
            <v>532439</v>
          </cell>
          <cell r="D2918" t="str">
            <v>OLECTRA</v>
          </cell>
          <cell r="E2918" t="str">
            <v>Industrial Machinery</v>
          </cell>
        </row>
        <row r="2919">
          <cell r="B2919" t="str">
            <v>OLYMPIA INDUSTRIES LTD</v>
          </cell>
          <cell r="C2919">
            <v>521105</v>
          </cell>
          <cell r="D2919" t="str">
            <v>Not Listed</v>
          </cell>
          <cell r="E2919" t="str">
            <v>Internet &amp; Catalogue Retail</v>
          </cell>
        </row>
        <row r="2920">
          <cell r="B2920" t="str">
            <v>OLYMPIC CARDS LTD</v>
          </cell>
          <cell r="C2920">
            <v>534190</v>
          </cell>
          <cell r="D2920" t="str">
            <v>Not Listed</v>
          </cell>
          <cell r="E2920" t="str">
            <v xml:space="preserve">Gift Articles-Toys &amp; Cards </v>
          </cell>
        </row>
        <row r="2921">
          <cell r="B2921" t="str">
            <v>OLYMPIC OIL INDUSTRIES LTD</v>
          </cell>
          <cell r="C2921">
            <v>507609</v>
          </cell>
          <cell r="D2921" t="str">
            <v>Not Listed</v>
          </cell>
          <cell r="E2921" t="str">
            <v>Other Agricultural Products</v>
          </cell>
        </row>
        <row r="2922">
          <cell r="B2922" t="str">
            <v>OM METALS INFRAPROJECTS LTD</v>
          </cell>
          <cell r="C2922">
            <v>531092</v>
          </cell>
          <cell r="D2922" t="str">
            <v>OMMETALS</v>
          </cell>
          <cell r="E2922" t="str">
            <v>Construction &amp; Engineering</v>
          </cell>
        </row>
        <row r="2923">
          <cell r="B2923" t="str">
            <v>OMANSH ENTERPRISES LTD</v>
          </cell>
          <cell r="C2923">
            <v>538537</v>
          </cell>
          <cell r="D2923" t="str">
            <v>Not Listed</v>
          </cell>
          <cell r="E2923" t="str">
            <v>Comm.Trading  &amp; Distribution</v>
          </cell>
        </row>
        <row r="2924">
          <cell r="B2924" t="str">
            <v>OMAX AUTOS LTD</v>
          </cell>
          <cell r="C2924">
            <v>520021</v>
          </cell>
          <cell r="D2924" t="str">
            <v>OMAXAUTO</v>
          </cell>
          <cell r="E2924" t="str">
            <v>Auto Parts &amp; Equipment</v>
          </cell>
        </row>
        <row r="2925">
          <cell r="B2925" t="str">
            <v>OMAXE LTD</v>
          </cell>
          <cell r="C2925">
            <v>532880</v>
          </cell>
          <cell r="D2925" t="str">
            <v>OMAXE</v>
          </cell>
          <cell r="E2925" t="str">
            <v>Realty</v>
          </cell>
        </row>
        <row r="2926">
          <cell r="B2926" t="str">
            <v>OMFURN (INDIA) LTD</v>
          </cell>
          <cell r="C2926" t="str">
            <v>Not Listed</v>
          </cell>
          <cell r="D2926" t="str">
            <v>OMFURN</v>
          </cell>
          <cell r="E2926" t="str">
            <v>SME</v>
          </cell>
        </row>
        <row r="2927">
          <cell r="B2927" t="str">
            <v>OMFURN INDIA LTD</v>
          </cell>
          <cell r="C2927" t="str">
            <v>Not Listed</v>
          </cell>
          <cell r="D2927" t="str">
            <v>OMFURN</v>
          </cell>
          <cell r="E2927" t="str">
            <v>SME</v>
          </cell>
        </row>
        <row r="2928">
          <cell r="B2928" t="str">
            <v>OMKAR OVERSEAS LTD</v>
          </cell>
          <cell r="C2928">
            <v>531496</v>
          </cell>
          <cell r="D2928" t="str">
            <v>Not Listed</v>
          </cell>
          <cell r="E2928" t="str">
            <v>Textiles</v>
          </cell>
        </row>
        <row r="2929">
          <cell r="B2929" t="str">
            <v>OMKAR PHARMACHEM LTD</v>
          </cell>
          <cell r="C2929">
            <v>532167</v>
          </cell>
          <cell r="D2929" t="str">
            <v>Not Listed</v>
          </cell>
          <cell r="E2929" t="str">
            <v>Commodity Chemicals</v>
          </cell>
        </row>
        <row r="2930">
          <cell r="B2930" t="str">
            <v>OMKAR SPECIALITY CHEMICALS LTD</v>
          </cell>
          <cell r="C2930">
            <v>533317</v>
          </cell>
          <cell r="D2930" t="str">
            <v>OMKARCHEM</v>
          </cell>
          <cell r="E2930" t="str">
            <v>Specialty Chemicals</v>
          </cell>
        </row>
        <row r="2931">
          <cell r="B2931" t="str">
            <v>OMNI AXS SOFTWARE LTD</v>
          </cell>
          <cell r="C2931">
            <v>532340</v>
          </cell>
          <cell r="D2931" t="str">
            <v>Not Listed</v>
          </cell>
          <cell r="E2931" t="str">
            <v>IT Software Products</v>
          </cell>
        </row>
        <row r="2932">
          <cell r="B2932" t="str">
            <v>OMNITEX INDUSTRIES (INDIA) LTD</v>
          </cell>
          <cell r="C2932">
            <v>514324</v>
          </cell>
          <cell r="D2932" t="str">
            <v>Not Listed</v>
          </cell>
          <cell r="E2932" t="str">
            <v>Textiles</v>
          </cell>
        </row>
        <row r="2933">
          <cell r="B2933" t="str">
            <v>OMNITEX INDUSTRIES INDIA LTD</v>
          </cell>
          <cell r="C2933">
            <v>514324</v>
          </cell>
          <cell r="D2933" t="str">
            <v>Not Listed</v>
          </cell>
          <cell r="E2933" t="str">
            <v>Textiles</v>
          </cell>
        </row>
        <row r="2934">
          <cell r="B2934" t="str">
            <v>ONE POINT ONE SOLUTIONS LTD</v>
          </cell>
          <cell r="C2934" t="str">
            <v>Not Listed</v>
          </cell>
          <cell r="D2934" t="str">
            <v>ONEPOINT</v>
          </cell>
          <cell r="E2934" t="str">
            <v>SME</v>
          </cell>
        </row>
        <row r="2935">
          <cell r="B2935" t="str">
            <v>ONELIFE CAPITAL ADVISORS LTD</v>
          </cell>
          <cell r="C2935">
            <v>533632</v>
          </cell>
          <cell r="D2935" t="str">
            <v>ONELIFECAP</v>
          </cell>
          <cell r="E2935" t="str">
            <v>Investment Companies</v>
          </cell>
        </row>
        <row r="2936">
          <cell r="B2936" t="str">
            <v>ONESOURCE IDEAS VENTURE LTD</v>
          </cell>
          <cell r="C2936">
            <v>530805</v>
          </cell>
          <cell r="D2936" t="str">
            <v>Not Listed</v>
          </cell>
          <cell r="E2936" t="str">
            <v>Consulting Services</v>
          </cell>
        </row>
        <row r="2937">
          <cell r="B2937" t="str">
            <v>ONESOURCE TECHMEDIA LTD</v>
          </cell>
          <cell r="C2937">
            <v>535647</v>
          </cell>
          <cell r="D2937" t="str">
            <v>Not Listed</v>
          </cell>
          <cell r="E2937" t="str">
            <v>Movies &amp; Entertainment</v>
          </cell>
        </row>
        <row r="2938">
          <cell r="B2938" t="str">
            <v>ONMOBILE GLOBAL LTD</v>
          </cell>
          <cell r="C2938">
            <v>532944</v>
          </cell>
          <cell r="D2938" t="str">
            <v>ONMOBILE</v>
          </cell>
          <cell r="E2938" t="str">
            <v>Other Telecom Services</v>
          </cell>
        </row>
        <row r="2939">
          <cell r="B2939" t="str">
            <v>ONTIC FINSERVE LTD</v>
          </cell>
          <cell r="C2939">
            <v>540386</v>
          </cell>
          <cell r="D2939" t="str">
            <v>Not Listed</v>
          </cell>
          <cell r="E2939" t="str">
            <v>Other Financial Services</v>
          </cell>
        </row>
        <row r="2940">
          <cell r="B2940" t="str">
            <v>ONWARD TECHNOLOGIES LTD</v>
          </cell>
          <cell r="C2940">
            <v>517536</v>
          </cell>
          <cell r="D2940" t="str">
            <v>ONWARDTEC</v>
          </cell>
          <cell r="E2940" t="str">
            <v>IT Consulting &amp; Software</v>
          </cell>
        </row>
        <row r="2941">
          <cell r="B2941" t="str">
            <v>OPAL LUXURY TIME PRODUCTS LTD</v>
          </cell>
          <cell r="C2941" t="str">
            <v>Not Listed</v>
          </cell>
          <cell r="D2941" t="str">
            <v>OPAL</v>
          </cell>
          <cell r="E2941" t="str">
            <v>SME</v>
          </cell>
        </row>
        <row r="2942">
          <cell r="B2942" t="str">
            <v>OPTIEMUS INFRACOM LTD</v>
          </cell>
          <cell r="C2942">
            <v>530135</v>
          </cell>
          <cell r="D2942" t="str">
            <v>OPTIEMUS</v>
          </cell>
          <cell r="E2942" t="str">
            <v>Distributors</v>
          </cell>
        </row>
        <row r="2943">
          <cell r="B2943" t="str">
            <v>OPTIMUS FINANCE LTD</v>
          </cell>
          <cell r="C2943">
            <v>531254</v>
          </cell>
          <cell r="D2943" t="str">
            <v>Not Listed</v>
          </cell>
          <cell r="E2943" t="str">
            <v>Finance (including NBFCs)</v>
          </cell>
        </row>
        <row r="2944">
          <cell r="B2944" t="str">
            <v>OPTO CIRCUITS (INDIA) LTD</v>
          </cell>
          <cell r="C2944">
            <v>532391</v>
          </cell>
          <cell r="D2944" t="str">
            <v>OPTOCIRCUI</v>
          </cell>
          <cell r="E2944" t="str">
            <v>Medical Equipment</v>
          </cell>
        </row>
        <row r="2945">
          <cell r="B2945" t="str">
            <v>OPTO CIRCUITS INDIA LTD</v>
          </cell>
          <cell r="C2945">
            <v>532391</v>
          </cell>
          <cell r="D2945" t="str">
            <v>OPTOCIRCUI</v>
          </cell>
          <cell r="E2945" t="str">
            <v>Medical Equipment</v>
          </cell>
        </row>
        <row r="2946">
          <cell r="B2946" t="str">
            <v>ORACLE CREDIT LTD</v>
          </cell>
          <cell r="C2946">
            <v>539598</v>
          </cell>
          <cell r="D2946" t="str">
            <v>Not Listed</v>
          </cell>
          <cell r="E2946" t="str">
            <v>Finance (including NBFCs)</v>
          </cell>
        </row>
        <row r="2947">
          <cell r="B2947" t="str">
            <v>ORACLE FINANCIAL SERVICES SOFTWARE LTD</v>
          </cell>
          <cell r="C2947">
            <v>532466</v>
          </cell>
          <cell r="D2947" t="str">
            <v>OFSS</v>
          </cell>
          <cell r="E2947" t="str">
            <v>IT Consulting &amp; Software</v>
          </cell>
        </row>
        <row r="2948">
          <cell r="B2948" t="str">
            <v>ORBIT EXPORTS LTD</v>
          </cell>
          <cell r="C2948">
            <v>512626</v>
          </cell>
          <cell r="D2948" t="str">
            <v>ORBTEXP</v>
          </cell>
          <cell r="E2948" t="str">
            <v>Textiles</v>
          </cell>
        </row>
        <row r="2949">
          <cell r="B2949" t="str">
            <v>ORCHID PHARMA LTD</v>
          </cell>
          <cell r="C2949">
            <v>524372</v>
          </cell>
          <cell r="D2949" t="str">
            <v>ORCHIDPHAR</v>
          </cell>
          <cell r="E2949" t="str">
            <v>Pharmaceuticals</v>
          </cell>
        </row>
        <row r="2950">
          <cell r="B2950" t="str">
            <v>ORGANIC COATINGS LTD</v>
          </cell>
          <cell r="C2950">
            <v>531157</v>
          </cell>
          <cell r="D2950" t="str">
            <v>Not Listed</v>
          </cell>
          <cell r="E2950" t="str">
            <v>Specialty Chemicals</v>
          </cell>
        </row>
        <row r="2951">
          <cell r="B2951" t="str">
            <v>ORICON ENTERPRISES LTD</v>
          </cell>
          <cell r="C2951">
            <v>513121</v>
          </cell>
          <cell r="D2951" t="str">
            <v>ORICONENT</v>
          </cell>
          <cell r="E2951" t="str">
            <v>Specialty Chemicals</v>
          </cell>
        </row>
        <row r="2952">
          <cell r="B2952" t="str">
            <v>ORIENT ABRASIVES LTD</v>
          </cell>
          <cell r="C2952">
            <v>504879</v>
          </cell>
          <cell r="D2952" t="str">
            <v>ORIENTABRA</v>
          </cell>
          <cell r="E2952" t="str">
            <v>Other Industrial Products</v>
          </cell>
        </row>
        <row r="2953">
          <cell r="B2953" t="str">
            <v>ORIENT BELL LTD</v>
          </cell>
          <cell r="C2953">
            <v>530365</v>
          </cell>
          <cell r="D2953" t="str">
            <v>ORIENTBELL</v>
          </cell>
          <cell r="E2953" t="str">
            <v>Furniture-Furnishing-Paints</v>
          </cell>
        </row>
        <row r="2954">
          <cell r="B2954" t="str">
            <v>ORIENT BEVERAGES LTD</v>
          </cell>
          <cell r="C2954">
            <v>507690</v>
          </cell>
          <cell r="D2954" t="str">
            <v>Not Listed</v>
          </cell>
          <cell r="E2954" t="str">
            <v>Non-alcoholic Beverages</v>
          </cell>
        </row>
        <row r="2955">
          <cell r="B2955" t="str">
            <v>ORIENT CEMENT LTD</v>
          </cell>
          <cell r="C2955">
            <v>535754</v>
          </cell>
          <cell r="D2955" t="str">
            <v>ORIENTCEM</v>
          </cell>
          <cell r="E2955" t="str">
            <v>Cement &amp; Cement Products</v>
          </cell>
        </row>
        <row r="2956">
          <cell r="B2956" t="str">
            <v>ORIENT ELECTRIC LTD</v>
          </cell>
          <cell r="C2956">
            <v>541301</v>
          </cell>
          <cell r="D2956" t="str">
            <v>ORIENTELEC</v>
          </cell>
          <cell r="E2956" t="str">
            <v>Consumer Electronics</v>
          </cell>
        </row>
        <row r="2957">
          <cell r="B2957" t="str">
            <v>ORIENT GREEN POWER COMPANY LTD</v>
          </cell>
          <cell r="C2957">
            <v>533263</v>
          </cell>
          <cell r="D2957" t="str">
            <v>GREENPOWER</v>
          </cell>
          <cell r="E2957" t="str">
            <v>Electric Utilities</v>
          </cell>
        </row>
        <row r="2958">
          <cell r="B2958" t="str">
            <v>ORIENT PAPER &amp; INDUSTRIES LTD</v>
          </cell>
          <cell r="C2958">
            <v>502420</v>
          </cell>
          <cell r="D2958" t="str">
            <v>ORIENTPPR</v>
          </cell>
          <cell r="E2958" t="str">
            <v>Paper &amp; Paper Products</v>
          </cell>
        </row>
        <row r="2959">
          <cell r="B2959" t="str">
            <v>ORIENT PRESS LTD</v>
          </cell>
          <cell r="C2959">
            <v>526325</v>
          </cell>
          <cell r="D2959" t="str">
            <v>ORIENTLTD</v>
          </cell>
          <cell r="E2959" t="str">
            <v>Containers &amp; Packaging</v>
          </cell>
        </row>
        <row r="2960">
          <cell r="B2960" t="str">
            <v>ORIENT REFRACTORIES LTD</v>
          </cell>
          <cell r="C2960">
            <v>534076</v>
          </cell>
          <cell r="D2960" t="str">
            <v>ORIENTREF</v>
          </cell>
          <cell r="E2960" t="str">
            <v>Other Industrial Goods</v>
          </cell>
        </row>
        <row r="2961">
          <cell r="B2961" t="str">
            <v>ORIENT TRADELINK LTD</v>
          </cell>
          <cell r="C2961">
            <v>531512</v>
          </cell>
          <cell r="D2961" t="str">
            <v>Not Listed</v>
          </cell>
          <cell r="E2961" t="str">
            <v>Movies &amp; Entertainment</v>
          </cell>
        </row>
        <row r="2962">
          <cell r="B2962" t="str">
            <v>ORIENTAL AROMATICS LTD</v>
          </cell>
          <cell r="C2962">
            <v>500078</v>
          </cell>
          <cell r="D2962" t="str">
            <v>Not Listed</v>
          </cell>
          <cell r="E2962" t="str">
            <v>Commodity Chemicals</v>
          </cell>
        </row>
        <row r="2963">
          <cell r="B2963" t="str">
            <v>ORIENTAL BANK OF COMMERCE</v>
          </cell>
          <cell r="C2963">
            <v>500315</v>
          </cell>
          <cell r="D2963" t="str">
            <v>ORIENTBANK</v>
          </cell>
          <cell r="E2963" t="str">
            <v>Banks</v>
          </cell>
        </row>
        <row r="2964">
          <cell r="B2964" t="str">
            <v>ORIENTAL CARBON &amp; CHEMICALS LTD</v>
          </cell>
          <cell r="C2964">
            <v>506579</v>
          </cell>
          <cell r="D2964" t="str">
            <v>OCCL</v>
          </cell>
          <cell r="E2964" t="str">
            <v>Commodity Chemicals</v>
          </cell>
        </row>
        <row r="2965">
          <cell r="B2965" t="str">
            <v>ORIENTAL HOTELS LTD</v>
          </cell>
          <cell r="C2965">
            <v>500314</v>
          </cell>
          <cell r="D2965" t="str">
            <v>ORIENTHOT</v>
          </cell>
          <cell r="E2965" t="str">
            <v>Hotels</v>
          </cell>
        </row>
        <row r="2966">
          <cell r="B2966" t="str">
            <v>ORIENTAL TRIMEX LTD</v>
          </cell>
          <cell r="C2966">
            <v>532817</v>
          </cell>
          <cell r="D2966" t="str">
            <v>ORIENTALTL</v>
          </cell>
          <cell r="E2966" t="str">
            <v>Construction Materials</v>
          </cell>
        </row>
        <row r="2967">
          <cell r="B2967" t="str">
            <v>ORIENTAL VENEER PRODUCTS LTD</v>
          </cell>
          <cell r="C2967">
            <v>531859</v>
          </cell>
          <cell r="D2967" t="str">
            <v>Not Listed</v>
          </cell>
          <cell r="E2967" t="str">
            <v>Other Industrial Products</v>
          </cell>
        </row>
        <row r="2968">
          <cell r="B2968" t="str">
            <v>ORISSA BENGAL CARRIER LTD</v>
          </cell>
          <cell r="C2968">
            <v>541206</v>
          </cell>
          <cell r="D2968" t="str">
            <v>Not Listed</v>
          </cell>
          <cell r="E2968" t="str">
            <v>Transportation - Logistics</v>
          </cell>
        </row>
        <row r="2969">
          <cell r="B2969" t="str">
            <v>OROSIL SMITHS (INDIA) LTD</v>
          </cell>
          <cell r="C2969">
            <v>531626</v>
          </cell>
          <cell r="D2969" t="str">
            <v>Not Listed</v>
          </cell>
          <cell r="E2969" t="str">
            <v>Other Apparels &amp; Accessories</v>
          </cell>
        </row>
        <row r="2970">
          <cell r="B2970" t="str">
            <v>OROSIL SMITHS INDIA LTD</v>
          </cell>
          <cell r="C2970">
            <v>531626</v>
          </cell>
          <cell r="D2970" t="str">
            <v>Not Listed</v>
          </cell>
          <cell r="E2970" t="str">
            <v>Other Apparels &amp; Accessories</v>
          </cell>
        </row>
        <row r="2971">
          <cell r="B2971" t="str">
            <v>ORTEL COMMUNICATIONS LTD</v>
          </cell>
          <cell r="C2971">
            <v>539015</v>
          </cell>
          <cell r="D2971" t="str">
            <v>ORTEL</v>
          </cell>
          <cell r="E2971" t="str">
            <v>Broadcasting &amp; Cable TV</v>
          </cell>
        </row>
        <row r="2972">
          <cell r="B2972" t="str">
            <v>ORTIN LABORATORIES LTD</v>
          </cell>
          <cell r="C2972">
            <v>539287</v>
          </cell>
          <cell r="D2972" t="str">
            <v>ORTINLABSS</v>
          </cell>
          <cell r="E2972" t="str">
            <v>Pharmaceuticals</v>
          </cell>
        </row>
        <row r="2973">
          <cell r="B2973" t="str">
            <v>OSCAR GLOBAL LTD</v>
          </cell>
          <cell r="C2973">
            <v>530173</v>
          </cell>
          <cell r="D2973" t="str">
            <v>Not Listed</v>
          </cell>
          <cell r="E2973" t="str">
            <v>Other Apparels &amp; Accessories</v>
          </cell>
        </row>
        <row r="2974">
          <cell r="B2974" t="str">
            <v>OSCAR INVESTMENTS LTD</v>
          </cell>
          <cell r="C2974">
            <v>501179</v>
          </cell>
          <cell r="D2974" t="str">
            <v>Not Listed</v>
          </cell>
          <cell r="E2974" t="str">
            <v>Investment Companies</v>
          </cell>
        </row>
        <row r="2975">
          <cell r="B2975" t="str">
            <v>OSEASPRE CONSULTANTS LTD</v>
          </cell>
          <cell r="C2975">
            <v>509782</v>
          </cell>
          <cell r="D2975" t="str">
            <v>Not Listed</v>
          </cell>
          <cell r="E2975" t="str">
            <v>Misc.Commercial Services</v>
          </cell>
        </row>
        <row r="2976">
          <cell r="B2976" t="str">
            <v>OSIAJEE TEXFAB LTD</v>
          </cell>
          <cell r="C2976">
            <v>540198</v>
          </cell>
          <cell r="D2976" t="str">
            <v>Not Listed</v>
          </cell>
          <cell r="E2976" t="str">
            <v>Textiles</v>
          </cell>
        </row>
        <row r="2977">
          <cell r="B2977" t="str">
            <v>OSWAL AGRO MILLS LTD</v>
          </cell>
          <cell r="C2977">
            <v>500317</v>
          </cell>
          <cell r="D2977" t="str">
            <v>OSWALAGRO</v>
          </cell>
          <cell r="E2977" t="str">
            <v>Investment Companies</v>
          </cell>
        </row>
        <row r="2978">
          <cell r="B2978" t="str">
            <v>OSWAL CHEMICALS &amp; FERTILIZERS LTD</v>
          </cell>
          <cell r="C2978">
            <v>539290</v>
          </cell>
          <cell r="D2978" t="str">
            <v>BINDALAGRO</v>
          </cell>
          <cell r="E2978" t="str">
            <v>Investment Companies</v>
          </cell>
        </row>
        <row r="2979">
          <cell r="B2979" t="str">
            <v>OSWAL LEASING LTD</v>
          </cell>
          <cell r="C2979">
            <v>509099</v>
          </cell>
          <cell r="D2979" t="str">
            <v>Not Listed</v>
          </cell>
          <cell r="E2979" t="str">
            <v>Misc.Commercial Services</v>
          </cell>
        </row>
        <row r="2980">
          <cell r="B2980" t="str">
            <v>OSWAL OVERSEAS LTD</v>
          </cell>
          <cell r="C2980">
            <v>531065</v>
          </cell>
          <cell r="D2980" t="str">
            <v>Not Listed</v>
          </cell>
          <cell r="E2980" t="str">
            <v>Sugar</v>
          </cell>
        </row>
        <row r="2981">
          <cell r="B2981" t="str">
            <v>OSWAL YARNS LTD</v>
          </cell>
          <cell r="C2981">
            <v>514460</v>
          </cell>
          <cell r="D2981" t="str">
            <v>Not Listed</v>
          </cell>
          <cell r="E2981" t="str">
            <v>Comm.Trading  &amp; Distribution</v>
          </cell>
        </row>
        <row r="2982">
          <cell r="B2982" t="str">
            <v>OTCO INTERNATIONAL LTD</v>
          </cell>
          <cell r="C2982">
            <v>523151</v>
          </cell>
          <cell r="D2982" t="str">
            <v>Not Listed</v>
          </cell>
          <cell r="E2982" t="str">
            <v>Consulting Services</v>
          </cell>
        </row>
        <row r="2983">
          <cell r="B2983" t="str">
            <v>OVERSEAS SYNTHETICS LTD</v>
          </cell>
          <cell r="C2983">
            <v>514330</v>
          </cell>
          <cell r="D2983" t="str">
            <v>Not Listed</v>
          </cell>
          <cell r="E2983" t="str">
            <v>Textiles</v>
          </cell>
        </row>
        <row r="2984">
          <cell r="B2984" t="str">
            <v>OVOBEL FOODS LTD</v>
          </cell>
          <cell r="C2984">
            <v>530741</v>
          </cell>
          <cell r="D2984" t="str">
            <v>Not Listed</v>
          </cell>
          <cell r="E2984" t="str">
            <v>Other Food Products</v>
          </cell>
        </row>
        <row r="2985">
          <cell r="B2985" t="str">
            <v>OZONE WORLD LTD</v>
          </cell>
          <cell r="C2985">
            <v>539291</v>
          </cell>
          <cell r="D2985" t="str">
            <v>Not Listed</v>
          </cell>
          <cell r="E2985" t="str">
            <v>Other Agricultural Products</v>
          </cell>
        </row>
        <row r="2986">
          <cell r="B2986" t="str">
            <v>P  B  FILMS LTD</v>
          </cell>
          <cell r="C2986">
            <v>539352</v>
          </cell>
          <cell r="D2986" t="str">
            <v>Not Listed</v>
          </cell>
          <cell r="E2986" t="str">
            <v>Movies &amp; Entertainment</v>
          </cell>
        </row>
        <row r="2987">
          <cell r="B2987" t="str">
            <v>P M TELELINNKS LTD</v>
          </cell>
          <cell r="C2987">
            <v>513403</v>
          </cell>
          <cell r="D2987" t="str">
            <v>Not Listed</v>
          </cell>
          <cell r="E2987" t="str">
            <v>Iron &amp; Steel/Interm.Products</v>
          </cell>
        </row>
        <row r="2988">
          <cell r="B2988" t="str">
            <v>PACHELI INDUSTRIAL FINANCE LTD</v>
          </cell>
          <cell r="C2988">
            <v>523862</v>
          </cell>
          <cell r="D2988" t="str">
            <v>Not Listed</v>
          </cell>
          <cell r="E2988" t="str">
            <v>Finance (including NBFCs)</v>
          </cell>
        </row>
        <row r="2989">
          <cell r="B2989" t="str">
            <v>PACIFIC INDUSTRIES LTD</v>
          </cell>
          <cell r="C2989">
            <v>523483</v>
          </cell>
          <cell r="D2989" t="str">
            <v>Not Listed</v>
          </cell>
          <cell r="E2989" t="str">
            <v>Construction Materials</v>
          </cell>
        </row>
        <row r="2990">
          <cell r="B2990" t="str">
            <v>PACT INDUSTRIES LTD</v>
          </cell>
          <cell r="C2990">
            <v>538963</v>
          </cell>
          <cell r="D2990" t="str">
            <v>Not Listed</v>
          </cell>
          <cell r="E2990" t="str">
            <v>Iron &amp; Steel Products</v>
          </cell>
        </row>
        <row r="2991">
          <cell r="B2991" t="str">
            <v>PADAM COTTON YARNS LTD</v>
          </cell>
          <cell r="C2991">
            <v>531395</v>
          </cell>
          <cell r="D2991" t="str">
            <v>Not Listed</v>
          </cell>
          <cell r="E2991" t="str">
            <v>Textiles</v>
          </cell>
        </row>
        <row r="2992">
          <cell r="B2992" t="str">
            <v>PADMALAYA TELEFILMS LTD</v>
          </cell>
          <cell r="C2992">
            <v>532350</v>
          </cell>
          <cell r="D2992" t="str">
            <v>Not Listed</v>
          </cell>
          <cell r="E2992" t="str">
            <v>Movies &amp; Entertainment</v>
          </cell>
        </row>
        <row r="2993">
          <cell r="B2993" t="str">
            <v>PADMANABH INDUSTRIES LTD</v>
          </cell>
          <cell r="C2993">
            <v>526905</v>
          </cell>
          <cell r="D2993" t="str">
            <v>Not Listed</v>
          </cell>
          <cell r="E2993" t="str">
            <v>Commodity Chemicals</v>
          </cell>
        </row>
        <row r="2994">
          <cell r="B2994" t="str">
            <v>PAE LTD</v>
          </cell>
          <cell r="C2994">
            <v>517230</v>
          </cell>
          <cell r="D2994" t="str">
            <v>PAEL</v>
          </cell>
          <cell r="E2994" t="str">
            <v>Comm.Trading  &amp; Distribution</v>
          </cell>
        </row>
        <row r="2995">
          <cell r="B2995" t="str">
            <v>PAGE INDUSTRIES LTD</v>
          </cell>
          <cell r="C2995">
            <v>532827</v>
          </cell>
          <cell r="D2995" t="str">
            <v>PAGEIND</v>
          </cell>
          <cell r="E2995" t="str">
            <v>Other Apparels &amp; Accessories</v>
          </cell>
        </row>
        <row r="2996">
          <cell r="B2996" t="str">
            <v>PAISALO DIGITAL LTD</v>
          </cell>
          <cell r="C2996">
            <v>532900</v>
          </cell>
          <cell r="D2996" t="str">
            <v>PAISALO</v>
          </cell>
          <cell r="E2996" t="str">
            <v>Finance (including NBFCs)</v>
          </cell>
        </row>
        <row r="2997">
          <cell r="B2997" t="str">
            <v>PALASH SECURITIES LTD</v>
          </cell>
          <cell r="C2997">
            <v>540648</v>
          </cell>
          <cell r="D2997" t="str">
            <v>PALASHSECU</v>
          </cell>
          <cell r="E2997" t="str">
            <v>Investment Companies</v>
          </cell>
        </row>
        <row r="2998">
          <cell r="B2998" t="str">
            <v>PALCO METALS LTD</v>
          </cell>
          <cell r="C2998">
            <v>539121</v>
          </cell>
          <cell r="D2998" t="str">
            <v>Not Listed</v>
          </cell>
          <cell r="E2998" t="str">
            <v>Aluminium</v>
          </cell>
        </row>
        <row r="2999">
          <cell r="B2999" t="str">
            <v>PALM JEWELS LTD</v>
          </cell>
          <cell r="C2999">
            <v>541444</v>
          </cell>
          <cell r="D2999" t="str">
            <v>Not Listed</v>
          </cell>
          <cell r="E2999" t="str">
            <v>Other Apparels &amp; Accessories</v>
          </cell>
        </row>
        <row r="3000">
          <cell r="B3000" t="str">
            <v>PALRED TECHNOLOGIES LTD</v>
          </cell>
          <cell r="C3000">
            <v>532521</v>
          </cell>
          <cell r="D3000" t="str">
            <v>PALREDTEC</v>
          </cell>
          <cell r="E3000" t="str">
            <v>IT Software Products</v>
          </cell>
        </row>
        <row r="3001">
          <cell r="B3001" t="str">
            <v>PALSOFT INFOSYSTEMS LTD</v>
          </cell>
          <cell r="C3001">
            <v>511597</v>
          </cell>
          <cell r="D3001" t="str">
            <v>Not Listed</v>
          </cell>
          <cell r="E3001" t="str">
            <v>Finance (including NBFCs)</v>
          </cell>
        </row>
        <row r="3002">
          <cell r="B3002" t="str">
            <v>PAN ELECTRONICS (INDIA) LTD</v>
          </cell>
          <cell r="C3002">
            <v>517397</v>
          </cell>
          <cell r="D3002" t="str">
            <v>Not Listed</v>
          </cell>
          <cell r="E3002" t="str">
            <v>Electronic Components</v>
          </cell>
        </row>
        <row r="3003">
          <cell r="B3003" t="str">
            <v>PAN ELECTRONICS INDIA LTD</v>
          </cell>
          <cell r="C3003">
            <v>517397</v>
          </cell>
          <cell r="D3003" t="str">
            <v>Not Listed</v>
          </cell>
          <cell r="E3003" t="str">
            <v>Electronic Components</v>
          </cell>
        </row>
        <row r="3004">
          <cell r="B3004" t="str">
            <v>PAN INDIA CORPORATION LTD</v>
          </cell>
          <cell r="C3004">
            <v>511525</v>
          </cell>
          <cell r="D3004" t="str">
            <v>Not Listed</v>
          </cell>
          <cell r="E3004" t="str">
            <v>IT Software Products</v>
          </cell>
        </row>
        <row r="3005">
          <cell r="B3005" t="str">
            <v>PANACEA BIOTEC LTD</v>
          </cell>
          <cell r="C3005">
            <v>531349</v>
          </cell>
          <cell r="D3005" t="str">
            <v>PANACEABIO</v>
          </cell>
          <cell r="E3005" t="str">
            <v>Biotechnology</v>
          </cell>
        </row>
        <row r="3006">
          <cell r="B3006" t="str">
            <v>PANACHE DIGILIFE LTD</v>
          </cell>
          <cell r="C3006" t="str">
            <v>Not Listed</v>
          </cell>
          <cell r="D3006" t="str">
            <v>PANACHE</v>
          </cell>
          <cell r="E3006" t="str">
            <v>SME</v>
          </cell>
        </row>
        <row r="3007">
          <cell r="B3007" t="str">
            <v>PANACHE INNOVATIONS LTD</v>
          </cell>
          <cell r="C3007">
            <v>538742</v>
          </cell>
          <cell r="D3007" t="str">
            <v>Not Listed</v>
          </cell>
          <cell r="E3007" t="str">
            <v>Comm.Trading  &amp; Distribution</v>
          </cell>
        </row>
        <row r="3008">
          <cell r="B3008" t="str">
            <v>PANAFIC INDUSTRIALS LTD</v>
          </cell>
          <cell r="C3008">
            <v>538860</v>
          </cell>
          <cell r="D3008" t="str">
            <v>Not Listed</v>
          </cell>
          <cell r="E3008" t="str">
            <v>Finance (including NBFCs)</v>
          </cell>
        </row>
        <row r="3009">
          <cell r="B3009" t="str">
            <v>PANAMA PETROCHEM LTD</v>
          </cell>
          <cell r="C3009">
            <v>524820</v>
          </cell>
          <cell r="D3009" t="str">
            <v>PANAMAPET</v>
          </cell>
          <cell r="E3009" t="str">
            <v>Oil Marketing &amp; Distribution</v>
          </cell>
        </row>
        <row r="3010">
          <cell r="B3010" t="str">
            <v>PANASONIC CARBON INDIA CO LTD</v>
          </cell>
          <cell r="C3010">
            <v>508941</v>
          </cell>
          <cell r="D3010" t="str">
            <v>Not Listed</v>
          </cell>
          <cell r="E3010" t="str">
            <v>Other Industrial Goods</v>
          </cell>
        </row>
        <row r="3011">
          <cell r="B3011" t="str">
            <v>PANASONIC ENERGY INDIA COMPANY LTD</v>
          </cell>
          <cell r="C3011">
            <v>504093</v>
          </cell>
          <cell r="D3011" t="str">
            <v>Not Listed</v>
          </cell>
          <cell r="E3011" t="str">
            <v>Non-Durable Household Prod.</v>
          </cell>
        </row>
        <row r="3012">
          <cell r="B3012" t="str">
            <v>PANCHMAHAL STEEL LTD</v>
          </cell>
          <cell r="C3012">
            <v>513511</v>
          </cell>
          <cell r="D3012" t="str">
            <v>Not Listed</v>
          </cell>
          <cell r="E3012" t="str">
            <v>Iron &amp; Steel/Interm.Products</v>
          </cell>
        </row>
        <row r="3013">
          <cell r="B3013" t="str">
            <v>PANCHSHEEL ORGANICS LTD</v>
          </cell>
          <cell r="C3013">
            <v>531726</v>
          </cell>
          <cell r="D3013" t="str">
            <v>Not Listed</v>
          </cell>
          <cell r="E3013" t="str">
            <v>Pharmaceuticals</v>
          </cell>
        </row>
        <row r="3014">
          <cell r="B3014" t="str">
            <v>PANKAJ PIYUSH TRADE &amp; INVESTMENT LTD</v>
          </cell>
          <cell r="C3014">
            <v>506122</v>
          </cell>
          <cell r="D3014" t="str">
            <v>Not Listed</v>
          </cell>
          <cell r="E3014" t="str">
            <v>Auto Parts &amp; Equipment</v>
          </cell>
        </row>
        <row r="3015">
          <cell r="B3015" t="str">
            <v>PANKAJ POLYMERS LTD</v>
          </cell>
          <cell r="C3015">
            <v>531280</v>
          </cell>
          <cell r="D3015" t="str">
            <v>Not Listed</v>
          </cell>
          <cell r="E3015" t="str">
            <v>Containers &amp; Packaging</v>
          </cell>
        </row>
        <row r="3016">
          <cell r="B3016" t="str">
            <v>PANKAJ POLYPACK LTD</v>
          </cell>
          <cell r="C3016">
            <v>534796</v>
          </cell>
          <cell r="D3016" t="str">
            <v>Not Listed</v>
          </cell>
          <cell r="E3016" t="str">
            <v>Plastic Products</v>
          </cell>
        </row>
        <row r="3017">
          <cell r="B3017" t="str">
            <v>PANSARI DEVELOPERS LTD</v>
          </cell>
          <cell r="C3017" t="str">
            <v>Not Listed</v>
          </cell>
          <cell r="D3017" t="str">
            <v>PANSARI</v>
          </cell>
          <cell r="E3017" t="str">
            <v>SME</v>
          </cell>
        </row>
        <row r="3018">
          <cell r="B3018" t="str">
            <v>PANTH INFINITY LTD</v>
          </cell>
          <cell r="C3018">
            <v>539143</v>
          </cell>
          <cell r="D3018" t="str">
            <v>Not Listed</v>
          </cell>
          <cell r="E3018" t="str">
            <v>Diversified</v>
          </cell>
        </row>
        <row r="3019">
          <cell r="B3019" t="str">
            <v>PANYAM CEMENTS &amp; MINERAL INDUSTRIES LTD</v>
          </cell>
          <cell r="C3019">
            <v>500322</v>
          </cell>
          <cell r="D3019" t="str">
            <v>Not Listed</v>
          </cell>
          <cell r="E3019" t="str">
            <v>Cement &amp; Cement Products</v>
          </cell>
        </row>
        <row r="3020">
          <cell r="B3020" t="str">
            <v>Parab Infra Ltd</v>
          </cell>
          <cell r="C3020">
            <v>513359</v>
          </cell>
          <cell r="D3020" t="str">
            <v>PARINFRA</v>
          </cell>
          <cell r="E3020" t="str">
            <v>Furniture-Furnishing-Paints</v>
          </cell>
        </row>
        <row r="3021">
          <cell r="B3021" t="str">
            <v>PARABOLIC DRUGS LTD</v>
          </cell>
          <cell r="C3021">
            <v>533211</v>
          </cell>
          <cell r="D3021" t="str">
            <v>PARABDRUGS</v>
          </cell>
          <cell r="E3021" t="str">
            <v>Pharmaceuticals</v>
          </cell>
        </row>
        <row r="3022">
          <cell r="B3022" t="str">
            <v>PARAG MILK FOODS LTD</v>
          </cell>
          <cell r="C3022">
            <v>539889</v>
          </cell>
          <cell r="D3022" t="str">
            <v>PARAGMILK</v>
          </cell>
          <cell r="E3022" t="str">
            <v>Packaged Foods</v>
          </cell>
        </row>
        <row r="3023">
          <cell r="B3023" t="str">
            <v>PARAGON FINANCE LTD</v>
          </cell>
          <cell r="C3023">
            <v>531255</v>
          </cell>
          <cell r="D3023" t="str">
            <v>Not Listed</v>
          </cell>
          <cell r="E3023" t="str">
            <v>Finance (including NBFCs)</v>
          </cell>
        </row>
        <row r="3024">
          <cell r="B3024" t="str">
            <v>PARAMOUNT COMMUNICATIONS LTD</v>
          </cell>
          <cell r="C3024">
            <v>530555</v>
          </cell>
          <cell r="D3024" t="str">
            <v>PARACABLES</v>
          </cell>
          <cell r="E3024" t="str">
            <v>Other Elect.Equip./ Prod.</v>
          </cell>
        </row>
        <row r="3025">
          <cell r="B3025" t="str">
            <v>PARAMOUNT COSMETICS (INDIA) LTD</v>
          </cell>
          <cell r="C3025">
            <v>507970</v>
          </cell>
          <cell r="D3025" t="str">
            <v>Not Listed</v>
          </cell>
          <cell r="E3025" t="str">
            <v>Personal Products</v>
          </cell>
        </row>
        <row r="3026">
          <cell r="B3026" t="str">
            <v>PARAMOUNT COSMETICS INDIA LTD</v>
          </cell>
          <cell r="C3026">
            <v>507970</v>
          </cell>
          <cell r="D3026" t="str">
            <v>Not Listed</v>
          </cell>
          <cell r="E3026" t="str">
            <v>Personal Products</v>
          </cell>
        </row>
        <row r="3027">
          <cell r="B3027" t="str">
            <v>PARENTERAL DRUGS (INDIA) LTD</v>
          </cell>
          <cell r="C3027">
            <v>524689</v>
          </cell>
          <cell r="D3027" t="str">
            <v>PDPL</v>
          </cell>
          <cell r="E3027" t="str">
            <v>Pharmaceuticals</v>
          </cell>
        </row>
        <row r="3028">
          <cell r="B3028" t="str">
            <v>PARENTERAL DRUGS INDIA LTD</v>
          </cell>
          <cell r="C3028">
            <v>524689</v>
          </cell>
          <cell r="D3028" t="str">
            <v>PDPL</v>
          </cell>
          <cell r="E3028" t="str">
            <v>Pharmaceuticals</v>
          </cell>
        </row>
        <row r="3029">
          <cell r="B3029" t="str">
            <v>PARIKSHA FIN- INVEST- LEASE LTD</v>
          </cell>
          <cell r="C3029">
            <v>539481</v>
          </cell>
          <cell r="D3029" t="str">
            <v>Not Listed</v>
          </cell>
          <cell r="E3029" t="str">
            <v>Finance (including NBFCs)</v>
          </cell>
        </row>
        <row r="3030">
          <cell r="B3030" t="str">
            <v>PARIN FURNITURE LTD</v>
          </cell>
          <cell r="C3030" t="str">
            <v>Not Listed</v>
          </cell>
          <cell r="D3030" t="str">
            <v>PARIN</v>
          </cell>
          <cell r="E3030" t="str">
            <v>SME</v>
          </cell>
        </row>
        <row r="3031">
          <cell r="B3031" t="str">
            <v>PARKER AGROCHEM EXPORTS LTD</v>
          </cell>
          <cell r="C3031">
            <v>524628</v>
          </cell>
          <cell r="D3031" t="str">
            <v>Not Listed</v>
          </cell>
          <cell r="E3031" t="str">
            <v>Comm.Trading  &amp; Distribution</v>
          </cell>
        </row>
        <row r="3032">
          <cell r="B3032" t="str">
            <v>PARLE SOFTWARE LTD</v>
          </cell>
          <cell r="C3032">
            <v>532911</v>
          </cell>
          <cell r="D3032" t="str">
            <v>Not Listed</v>
          </cell>
          <cell r="E3032" t="str">
            <v>Realty</v>
          </cell>
        </row>
        <row r="3033">
          <cell r="B3033" t="str">
            <v>PARMAX PHARMA LTD</v>
          </cell>
          <cell r="C3033">
            <v>540359</v>
          </cell>
          <cell r="D3033" t="str">
            <v>Not Listed</v>
          </cell>
          <cell r="E3033" t="str">
            <v>Pharmaceuticals</v>
          </cell>
        </row>
        <row r="3034">
          <cell r="B3034" t="str">
            <v>PARMESHWARI SILK MILLS LTD</v>
          </cell>
          <cell r="C3034">
            <v>540467</v>
          </cell>
          <cell r="D3034" t="str">
            <v>Not Listed</v>
          </cell>
          <cell r="E3034" t="str">
            <v>Other Apparels &amp; Accessories</v>
          </cell>
        </row>
        <row r="3035">
          <cell r="B3035" t="str">
            <v>PARNAV SPORTS ACADEMY LTD</v>
          </cell>
          <cell r="C3035">
            <v>780017</v>
          </cell>
          <cell r="D3035" t="str">
            <v>Not Listed</v>
          </cell>
          <cell r="E3035" t="str">
            <v>Others</v>
          </cell>
        </row>
        <row r="3036">
          <cell r="B3036" t="str">
            <v>PARNAX LAB LTD</v>
          </cell>
          <cell r="C3036">
            <v>506128</v>
          </cell>
          <cell r="D3036" t="str">
            <v>Not Listed</v>
          </cell>
          <cell r="E3036" t="str">
            <v>Pharmaceuticals</v>
          </cell>
        </row>
        <row r="3037">
          <cell r="B3037" t="str">
            <v>PARSHARTI INVESTMENT LTD</v>
          </cell>
          <cell r="C3037">
            <v>511702</v>
          </cell>
          <cell r="D3037" t="str">
            <v>Not Listed</v>
          </cell>
          <cell r="E3037" t="str">
            <v>Finance (including NBFCs)</v>
          </cell>
        </row>
        <row r="3038">
          <cell r="B3038" t="str">
            <v>PARSHWANATH CORPORATION LTD</v>
          </cell>
          <cell r="C3038">
            <v>511176</v>
          </cell>
          <cell r="D3038" t="str">
            <v>Not Listed</v>
          </cell>
          <cell r="E3038" t="str">
            <v>Realty</v>
          </cell>
        </row>
        <row r="3039">
          <cell r="B3039" t="str">
            <v>PARSVNATH DEVELOPERS LTD</v>
          </cell>
          <cell r="C3039">
            <v>532780</v>
          </cell>
          <cell r="D3039" t="str">
            <v>PARSVNATH</v>
          </cell>
          <cell r="E3039" t="str">
            <v>Realty</v>
          </cell>
        </row>
        <row r="3040">
          <cell r="B3040" t="str">
            <v>PARTH INDUSTRIES LTD</v>
          </cell>
          <cell r="C3040">
            <v>526349</v>
          </cell>
          <cell r="D3040" t="str">
            <v>Not Listed</v>
          </cell>
          <cell r="E3040" t="str">
            <v>Auto Parts &amp; Equipment</v>
          </cell>
        </row>
        <row r="3041">
          <cell r="B3041" t="str">
            <v>PARVATI SWEETNERS AND POWER LTD</v>
          </cell>
          <cell r="C3041">
            <v>541347</v>
          </cell>
          <cell r="D3041" t="str">
            <v>Not Listed</v>
          </cell>
          <cell r="E3041" t="str">
            <v>Sugar</v>
          </cell>
        </row>
        <row r="3042">
          <cell r="B3042" t="str">
            <v>PASARI SPINNING MILLS LTD</v>
          </cell>
          <cell r="C3042">
            <v>521080</v>
          </cell>
          <cell r="D3042" t="str">
            <v>Not Listed</v>
          </cell>
          <cell r="E3042" t="str">
            <v>Textiles</v>
          </cell>
        </row>
        <row r="3043">
          <cell r="B3043" t="str">
            <v>PASHUPATI COTSPIN LTD</v>
          </cell>
          <cell r="C3043" t="str">
            <v>Not Listed</v>
          </cell>
          <cell r="D3043" t="str">
            <v>PASHUPATI</v>
          </cell>
          <cell r="E3043" t="str">
            <v>SME</v>
          </cell>
        </row>
        <row r="3044">
          <cell r="B3044" t="str">
            <v>PASUPATI ACRYLON LTD</v>
          </cell>
          <cell r="C3044">
            <v>500456</v>
          </cell>
          <cell r="D3044" t="str">
            <v>Not Listed</v>
          </cell>
          <cell r="E3044" t="str">
            <v>Fibres &amp; Plastics</v>
          </cell>
        </row>
        <row r="3045">
          <cell r="B3045" t="str">
            <v>PASUPATI FINCAP LTD</v>
          </cell>
          <cell r="C3045">
            <v>511734</v>
          </cell>
          <cell r="D3045" t="str">
            <v>Not Listed</v>
          </cell>
          <cell r="E3045" t="str">
            <v>Finance (including NBFCs)</v>
          </cell>
        </row>
        <row r="3046">
          <cell r="B3046" t="str">
            <v>PASUPATI SPG &amp; WVG MILLS LTD</v>
          </cell>
          <cell r="C3046">
            <v>503092</v>
          </cell>
          <cell r="D3046" t="str">
            <v>Not Listed</v>
          </cell>
          <cell r="E3046" t="str">
            <v>Textiles</v>
          </cell>
        </row>
        <row r="3047">
          <cell r="B3047" t="str">
            <v>PATDIAM JEWELLERY LTD</v>
          </cell>
          <cell r="C3047">
            <v>539401</v>
          </cell>
          <cell r="D3047" t="str">
            <v>Not Listed</v>
          </cell>
          <cell r="E3047" t="str">
            <v>Other Apparels &amp; Accessories</v>
          </cell>
        </row>
        <row r="3048">
          <cell r="B3048" t="str">
            <v>PATEL ENGINEERING LTD</v>
          </cell>
          <cell r="C3048">
            <v>531120</v>
          </cell>
          <cell r="D3048" t="str">
            <v>PATELENG</v>
          </cell>
          <cell r="E3048" t="str">
            <v>Construction &amp; Engineering</v>
          </cell>
        </row>
        <row r="3049">
          <cell r="B3049" t="str">
            <v>PATEL INTEGRATED LOGISTICS LTD</v>
          </cell>
          <cell r="C3049">
            <v>526381</v>
          </cell>
          <cell r="D3049" t="str">
            <v>PATINTLOG</v>
          </cell>
          <cell r="E3049" t="str">
            <v>Surface Transportation</v>
          </cell>
        </row>
        <row r="3050">
          <cell r="B3050" t="str">
            <v>PATELS AIRTEMP (INDIA) LTD</v>
          </cell>
          <cell r="C3050">
            <v>517417</v>
          </cell>
          <cell r="D3050" t="str">
            <v>Not Listed</v>
          </cell>
          <cell r="E3050" t="str">
            <v>Industrial Machinery</v>
          </cell>
        </row>
        <row r="3051">
          <cell r="B3051" t="str">
            <v>PATELS AIRTEMP INDIA LTD</v>
          </cell>
          <cell r="C3051">
            <v>517417</v>
          </cell>
          <cell r="D3051" t="str">
            <v>Not Listed</v>
          </cell>
          <cell r="E3051" t="str">
            <v>Industrial Machinery</v>
          </cell>
        </row>
        <row r="3052">
          <cell r="B3052" t="str">
            <v>PATIDAR BUILDCON LTD</v>
          </cell>
          <cell r="C3052">
            <v>524031</v>
          </cell>
          <cell r="D3052" t="str">
            <v>Not Listed</v>
          </cell>
          <cell r="E3052" t="str">
            <v>Realty</v>
          </cell>
        </row>
        <row r="3053">
          <cell r="B3053" t="str">
            <v>PATSPIN (INDIA) LTD</v>
          </cell>
          <cell r="C3053">
            <v>514326</v>
          </cell>
          <cell r="D3053" t="str">
            <v>PATSPINLTD</v>
          </cell>
          <cell r="E3053" t="str">
            <v>Textiles</v>
          </cell>
        </row>
        <row r="3054">
          <cell r="B3054" t="str">
            <v>PATSPIN INDIA LTD</v>
          </cell>
          <cell r="C3054">
            <v>514326</v>
          </cell>
          <cell r="D3054" t="str">
            <v>PATSPINLTD</v>
          </cell>
          <cell r="E3054" t="str">
            <v>Textiles</v>
          </cell>
        </row>
        <row r="3055">
          <cell r="B3055" t="str">
            <v>PAUL MERCHANTS LTD</v>
          </cell>
          <cell r="C3055">
            <v>539113</v>
          </cell>
          <cell r="D3055" t="str">
            <v>Not Listed</v>
          </cell>
          <cell r="E3055" t="str">
            <v>Finance (including NBFCs)</v>
          </cell>
        </row>
        <row r="3056">
          <cell r="B3056" t="str">
            <v>PAUSHAK LTD</v>
          </cell>
          <cell r="C3056">
            <v>532742</v>
          </cell>
          <cell r="D3056" t="str">
            <v>Not Listed</v>
          </cell>
          <cell r="E3056" t="str">
            <v>Specialty Chemicals</v>
          </cell>
        </row>
        <row r="3057">
          <cell r="B3057" t="str">
            <v>PAWANSUT HOLDINGS LTD</v>
          </cell>
          <cell r="C3057">
            <v>535658</v>
          </cell>
          <cell r="D3057" t="str">
            <v>Not Listed</v>
          </cell>
          <cell r="E3057" t="str">
            <v>Finance (including NBFCs)</v>
          </cell>
        </row>
        <row r="3058">
          <cell r="B3058" t="str">
            <v>PBA INFRASTRUCTURE LTD</v>
          </cell>
          <cell r="C3058">
            <v>532676</v>
          </cell>
          <cell r="D3058" t="str">
            <v>PBAINFRA</v>
          </cell>
          <cell r="E3058" t="str">
            <v>Construction &amp; Engineering</v>
          </cell>
        </row>
        <row r="3059">
          <cell r="B3059" t="str">
            <v>PBM POLYTEX LTD</v>
          </cell>
          <cell r="C3059">
            <v>514087</v>
          </cell>
          <cell r="D3059" t="str">
            <v>Not Listed</v>
          </cell>
          <cell r="E3059" t="str">
            <v>Textiles</v>
          </cell>
        </row>
        <row r="3060">
          <cell r="B3060" t="str">
            <v>PC JEWELLER LTD</v>
          </cell>
          <cell r="C3060">
            <v>534809</v>
          </cell>
          <cell r="D3060" t="str">
            <v>PCJEWELLER</v>
          </cell>
          <cell r="E3060" t="str">
            <v>Other Apparels &amp; Accessories</v>
          </cell>
        </row>
        <row r="3061">
          <cell r="B3061" t="str">
            <v>PCS TECHNOLOGY LTD</v>
          </cell>
          <cell r="C3061">
            <v>517119</v>
          </cell>
          <cell r="D3061" t="str">
            <v>Not Listed</v>
          </cell>
          <cell r="E3061" t="str">
            <v>Computer Hardware</v>
          </cell>
        </row>
        <row r="3062">
          <cell r="B3062" t="str">
            <v>PDS MULTINATIONAL FASHIONS LTD</v>
          </cell>
          <cell r="C3062">
            <v>538730</v>
          </cell>
          <cell r="D3062" t="str">
            <v>PDSMFL</v>
          </cell>
          <cell r="E3062" t="str">
            <v>Comm.Trading  &amp; Distribution</v>
          </cell>
        </row>
        <row r="3063">
          <cell r="B3063" t="str">
            <v>PEARL GLOBAL INDUSTRIES LTD</v>
          </cell>
          <cell r="C3063">
            <v>532808</v>
          </cell>
          <cell r="D3063" t="str">
            <v>PGIL</v>
          </cell>
          <cell r="E3063" t="str">
            <v>Other Apparels &amp; Accessories</v>
          </cell>
        </row>
        <row r="3064">
          <cell r="B3064" t="str">
            <v>PEARL POLYMERS LTD</v>
          </cell>
          <cell r="C3064">
            <v>523260</v>
          </cell>
          <cell r="D3064" t="str">
            <v>PEARLPOLY</v>
          </cell>
          <cell r="E3064" t="str">
            <v>Containers &amp; Packaging</v>
          </cell>
        </row>
        <row r="3065">
          <cell r="B3065" t="str">
            <v>PECOS HOTELS AND PUBS LTD</v>
          </cell>
          <cell r="C3065">
            <v>539273</v>
          </cell>
          <cell r="D3065" t="str">
            <v>Not Listed</v>
          </cell>
          <cell r="E3065" t="str">
            <v>Restaurants</v>
          </cell>
        </row>
        <row r="3066">
          <cell r="B3066" t="str">
            <v>PEE CEE COSMA SOPE LTD</v>
          </cell>
          <cell r="C3066">
            <v>524136</v>
          </cell>
          <cell r="D3066" t="str">
            <v>Not Listed</v>
          </cell>
          <cell r="E3066" t="str">
            <v>Household Products</v>
          </cell>
        </row>
        <row r="3067">
          <cell r="B3067" t="str">
            <v>PEETI SECURITIES LTD</v>
          </cell>
          <cell r="C3067">
            <v>531352</v>
          </cell>
          <cell r="D3067" t="str">
            <v>Not Listed</v>
          </cell>
          <cell r="E3067" t="str">
            <v>Textiles</v>
          </cell>
        </row>
        <row r="3068">
          <cell r="B3068" t="str">
            <v>PENINSULA LAND LTD</v>
          </cell>
          <cell r="C3068">
            <v>503031</v>
          </cell>
          <cell r="D3068" t="str">
            <v>PENINLAND</v>
          </cell>
          <cell r="E3068" t="str">
            <v>Realty</v>
          </cell>
        </row>
        <row r="3069">
          <cell r="B3069" t="str">
            <v>PENNAR ENGINEERED BUILDING SYSTEMS LTD</v>
          </cell>
          <cell r="C3069">
            <v>539333</v>
          </cell>
          <cell r="D3069" t="str">
            <v>PENPEBS</v>
          </cell>
          <cell r="E3069" t="str">
            <v>Realty</v>
          </cell>
        </row>
        <row r="3070">
          <cell r="B3070" t="str">
            <v>PENNAR INDUSTRIES LTD</v>
          </cell>
          <cell r="C3070">
            <v>513228</v>
          </cell>
          <cell r="D3070" t="str">
            <v>PENIND</v>
          </cell>
          <cell r="E3070" t="str">
            <v>Iron &amp; Steel/Interm.Products</v>
          </cell>
        </row>
        <row r="3071">
          <cell r="B3071" t="str">
            <v>PENTA GOLD LTD</v>
          </cell>
          <cell r="C3071" t="str">
            <v>Not Listed</v>
          </cell>
          <cell r="D3071" t="str">
            <v>PENTAGOLD</v>
          </cell>
          <cell r="E3071" t="str">
            <v>SME</v>
          </cell>
        </row>
        <row r="3072">
          <cell r="B3072" t="str">
            <v>PENTAMEDIA GRAPHICS LTD</v>
          </cell>
          <cell r="C3072">
            <v>500329</v>
          </cell>
          <cell r="D3072" t="str">
            <v>Not Listed</v>
          </cell>
          <cell r="E3072" t="str">
            <v>Movies &amp; Entertainment</v>
          </cell>
        </row>
        <row r="3073">
          <cell r="B3073" t="str">
            <v>PENTOKEY ORGANY (INDIA) LTD</v>
          </cell>
          <cell r="C3073">
            <v>524210</v>
          </cell>
          <cell r="D3073" t="str">
            <v>Not Listed</v>
          </cell>
          <cell r="E3073" t="str">
            <v>Commodity Chemicals</v>
          </cell>
        </row>
        <row r="3074">
          <cell r="B3074" t="str">
            <v>PENTOKEY ORGANY INDIA LTD</v>
          </cell>
          <cell r="C3074">
            <v>524210</v>
          </cell>
          <cell r="D3074" t="str">
            <v>Not Listed</v>
          </cell>
          <cell r="E3074" t="str">
            <v>Commodity Chemicals</v>
          </cell>
        </row>
        <row r="3075">
          <cell r="B3075" t="str">
            <v>PEOPLES INVESTMENTS LTD</v>
          </cell>
          <cell r="C3075">
            <v>501144</v>
          </cell>
          <cell r="D3075" t="str">
            <v>Not Listed</v>
          </cell>
          <cell r="E3075" t="str">
            <v>Misc.Commercial Services</v>
          </cell>
        </row>
        <row r="3076">
          <cell r="B3076" t="str">
            <v>PERFECT INFRAENGINEERS LTD</v>
          </cell>
          <cell r="C3076" t="str">
            <v>Not Listed</v>
          </cell>
          <cell r="D3076" t="str">
            <v>PERFECT</v>
          </cell>
          <cell r="E3076" t="str">
            <v>SME</v>
          </cell>
        </row>
        <row r="3077">
          <cell r="B3077" t="str">
            <v>PERFECT-OCTAVE MEDIA PROJECTS LTD</v>
          </cell>
          <cell r="C3077">
            <v>521062</v>
          </cell>
          <cell r="D3077" t="str">
            <v>Not Listed</v>
          </cell>
          <cell r="E3077" t="str">
            <v>Broadcasting &amp; Cable TV</v>
          </cell>
        </row>
        <row r="3078">
          <cell r="B3078" t="str">
            <v>PERFECTPAC LTD</v>
          </cell>
          <cell r="C3078">
            <v>526435</v>
          </cell>
          <cell r="D3078" t="str">
            <v>Not Listed</v>
          </cell>
          <cell r="E3078" t="str">
            <v>Paper &amp; Paper Products</v>
          </cell>
        </row>
        <row r="3079">
          <cell r="B3079" t="str">
            <v>PERMANENT MAGNETS LTD</v>
          </cell>
          <cell r="C3079">
            <v>504132</v>
          </cell>
          <cell r="D3079" t="str">
            <v>Not Listed</v>
          </cell>
          <cell r="E3079" t="str">
            <v>Other Industrial Goods</v>
          </cell>
        </row>
        <row r="3080">
          <cell r="B3080" t="str">
            <v>PERSISTENT SYSTEMS LTD</v>
          </cell>
          <cell r="C3080">
            <v>533179</v>
          </cell>
          <cell r="D3080" t="str">
            <v>PERSISTENT</v>
          </cell>
          <cell r="E3080" t="str">
            <v>IT Consulting &amp; Software</v>
          </cell>
        </row>
        <row r="3081">
          <cell r="B3081" t="str">
            <v>PERVASIVE COMMODITIES LTD</v>
          </cell>
          <cell r="C3081">
            <v>517172</v>
          </cell>
          <cell r="D3081" t="str">
            <v>Not Listed</v>
          </cell>
          <cell r="E3081" t="str">
            <v>Electronic Components</v>
          </cell>
        </row>
        <row r="3082">
          <cell r="B3082" t="str">
            <v>PETRON ENGINEERING CONSTRUCTION LTD</v>
          </cell>
          <cell r="C3082">
            <v>530381</v>
          </cell>
          <cell r="D3082" t="str">
            <v>PETRONENGG</v>
          </cell>
          <cell r="E3082" t="str">
            <v>Construction &amp; Engineering</v>
          </cell>
        </row>
        <row r="3083">
          <cell r="B3083" t="str">
            <v>PETRONET LNG LTD</v>
          </cell>
          <cell r="C3083">
            <v>532522</v>
          </cell>
          <cell r="D3083" t="str">
            <v>PETRONET</v>
          </cell>
          <cell r="E3083" t="str">
            <v>Oil Marketing &amp; Distribution</v>
          </cell>
        </row>
        <row r="3084">
          <cell r="B3084" t="str">
            <v>PFIZER LTD</v>
          </cell>
          <cell r="C3084">
            <v>500680</v>
          </cell>
          <cell r="D3084" t="str">
            <v>PFIZER</v>
          </cell>
          <cell r="E3084" t="str">
            <v>Pharmaceuticals</v>
          </cell>
        </row>
        <row r="3085">
          <cell r="B3085" t="str">
            <v>PFL INFOTECH LTD</v>
          </cell>
          <cell r="C3085">
            <v>531769</v>
          </cell>
          <cell r="D3085" t="str">
            <v>Not Listed</v>
          </cell>
          <cell r="E3085" t="str">
            <v>IT Software Products</v>
          </cell>
        </row>
        <row r="3086">
          <cell r="B3086" t="str">
            <v>PG ELECTROPLAST LTD</v>
          </cell>
          <cell r="C3086">
            <v>533581</v>
          </cell>
          <cell r="D3086" t="str">
            <v>PGEL</v>
          </cell>
          <cell r="E3086" t="str">
            <v>Consumer Electronics</v>
          </cell>
        </row>
        <row r="3087">
          <cell r="B3087" t="str">
            <v>PG FOILS LTD</v>
          </cell>
          <cell r="C3087">
            <v>526747</v>
          </cell>
          <cell r="D3087" t="str">
            <v>Not Listed</v>
          </cell>
          <cell r="E3087" t="str">
            <v>Aluminium</v>
          </cell>
        </row>
        <row r="3088">
          <cell r="B3088" t="str">
            <v>PG INDUSTRY LTD</v>
          </cell>
          <cell r="C3088">
            <v>531281</v>
          </cell>
          <cell r="D3088" t="str">
            <v>Not Listed</v>
          </cell>
          <cell r="E3088" t="str">
            <v>Construction Materials</v>
          </cell>
        </row>
        <row r="3089">
          <cell r="B3089" t="str">
            <v>PH CAPITAL LTD</v>
          </cell>
          <cell r="C3089">
            <v>500143</v>
          </cell>
          <cell r="D3089" t="str">
            <v>Not Listed</v>
          </cell>
          <cell r="E3089" t="str">
            <v>Comm.Trading  &amp; Distribution</v>
          </cell>
        </row>
        <row r="3090">
          <cell r="B3090" t="str">
            <v>PH TRADING LTD</v>
          </cell>
          <cell r="C3090">
            <v>512026</v>
          </cell>
          <cell r="D3090" t="str">
            <v>Not Listed</v>
          </cell>
          <cell r="E3090" t="str">
            <v>Comm.Trading  &amp; Distribution</v>
          </cell>
        </row>
        <row r="3091">
          <cell r="B3091" t="str">
            <v>PHAARMASIA LTD</v>
          </cell>
          <cell r="C3091">
            <v>523620</v>
          </cell>
          <cell r="D3091" t="str">
            <v>Not Listed</v>
          </cell>
          <cell r="E3091" t="str">
            <v>Pharmaceuticals</v>
          </cell>
        </row>
        <row r="3092">
          <cell r="B3092" t="str">
            <v>PHILLIPS CARBON BLACK LTD</v>
          </cell>
          <cell r="C3092">
            <v>506590</v>
          </cell>
          <cell r="D3092" t="str">
            <v>PHILIPCARB</v>
          </cell>
          <cell r="E3092" t="str">
            <v>Carbon Black</v>
          </cell>
        </row>
        <row r="3093">
          <cell r="B3093" t="str">
            <v>PHOENIX INTERNATIONAL LTD</v>
          </cell>
          <cell r="C3093">
            <v>526481</v>
          </cell>
          <cell r="D3093" t="str">
            <v>Not Listed</v>
          </cell>
          <cell r="E3093" t="str">
            <v>Other Apparels &amp; Accessories</v>
          </cell>
        </row>
        <row r="3094">
          <cell r="B3094" t="str">
            <v>PHOENIX TOWNSHIP LTD</v>
          </cell>
          <cell r="C3094">
            <v>537839</v>
          </cell>
          <cell r="D3094" t="str">
            <v>Not Listed</v>
          </cell>
          <cell r="E3094" t="str">
            <v>Hotels</v>
          </cell>
        </row>
        <row r="3095">
          <cell r="B3095" t="str">
            <v>PHOTON CAPITAL ADVISORS LTD</v>
          </cell>
          <cell r="C3095">
            <v>509084</v>
          </cell>
          <cell r="D3095" t="str">
            <v>Not Listed</v>
          </cell>
          <cell r="E3095" t="str">
            <v>Misc.Commercial Services</v>
          </cell>
        </row>
        <row r="3096">
          <cell r="B3096" t="str">
            <v>PHOTOQUIP (INDIA) LTD</v>
          </cell>
          <cell r="C3096">
            <v>526588</v>
          </cell>
          <cell r="D3096" t="str">
            <v>Not Listed</v>
          </cell>
          <cell r="E3096" t="str">
            <v>Photographic Products</v>
          </cell>
        </row>
        <row r="3097">
          <cell r="B3097" t="str">
            <v>PHOTOQUIP INDIA LTD</v>
          </cell>
          <cell r="C3097">
            <v>526588</v>
          </cell>
          <cell r="D3097" t="str">
            <v>Not Listed</v>
          </cell>
          <cell r="E3097" t="str">
            <v>Photographic Products</v>
          </cell>
        </row>
        <row r="3098">
          <cell r="B3098" t="str">
            <v>PHYTO CHEM (INDIA) LTD</v>
          </cell>
          <cell r="C3098">
            <v>524808</v>
          </cell>
          <cell r="D3098" t="str">
            <v>Not Listed</v>
          </cell>
          <cell r="E3098" t="str">
            <v>Agrochemicals</v>
          </cell>
        </row>
        <row r="3099">
          <cell r="B3099" t="str">
            <v>PHYTO CHEM INDIA LTD</v>
          </cell>
          <cell r="C3099">
            <v>524808</v>
          </cell>
          <cell r="D3099" t="str">
            <v>Not Listed</v>
          </cell>
          <cell r="E3099" t="str">
            <v>Agrochemicals</v>
          </cell>
        </row>
        <row r="3100">
          <cell r="B3100" t="str">
            <v>PI INDUSTRIES LTD</v>
          </cell>
          <cell r="C3100">
            <v>523642</v>
          </cell>
          <cell r="D3100" t="str">
            <v>PIIND</v>
          </cell>
          <cell r="E3100" t="str">
            <v>Agrochemicals</v>
          </cell>
        </row>
        <row r="3101">
          <cell r="B3101" t="str">
            <v>PICCADILY AGRO INDUSTRIES LTD</v>
          </cell>
          <cell r="C3101">
            <v>530305</v>
          </cell>
          <cell r="D3101" t="str">
            <v>Not Listed</v>
          </cell>
          <cell r="E3101" t="str">
            <v>Sugar</v>
          </cell>
        </row>
        <row r="3102">
          <cell r="B3102" t="str">
            <v>PICCADILY SUGAR &amp; ALLIED INDUSTRIES LTD</v>
          </cell>
          <cell r="C3102">
            <v>507498</v>
          </cell>
          <cell r="D3102" t="str">
            <v>Not Listed</v>
          </cell>
          <cell r="E3102" t="str">
            <v>Sugar</v>
          </cell>
        </row>
        <row r="3103">
          <cell r="B3103" t="str">
            <v>PICTUREHOUSE MEDIA LTD</v>
          </cell>
          <cell r="C3103">
            <v>532355</v>
          </cell>
          <cell r="D3103" t="str">
            <v>Not Listed</v>
          </cell>
          <cell r="E3103" t="str">
            <v>Movies &amp; Entertainment</v>
          </cell>
        </row>
        <row r="3104">
          <cell r="B3104" t="str">
            <v>PIDILITE INDUSTRIES LTD</v>
          </cell>
          <cell r="C3104">
            <v>500331</v>
          </cell>
          <cell r="D3104" t="str">
            <v>PIDILITIND</v>
          </cell>
          <cell r="E3104" t="str">
            <v>Specialty Chemicals</v>
          </cell>
        </row>
        <row r="3105">
          <cell r="B3105" t="str">
            <v>PIL ITALICA LIFESTYLE LTD</v>
          </cell>
          <cell r="C3105">
            <v>500327</v>
          </cell>
          <cell r="D3105" t="str">
            <v>PILITA</v>
          </cell>
          <cell r="E3105" t="str">
            <v>Plastic Products</v>
          </cell>
        </row>
        <row r="3106">
          <cell r="B3106" t="str">
            <v>PILANI INVESTMENT AND INDUSTRIES CORPORATION LTD</v>
          </cell>
          <cell r="C3106">
            <v>539883</v>
          </cell>
          <cell r="D3106" t="str">
            <v>PILANIINVS</v>
          </cell>
          <cell r="E3106" t="str">
            <v>Holding Companies</v>
          </cell>
        </row>
        <row r="3107">
          <cell r="B3107" t="str">
            <v>PIONEER AGRO EXTRACTS LTD</v>
          </cell>
          <cell r="C3107">
            <v>519439</v>
          </cell>
          <cell r="D3107" t="str">
            <v>Not Listed</v>
          </cell>
          <cell r="E3107" t="str">
            <v>Edible Oils</v>
          </cell>
        </row>
        <row r="3108">
          <cell r="B3108" t="str">
            <v>PIONEER DISTILLERIES LTD</v>
          </cell>
          <cell r="C3108">
            <v>531879</v>
          </cell>
          <cell r="D3108" t="str">
            <v>PIONDIST</v>
          </cell>
          <cell r="E3108" t="str">
            <v>Breweries &amp; Distilleries</v>
          </cell>
        </row>
        <row r="3109">
          <cell r="B3109" t="str">
            <v>PIONEER EMBROIDERIES LTD</v>
          </cell>
          <cell r="C3109">
            <v>514300</v>
          </cell>
          <cell r="D3109" t="str">
            <v>PIONEEREMB</v>
          </cell>
          <cell r="E3109" t="str">
            <v>Textiles</v>
          </cell>
        </row>
        <row r="3110">
          <cell r="B3110" t="str">
            <v>PIONEER INVESTCORP LTD</v>
          </cell>
          <cell r="C3110">
            <v>507864</v>
          </cell>
          <cell r="D3110" t="str">
            <v>Not Listed</v>
          </cell>
          <cell r="E3110" t="str">
            <v>Other Financial Services</v>
          </cell>
        </row>
        <row r="3111">
          <cell r="B3111" t="str">
            <v>PIRAMAL ENTERPRISES LTD</v>
          </cell>
          <cell r="C3111">
            <v>500302</v>
          </cell>
          <cell r="D3111" t="str">
            <v>PEL</v>
          </cell>
          <cell r="E3111" t="str">
            <v>Pharmaceuticals</v>
          </cell>
        </row>
        <row r="3112">
          <cell r="B3112" t="str">
            <v>PIRAMAL PHYTOCARE LTD</v>
          </cell>
          <cell r="C3112">
            <v>532979</v>
          </cell>
          <cell r="D3112" t="str">
            <v>PIRPHYTO</v>
          </cell>
          <cell r="E3112" t="str">
            <v>Pharmaceuticals</v>
          </cell>
        </row>
        <row r="3113">
          <cell r="B3113" t="str">
            <v>PITHAMPUR POLY PRODUCTS LTD</v>
          </cell>
          <cell r="C3113">
            <v>530683</v>
          </cell>
          <cell r="D3113" t="str">
            <v>Not Listed</v>
          </cell>
          <cell r="E3113" t="str">
            <v>Containers &amp; Packaging</v>
          </cell>
        </row>
        <row r="3114">
          <cell r="B3114" t="str">
            <v>PITTI ENGINEERING LTD</v>
          </cell>
          <cell r="C3114">
            <v>513519</v>
          </cell>
          <cell r="D3114" t="str">
            <v>PITTIENG</v>
          </cell>
          <cell r="E3114" t="str">
            <v>Other Elect.Equip./ Prod.</v>
          </cell>
        </row>
        <row r="3115">
          <cell r="B3115" t="str">
            <v>PIX TRANSMISSIONS LTD</v>
          </cell>
          <cell r="C3115">
            <v>500333</v>
          </cell>
          <cell r="D3115" t="str">
            <v>Not Listed</v>
          </cell>
          <cell r="E3115" t="str">
            <v>Auto Tyres &amp; Rubber Products</v>
          </cell>
        </row>
        <row r="3116">
          <cell r="B3116" t="str">
            <v>PLANTER POLYSACKS LTD</v>
          </cell>
          <cell r="C3116">
            <v>523105</v>
          </cell>
          <cell r="D3116" t="str">
            <v>Not Listed</v>
          </cell>
          <cell r="E3116" t="str">
            <v>Containers &amp; Packaging</v>
          </cell>
        </row>
        <row r="3117">
          <cell r="B3117" t="str">
            <v>PLASTIBLENDS (INDIA) LTD</v>
          </cell>
          <cell r="C3117">
            <v>523648</v>
          </cell>
          <cell r="D3117" t="str">
            <v>PLASTIBLEN</v>
          </cell>
          <cell r="E3117" t="str">
            <v>Specialty Chemicals</v>
          </cell>
        </row>
        <row r="3118">
          <cell r="B3118" t="str">
            <v>PLASTIBLENDS INDIA LTD</v>
          </cell>
          <cell r="C3118">
            <v>523648</v>
          </cell>
          <cell r="D3118" t="str">
            <v>PLASTIBLEN</v>
          </cell>
          <cell r="E3118" t="str">
            <v>Specialty Chemicals</v>
          </cell>
        </row>
        <row r="3119">
          <cell r="B3119" t="str">
            <v>PMC FINCORP LTD</v>
          </cell>
          <cell r="C3119">
            <v>534060</v>
          </cell>
          <cell r="D3119" t="str">
            <v>Not Listed</v>
          </cell>
          <cell r="E3119" t="str">
            <v>Finance (including NBFCs)</v>
          </cell>
        </row>
        <row r="3120">
          <cell r="B3120" t="str">
            <v>PNB GILTS LTD</v>
          </cell>
          <cell r="C3120">
            <v>532366</v>
          </cell>
          <cell r="D3120" t="str">
            <v>PNBGILTS</v>
          </cell>
          <cell r="E3120" t="str">
            <v>Finance (including NBFCs)</v>
          </cell>
        </row>
        <row r="3121">
          <cell r="B3121" t="str">
            <v>PNB HOUSING FINANCE LTD</v>
          </cell>
          <cell r="C3121">
            <v>540173</v>
          </cell>
          <cell r="D3121" t="str">
            <v>PNBHOUSING</v>
          </cell>
          <cell r="E3121" t="str">
            <v xml:space="preserve">Housing Finance </v>
          </cell>
        </row>
        <row r="3122">
          <cell r="B3122" t="str">
            <v>PNC INFRATECH LTD</v>
          </cell>
          <cell r="C3122">
            <v>539150</v>
          </cell>
          <cell r="D3122" t="str">
            <v>PNCINFRA</v>
          </cell>
          <cell r="E3122" t="str">
            <v>Roads &amp; Highways</v>
          </cell>
        </row>
        <row r="3123">
          <cell r="B3123" t="str">
            <v>POCHIRAJU INDUSTRIES LTD</v>
          </cell>
          <cell r="C3123">
            <v>532803</v>
          </cell>
          <cell r="D3123" t="str">
            <v>POCHIRAJU</v>
          </cell>
          <cell r="E3123" t="str">
            <v>Other Agricultural Products</v>
          </cell>
        </row>
        <row r="3124">
          <cell r="B3124" t="str">
            <v>POCL ENTERPRISES LTD</v>
          </cell>
          <cell r="C3124">
            <v>539195</v>
          </cell>
          <cell r="D3124" t="str">
            <v>Not Listed</v>
          </cell>
          <cell r="E3124" t="str">
            <v>Commodity Chemicals</v>
          </cell>
        </row>
        <row r="3125">
          <cell r="B3125" t="str">
            <v>PODDAR HOUSING AND DEVELOPMENT LTD</v>
          </cell>
          <cell r="C3125">
            <v>523628</v>
          </cell>
          <cell r="D3125" t="str">
            <v>PODDARHOUS</v>
          </cell>
          <cell r="E3125" t="str">
            <v>Realty</v>
          </cell>
        </row>
        <row r="3126">
          <cell r="B3126" t="str">
            <v>PODDAR PIGMENTS LTD</v>
          </cell>
          <cell r="C3126">
            <v>524570</v>
          </cell>
          <cell r="D3126" t="str">
            <v>PODDARMENT</v>
          </cell>
          <cell r="E3126" t="str">
            <v>Specialty Chemicals</v>
          </cell>
        </row>
        <row r="3127">
          <cell r="B3127" t="str">
            <v>POKARNA LTD</v>
          </cell>
          <cell r="C3127">
            <v>532486</v>
          </cell>
          <cell r="D3127" t="str">
            <v>POKARNA</v>
          </cell>
          <cell r="E3127" t="str">
            <v>Construction Materials</v>
          </cell>
        </row>
        <row r="3128">
          <cell r="B3128" t="str">
            <v>POLO HOTELS LTD</v>
          </cell>
          <cell r="C3128">
            <v>526687</v>
          </cell>
          <cell r="D3128" t="str">
            <v>Not Listed</v>
          </cell>
          <cell r="E3128" t="str">
            <v>Hotels</v>
          </cell>
        </row>
        <row r="3129">
          <cell r="B3129" t="str">
            <v>POLO QUEEN INDUSTRIAL AND FINTECH LTD</v>
          </cell>
          <cell r="C3129">
            <v>540717</v>
          </cell>
          <cell r="D3129" t="str">
            <v>Not Listed</v>
          </cell>
          <cell r="E3129" t="str">
            <v>Comm.Trading  &amp; Distribution</v>
          </cell>
        </row>
        <row r="3130">
          <cell r="B3130" t="str">
            <v>POLSON LTD</v>
          </cell>
          <cell r="C3130">
            <v>507645</v>
          </cell>
          <cell r="D3130" t="str">
            <v>Not Listed</v>
          </cell>
          <cell r="E3130" t="str">
            <v>Specialty Chemicals</v>
          </cell>
        </row>
        <row r="3131">
          <cell r="B3131" t="str">
            <v>POLY MEDICURE LTD</v>
          </cell>
          <cell r="C3131">
            <v>531768</v>
          </cell>
          <cell r="D3131" t="str">
            <v>POLYMED</v>
          </cell>
          <cell r="E3131" t="str">
            <v>Medical Equipment</v>
          </cell>
        </row>
        <row r="3132">
          <cell r="B3132" t="str">
            <v>Polycab India Ltd</v>
          </cell>
          <cell r="C3132">
            <v>542652</v>
          </cell>
          <cell r="D3132" t="str">
            <v>POLYCAB</v>
          </cell>
          <cell r="E3132" t="str">
            <v>Other Elect.Equip./ Prod.</v>
          </cell>
        </row>
        <row r="3133">
          <cell r="B3133" t="str">
            <v>POLYCHEM LTD</v>
          </cell>
          <cell r="C3133">
            <v>506605</v>
          </cell>
          <cell r="D3133" t="str">
            <v>Not Listed</v>
          </cell>
          <cell r="E3133" t="str">
            <v>Commodity Chemicals</v>
          </cell>
        </row>
        <row r="3134">
          <cell r="B3134" t="str">
            <v>POLYCON INTERNATIONAL LTD</v>
          </cell>
          <cell r="C3134">
            <v>531397</v>
          </cell>
          <cell r="D3134" t="str">
            <v>Not Listed</v>
          </cell>
          <cell r="E3134" t="str">
            <v>Containers &amp; Packaging</v>
          </cell>
        </row>
        <row r="3135">
          <cell r="B3135" t="str">
            <v>POLYGENTA TECHNOLOGIES LTD</v>
          </cell>
          <cell r="C3135">
            <v>514486</v>
          </cell>
          <cell r="D3135" t="str">
            <v>Not Listed</v>
          </cell>
          <cell r="E3135" t="str">
            <v>Textiles</v>
          </cell>
        </row>
        <row r="3136">
          <cell r="B3136" t="str">
            <v>POLYLINK POLYMERS (INDIA) LTD</v>
          </cell>
          <cell r="C3136">
            <v>531454</v>
          </cell>
          <cell r="D3136" t="str">
            <v>Not Listed</v>
          </cell>
          <cell r="E3136" t="str">
            <v>Fibres &amp; Plastics</v>
          </cell>
        </row>
        <row r="3137">
          <cell r="B3137" t="str">
            <v>POLYLINK POLYMERS INDIA LTD</v>
          </cell>
          <cell r="C3137">
            <v>531454</v>
          </cell>
          <cell r="D3137" t="str">
            <v>Not Listed</v>
          </cell>
          <cell r="E3137" t="str">
            <v>Fibres &amp; Plastics</v>
          </cell>
        </row>
        <row r="3138">
          <cell r="B3138" t="str">
            <v>POLYMAC THERMOFORMERS LTD</v>
          </cell>
          <cell r="C3138">
            <v>537573</v>
          </cell>
          <cell r="D3138" t="str">
            <v>Not Listed</v>
          </cell>
          <cell r="E3138" t="str">
            <v>Plastic Products</v>
          </cell>
        </row>
        <row r="3139">
          <cell r="B3139" t="str">
            <v>POLYMECHPLAST MACHINES LTD</v>
          </cell>
          <cell r="C3139">
            <v>526043</v>
          </cell>
          <cell r="D3139" t="str">
            <v>Not Listed</v>
          </cell>
          <cell r="E3139" t="str">
            <v>Industrial Machinery</v>
          </cell>
        </row>
        <row r="3140">
          <cell r="B3140" t="str">
            <v>POLYPLEX CORPORATION LTD</v>
          </cell>
          <cell r="C3140">
            <v>524051</v>
          </cell>
          <cell r="D3140" t="str">
            <v>POLYPLEX</v>
          </cell>
          <cell r="E3140" t="str">
            <v>Commodity Chemicals</v>
          </cell>
        </row>
        <row r="3141">
          <cell r="B3141" t="str">
            <v>POLYSPIN EXPORTS LTD</v>
          </cell>
          <cell r="C3141">
            <v>539354</v>
          </cell>
          <cell r="D3141" t="str">
            <v>Not Listed</v>
          </cell>
          <cell r="E3141" t="str">
            <v>Containers &amp; Packaging</v>
          </cell>
        </row>
        <row r="3142">
          <cell r="B3142" t="str">
            <v>POLYTEX (INDIA) LTD</v>
          </cell>
          <cell r="C3142">
            <v>512481</v>
          </cell>
          <cell r="D3142" t="str">
            <v>Not Listed</v>
          </cell>
          <cell r="E3142" t="str">
            <v>Finance (including NBFCs)</v>
          </cell>
        </row>
        <row r="3143">
          <cell r="B3143" t="str">
            <v>POLYTEX INDIA LTD</v>
          </cell>
          <cell r="C3143">
            <v>512481</v>
          </cell>
          <cell r="D3143" t="str">
            <v>Not Listed</v>
          </cell>
          <cell r="E3143" t="str">
            <v>Finance (including NBFCs)</v>
          </cell>
        </row>
        <row r="3144">
          <cell r="B3144" t="str">
            <v>PONDY OXIDES &amp; CHEMICALS LTD</v>
          </cell>
          <cell r="C3144">
            <v>532626</v>
          </cell>
          <cell r="D3144" t="str">
            <v>Not Listed</v>
          </cell>
          <cell r="E3144" t="str">
            <v>Other Non-Ferrous Metals</v>
          </cell>
        </row>
        <row r="3145">
          <cell r="B3145" t="str">
            <v>PONNI SUGARS ERODE LTD</v>
          </cell>
          <cell r="C3145">
            <v>532460</v>
          </cell>
          <cell r="D3145" t="str">
            <v>PONNIERODE</v>
          </cell>
          <cell r="E3145" t="str">
            <v>Sugar</v>
          </cell>
        </row>
        <row r="3146">
          <cell r="B3146" t="str">
            <v>POOJA ENTERTAINMENT AND FILMS LTD</v>
          </cell>
          <cell r="C3146">
            <v>532011</v>
          </cell>
          <cell r="D3146" t="str">
            <v>Not Listed</v>
          </cell>
          <cell r="E3146" t="str">
            <v>Movies &amp; Entertainment</v>
          </cell>
        </row>
        <row r="3147">
          <cell r="B3147" t="str">
            <v>POOJAWESTERN METALIKS LTD</v>
          </cell>
          <cell r="C3147">
            <v>540727</v>
          </cell>
          <cell r="D3147" t="str">
            <v>Not Listed</v>
          </cell>
          <cell r="E3147" t="str">
            <v>Other Industrial Products</v>
          </cell>
        </row>
        <row r="3148">
          <cell r="B3148" t="str">
            <v>POONA DAL &amp; OIL INDUSTRIES LTD</v>
          </cell>
          <cell r="C3148">
            <v>519359</v>
          </cell>
          <cell r="D3148" t="str">
            <v>Not Listed</v>
          </cell>
          <cell r="E3148" t="str">
            <v>Edible Oils</v>
          </cell>
        </row>
        <row r="3149">
          <cell r="B3149" t="str">
            <v>POPULAR ESTATE MANAGEMENT LTD</v>
          </cell>
          <cell r="C3149">
            <v>531870</v>
          </cell>
          <cell r="D3149" t="str">
            <v>Not Listed</v>
          </cell>
          <cell r="E3149" t="str">
            <v>Construction &amp; Engineering</v>
          </cell>
        </row>
        <row r="3150">
          <cell r="B3150" t="str">
            <v>PORWAL AUTO COMPONENTS LTD</v>
          </cell>
          <cell r="C3150">
            <v>532933</v>
          </cell>
          <cell r="D3150" t="str">
            <v>Not Listed</v>
          </cell>
          <cell r="E3150" t="str">
            <v>Auto Parts &amp; Equipment</v>
          </cell>
        </row>
        <row r="3151">
          <cell r="B3151" t="str">
            <v>POWER &amp; INSTRUMENTATION GUJARAT LTD</v>
          </cell>
          <cell r="C3151" t="str">
            <v>Not Listed</v>
          </cell>
          <cell r="D3151" t="str">
            <v>PIGL</v>
          </cell>
          <cell r="E3151" t="str">
            <v>SME</v>
          </cell>
        </row>
        <row r="3152">
          <cell r="B3152" t="str">
            <v>POWER FINANCE CORPORATION LTD</v>
          </cell>
          <cell r="C3152">
            <v>532810</v>
          </cell>
          <cell r="D3152" t="str">
            <v>PFC</v>
          </cell>
          <cell r="E3152" t="str">
            <v>Finance (including NBFCs)</v>
          </cell>
        </row>
        <row r="3153">
          <cell r="B3153" t="str">
            <v>POWER GRID CORPORATION OF (INDIA) LTD</v>
          </cell>
          <cell r="C3153">
            <v>532898</v>
          </cell>
          <cell r="D3153" t="str">
            <v>POWERGRID</v>
          </cell>
          <cell r="E3153" t="str">
            <v>Electric Utilities</v>
          </cell>
        </row>
        <row r="3154">
          <cell r="B3154" t="str">
            <v>POWER GRID CORPORATION OF INDIA LTD</v>
          </cell>
          <cell r="C3154">
            <v>532898</v>
          </cell>
          <cell r="D3154" t="str">
            <v>POWERGRID</v>
          </cell>
          <cell r="E3154" t="str">
            <v>Electric Utilities</v>
          </cell>
        </row>
        <row r="3155">
          <cell r="B3155" t="str">
            <v>POWER MECH PROJECTS LTD</v>
          </cell>
          <cell r="C3155">
            <v>539302</v>
          </cell>
          <cell r="D3155" t="str">
            <v>POWERMECH</v>
          </cell>
          <cell r="E3155" t="str">
            <v>Construction &amp; Engineering</v>
          </cell>
        </row>
        <row r="3156">
          <cell r="B3156" t="str">
            <v>POWERFUL TECHNOLOGIES LTD</v>
          </cell>
          <cell r="C3156" t="str">
            <v>Not Listed</v>
          </cell>
          <cell r="D3156" t="str">
            <v>POWERFUL</v>
          </cell>
          <cell r="E3156" t="str">
            <v>SME</v>
          </cell>
        </row>
        <row r="3157">
          <cell r="B3157" t="str">
            <v>POWERHOUSE GYM &amp; WELLNESS LTD</v>
          </cell>
          <cell r="C3157">
            <v>538731</v>
          </cell>
          <cell r="D3157" t="str">
            <v>Not Listed</v>
          </cell>
          <cell r="E3157" t="str">
            <v>Other Leisure Facilities</v>
          </cell>
        </row>
        <row r="3158">
          <cell r="B3158" t="str">
            <v>PPAP AUTOMOTIVE LTD</v>
          </cell>
          <cell r="C3158">
            <v>532934</v>
          </cell>
          <cell r="D3158" t="str">
            <v>PPAP</v>
          </cell>
          <cell r="E3158" t="str">
            <v>Auto Parts &amp; Equipment</v>
          </cell>
        </row>
        <row r="3159">
          <cell r="B3159" t="str">
            <v>PRABHAT DAIRY LTD</v>
          </cell>
          <cell r="C3159">
            <v>539351</v>
          </cell>
          <cell r="D3159" t="str">
            <v>PRABHAT</v>
          </cell>
          <cell r="E3159" t="str">
            <v>Packaged Foods</v>
          </cell>
        </row>
        <row r="3160">
          <cell r="B3160" t="str">
            <v>PRABHAT TELECOMS (INDIA) LTD</v>
          </cell>
          <cell r="C3160">
            <v>540027</v>
          </cell>
          <cell r="D3160" t="str">
            <v>Not Listed</v>
          </cell>
          <cell r="E3160" t="str">
            <v>Specialty Retail</v>
          </cell>
        </row>
        <row r="3161">
          <cell r="B3161" t="str">
            <v>PRABHAT TELECOMS INDIA LTD</v>
          </cell>
          <cell r="C3161">
            <v>540027</v>
          </cell>
          <cell r="D3161" t="str">
            <v>Not Listed</v>
          </cell>
          <cell r="E3161" t="str">
            <v>Specialty Retail</v>
          </cell>
        </row>
        <row r="3162">
          <cell r="B3162" t="str">
            <v>PRABHAV INDUSTRIES LTD</v>
          </cell>
          <cell r="C3162">
            <v>531855</v>
          </cell>
          <cell r="D3162" t="str">
            <v>Not Listed</v>
          </cell>
          <cell r="E3162" t="str">
            <v>Iron &amp; Steel/Interm.Products</v>
          </cell>
        </row>
        <row r="3163">
          <cell r="B3163" t="str">
            <v>PRABHU STEEL INDUSTRIES LTD</v>
          </cell>
          <cell r="C3163">
            <v>506042</v>
          </cell>
          <cell r="D3163" t="str">
            <v>Not Listed</v>
          </cell>
          <cell r="E3163" t="str">
            <v>Iron &amp; Steel/Interm.Products</v>
          </cell>
        </row>
        <row r="3164">
          <cell r="B3164" t="str">
            <v>PRADEEP METALS LTD</v>
          </cell>
          <cell r="C3164">
            <v>513532</v>
          </cell>
          <cell r="D3164" t="str">
            <v>Not Listed</v>
          </cell>
          <cell r="E3164" t="str">
            <v>Auto Parts &amp; Equipment</v>
          </cell>
        </row>
        <row r="3165">
          <cell r="B3165" t="str">
            <v>PRADHIN LTD</v>
          </cell>
          <cell r="C3165">
            <v>530095</v>
          </cell>
          <cell r="D3165" t="str">
            <v>Not Listed</v>
          </cell>
          <cell r="E3165" t="str">
            <v>Iron &amp; Steel/Interm.Products</v>
          </cell>
        </row>
        <row r="3166">
          <cell r="B3166" t="str">
            <v>PRADIP OVERSEAS LTD</v>
          </cell>
          <cell r="C3166">
            <v>533178</v>
          </cell>
          <cell r="D3166" t="str">
            <v>PRADIP</v>
          </cell>
          <cell r="E3166" t="str">
            <v>Textiles</v>
          </cell>
        </row>
        <row r="3167">
          <cell r="B3167" t="str">
            <v>PRAG BOSIMI SYNTHETICS LTD</v>
          </cell>
          <cell r="C3167">
            <v>500192</v>
          </cell>
          <cell r="D3167" t="str">
            <v>Not Listed</v>
          </cell>
          <cell r="E3167" t="str">
            <v>Textiles</v>
          </cell>
        </row>
        <row r="3168">
          <cell r="B3168" t="str">
            <v>PRAJ INDUSTRIES LTD</v>
          </cell>
          <cell r="C3168">
            <v>522205</v>
          </cell>
          <cell r="D3168" t="str">
            <v>PRAJIND</v>
          </cell>
          <cell r="E3168" t="str">
            <v>Construction &amp; Engineering</v>
          </cell>
        </row>
        <row r="3169">
          <cell r="B3169" t="str">
            <v>PRAJAY ENGINEERS SYNDICATE LTD</v>
          </cell>
          <cell r="C3169">
            <v>531746</v>
          </cell>
          <cell r="D3169" t="str">
            <v>PRAENG</v>
          </cell>
          <cell r="E3169" t="str">
            <v>Realty</v>
          </cell>
        </row>
        <row r="3170">
          <cell r="B3170" t="str">
            <v>PRAKASH CONSTROWELL LTD</v>
          </cell>
          <cell r="C3170">
            <v>533605</v>
          </cell>
          <cell r="D3170" t="str">
            <v>PRAKASHCON</v>
          </cell>
          <cell r="E3170" t="str">
            <v>Construction &amp; Engineering</v>
          </cell>
        </row>
        <row r="3171">
          <cell r="B3171" t="str">
            <v>PRAKASH INDUSTRIES LTD</v>
          </cell>
          <cell r="C3171">
            <v>506022</v>
          </cell>
          <cell r="D3171" t="str">
            <v>PRAKASH</v>
          </cell>
          <cell r="E3171" t="str">
            <v>Iron &amp; Steel/Interm.Products</v>
          </cell>
        </row>
        <row r="3172">
          <cell r="B3172" t="str">
            <v>Prakash Pipes Ltd</v>
          </cell>
          <cell r="C3172">
            <v>542684</v>
          </cell>
          <cell r="D3172" t="str">
            <v>PPL</v>
          </cell>
          <cell r="E3172" t="str">
            <v>Plastic Products</v>
          </cell>
        </row>
        <row r="3173">
          <cell r="B3173" t="str">
            <v>PRAKASH STEELAGE LTD</v>
          </cell>
          <cell r="C3173">
            <v>533239</v>
          </cell>
          <cell r="D3173" t="str">
            <v>PRAKASHSTL</v>
          </cell>
          <cell r="E3173" t="str">
            <v>Construction &amp; Engineering</v>
          </cell>
        </row>
        <row r="3174">
          <cell r="B3174" t="str">
            <v>PRAKASH WOOLLEN &amp; SYNTHETIC MILLS LTD</v>
          </cell>
          <cell r="C3174">
            <v>531437</v>
          </cell>
          <cell r="D3174" t="str">
            <v>Not Listed</v>
          </cell>
          <cell r="E3174" t="str">
            <v>Textiles</v>
          </cell>
        </row>
        <row r="3175">
          <cell r="B3175" t="str">
            <v>PRANAVADITYA SPINNING MILLS LTD</v>
          </cell>
          <cell r="C3175">
            <v>531172</v>
          </cell>
          <cell r="D3175" t="str">
            <v>Not Listed</v>
          </cell>
          <cell r="E3175" t="str">
            <v>Textiles</v>
          </cell>
        </row>
        <row r="3176">
          <cell r="B3176" t="str">
            <v>PRASHANT (INDIA) LTD</v>
          </cell>
          <cell r="C3176">
            <v>519014</v>
          </cell>
          <cell r="D3176" t="str">
            <v>Not Listed</v>
          </cell>
          <cell r="E3176" t="str">
            <v>Textiles</v>
          </cell>
        </row>
        <row r="3177">
          <cell r="B3177" t="str">
            <v>PRASHANT INDIA LTD</v>
          </cell>
          <cell r="C3177">
            <v>519014</v>
          </cell>
          <cell r="D3177" t="str">
            <v>Not Listed</v>
          </cell>
          <cell r="E3177" t="str">
            <v>Textiles</v>
          </cell>
        </row>
        <row r="3178">
          <cell r="B3178" t="str">
            <v>PRATAAP SNACKS LTD</v>
          </cell>
          <cell r="C3178">
            <v>540724</v>
          </cell>
          <cell r="D3178" t="str">
            <v>DIAMONDYD</v>
          </cell>
          <cell r="E3178" t="str">
            <v>Packaged Foods</v>
          </cell>
        </row>
        <row r="3179">
          <cell r="B3179" t="str">
            <v>PRATIK PANELS LTD</v>
          </cell>
          <cell r="C3179">
            <v>526490</v>
          </cell>
          <cell r="D3179" t="str">
            <v>Not Listed</v>
          </cell>
          <cell r="E3179" t="str">
            <v>Forest Products</v>
          </cell>
        </row>
        <row r="3180">
          <cell r="B3180" t="str">
            <v>PRATIKSHA CHEMICALS LTD</v>
          </cell>
          <cell r="C3180">
            <v>531257</v>
          </cell>
          <cell r="D3180" t="str">
            <v>Not Listed</v>
          </cell>
          <cell r="E3180" t="str">
            <v>Specialty Chemicals</v>
          </cell>
        </row>
        <row r="3181">
          <cell r="B3181" t="str">
            <v>PRAXIS HOME RETAIL LTD</v>
          </cell>
          <cell r="C3181">
            <v>540901</v>
          </cell>
          <cell r="D3181" t="str">
            <v>PRAXIS</v>
          </cell>
          <cell r="E3181" t="str">
            <v>Specialty Retail</v>
          </cell>
        </row>
        <row r="3182">
          <cell r="B3182" t="str">
            <v>PRECIOUS TRADING &amp; INVESTMENTS LTD</v>
          </cell>
          <cell r="C3182">
            <v>506107</v>
          </cell>
          <cell r="D3182" t="str">
            <v>Not Listed</v>
          </cell>
          <cell r="E3182" t="str">
            <v>Misc.Commercial Services</v>
          </cell>
        </row>
        <row r="3183">
          <cell r="B3183" t="str">
            <v>PRECISION CAMSHAFTS LTD</v>
          </cell>
          <cell r="C3183">
            <v>539636</v>
          </cell>
          <cell r="D3183" t="str">
            <v>PRECAM</v>
          </cell>
          <cell r="E3183" t="str">
            <v>Auto Parts &amp; Equipment</v>
          </cell>
        </row>
        <row r="3184">
          <cell r="B3184" t="str">
            <v>PRECISION CONTAINEURS LTD</v>
          </cell>
          <cell r="C3184">
            <v>523874</v>
          </cell>
          <cell r="D3184" t="str">
            <v>Not Listed</v>
          </cell>
          <cell r="E3184" t="str">
            <v>Comm.Trading  &amp; Distribution</v>
          </cell>
        </row>
        <row r="3185">
          <cell r="B3185" t="str">
            <v>PRECISION ELECTRONICS LTD</v>
          </cell>
          <cell r="C3185">
            <v>517258</v>
          </cell>
          <cell r="D3185" t="str">
            <v>Not Listed</v>
          </cell>
          <cell r="E3185" t="str">
            <v>Electronic Components</v>
          </cell>
        </row>
        <row r="3186">
          <cell r="B3186" t="str">
            <v>PRECISION WIRES (INDIA) LTD</v>
          </cell>
          <cell r="C3186">
            <v>523539</v>
          </cell>
          <cell r="D3186" t="str">
            <v>PRECWIRE</v>
          </cell>
          <cell r="E3186" t="str">
            <v>Other Industrial Products</v>
          </cell>
        </row>
        <row r="3187">
          <cell r="B3187" t="str">
            <v>PRECISION WIRES INDIA LTD</v>
          </cell>
          <cell r="C3187">
            <v>523539</v>
          </cell>
          <cell r="D3187" t="str">
            <v>PRECWIRE</v>
          </cell>
          <cell r="E3187" t="str">
            <v>Other Industrial Products</v>
          </cell>
        </row>
        <row r="3188">
          <cell r="B3188" t="str">
            <v>PRECOT MERIDIAN LTD</v>
          </cell>
          <cell r="C3188" t="str">
            <v>Not Listed</v>
          </cell>
          <cell r="D3188" t="str">
            <v>PRECOT</v>
          </cell>
          <cell r="E3188" t="str">
            <v>Others</v>
          </cell>
        </row>
        <row r="3189">
          <cell r="B3189" t="str">
            <v>PREM SOMANI FINANCIAL SERVICES LTD</v>
          </cell>
          <cell r="C3189">
            <v>530669</v>
          </cell>
          <cell r="D3189" t="str">
            <v>Not Listed</v>
          </cell>
          <cell r="E3189" t="str">
            <v>Other Financial Services</v>
          </cell>
        </row>
        <row r="3190">
          <cell r="B3190" t="str">
            <v>PREMCO GLOBAL LTD</v>
          </cell>
          <cell r="C3190">
            <v>530331</v>
          </cell>
          <cell r="D3190" t="str">
            <v>Not Listed</v>
          </cell>
          <cell r="E3190" t="str">
            <v>Textiles</v>
          </cell>
        </row>
        <row r="3191">
          <cell r="B3191" t="str">
            <v>PREMIER CHENNAI PROPERTIES LTD</v>
          </cell>
          <cell r="C3191">
            <v>780007</v>
          </cell>
          <cell r="D3191" t="str">
            <v>Not Listed</v>
          </cell>
          <cell r="E3191" t="str">
            <v>Others</v>
          </cell>
        </row>
        <row r="3192">
          <cell r="B3192" t="str">
            <v>PREMIER EXPLOSIVES LTD</v>
          </cell>
          <cell r="C3192">
            <v>526247</v>
          </cell>
          <cell r="D3192" t="str">
            <v>PREMEXPLN</v>
          </cell>
          <cell r="E3192" t="str">
            <v>Specialty Chemicals</v>
          </cell>
        </row>
        <row r="3193">
          <cell r="B3193" t="str">
            <v>PREMIER LTD</v>
          </cell>
          <cell r="C3193">
            <v>500540</v>
          </cell>
          <cell r="D3193" t="str">
            <v>PREMIER</v>
          </cell>
          <cell r="E3193" t="str">
            <v>Industrial Machinery</v>
          </cell>
        </row>
        <row r="3194">
          <cell r="B3194" t="str">
            <v>PREMIER PIPES LTD</v>
          </cell>
          <cell r="C3194">
            <v>513291</v>
          </cell>
          <cell r="D3194" t="str">
            <v>Not Listed</v>
          </cell>
          <cell r="E3194" t="str">
            <v>Iron &amp; Steel Products</v>
          </cell>
        </row>
        <row r="3195">
          <cell r="B3195" t="str">
            <v>PREMIER POLYFILM LTD</v>
          </cell>
          <cell r="C3195">
            <v>514354</v>
          </cell>
          <cell r="D3195" t="str">
            <v>PREMIERPOL</v>
          </cell>
          <cell r="E3195" t="str">
            <v>Commodity Chemicals</v>
          </cell>
        </row>
        <row r="3196">
          <cell r="B3196" t="str">
            <v>PREMIER SYNTHETICS LTD</v>
          </cell>
          <cell r="C3196">
            <v>509835</v>
          </cell>
          <cell r="D3196" t="str">
            <v>Not Listed</v>
          </cell>
          <cell r="E3196" t="str">
            <v>Textiles</v>
          </cell>
        </row>
        <row r="3197">
          <cell r="B3197" t="str">
            <v>PRERNA INFRABUILD LTD</v>
          </cell>
          <cell r="C3197">
            <v>531802</v>
          </cell>
          <cell r="D3197" t="str">
            <v>Not Listed</v>
          </cell>
          <cell r="E3197" t="str">
            <v>Realty</v>
          </cell>
        </row>
        <row r="3198">
          <cell r="B3198" t="str">
            <v>PRESSMAN ADVERTISING LTD</v>
          </cell>
          <cell r="C3198">
            <v>509077</v>
          </cell>
          <cell r="D3198" t="str">
            <v>PRESSMN</v>
          </cell>
          <cell r="E3198" t="str">
            <v>Advertising &amp; Media</v>
          </cell>
        </row>
        <row r="3199">
          <cell r="B3199" t="str">
            <v>PRESTIGE ESTATES PROJECTS LTD</v>
          </cell>
          <cell r="C3199">
            <v>533274</v>
          </cell>
          <cell r="D3199" t="str">
            <v>PRESTIGE</v>
          </cell>
          <cell r="E3199" t="str">
            <v>Realty</v>
          </cell>
        </row>
        <row r="3200">
          <cell r="B3200" t="str">
            <v>PRICOL LTD</v>
          </cell>
          <cell r="C3200">
            <v>540293</v>
          </cell>
          <cell r="D3200" t="str">
            <v>PRICOLLTD</v>
          </cell>
          <cell r="E3200" t="str">
            <v>Auto Parts &amp; Equipment</v>
          </cell>
        </row>
        <row r="3201">
          <cell r="B3201" t="str">
            <v>PRIMA AGRO LTD</v>
          </cell>
          <cell r="C3201">
            <v>519262</v>
          </cell>
          <cell r="D3201" t="str">
            <v>Not Listed</v>
          </cell>
          <cell r="E3201" t="str">
            <v>Other Agricultural Products</v>
          </cell>
        </row>
        <row r="3202">
          <cell r="B3202" t="str">
            <v>PRIMA INDUSTRIES LTD</v>
          </cell>
          <cell r="C3202">
            <v>531246</v>
          </cell>
          <cell r="D3202" t="str">
            <v>Not Listed</v>
          </cell>
          <cell r="E3202" t="str">
            <v>Edible Oils</v>
          </cell>
        </row>
        <row r="3203">
          <cell r="B3203" t="str">
            <v>PRIMA PLASTICS LTD</v>
          </cell>
          <cell r="C3203">
            <v>530589</v>
          </cell>
          <cell r="D3203" t="str">
            <v>Not Listed</v>
          </cell>
          <cell r="E3203" t="str">
            <v>Plastic Products</v>
          </cell>
        </row>
        <row r="3204">
          <cell r="B3204" t="str">
            <v>PRIME CAPITAL MARKET LTD</v>
          </cell>
          <cell r="C3204">
            <v>535514</v>
          </cell>
          <cell r="D3204" t="str">
            <v>Not Listed</v>
          </cell>
          <cell r="E3204" t="str">
            <v>Finance (including NBFCs)</v>
          </cell>
        </row>
        <row r="3205">
          <cell r="B3205" t="str">
            <v>PRIME CUSTOMER SERVICES LTD</v>
          </cell>
          <cell r="C3205">
            <v>540404</v>
          </cell>
          <cell r="D3205" t="str">
            <v>Not Listed</v>
          </cell>
          <cell r="E3205" t="str">
            <v>Other Agricultural Products</v>
          </cell>
        </row>
        <row r="3206">
          <cell r="B3206" t="str">
            <v>PRIME FOCUS LTD</v>
          </cell>
          <cell r="C3206">
            <v>532748</v>
          </cell>
          <cell r="D3206" t="str">
            <v>PFOCUS</v>
          </cell>
          <cell r="E3206" t="str">
            <v>Movies &amp; Entertainment</v>
          </cell>
        </row>
        <row r="3207">
          <cell r="B3207" t="str">
            <v>PRIME INDUSTRIES LTD</v>
          </cell>
          <cell r="C3207">
            <v>519299</v>
          </cell>
          <cell r="D3207" t="str">
            <v>Not Listed</v>
          </cell>
          <cell r="E3207" t="str">
            <v>Edible Oils</v>
          </cell>
        </row>
        <row r="3208">
          <cell r="B3208" t="str">
            <v>PRIME PROPERTY DEVELOPMENT CORPORATION LTD</v>
          </cell>
          <cell r="C3208">
            <v>530695</v>
          </cell>
          <cell r="D3208" t="str">
            <v>Not Listed</v>
          </cell>
          <cell r="E3208" t="str">
            <v>Realty</v>
          </cell>
        </row>
        <row r="3209">
          <cell r="B3209" t="str">
            <v>PRIME SECURITIES LTD</v>
          </cell>
          <cell r="C3209">
            <v>500337</v>
          </cell>
          <cell r="D3209" t="str">
            <v>PRIMESECU</v>
          </cell>
          <cell r="E3209" t="str">
            <v>Other Financial Services</v>
          </cell>
        </row>
        <row r="3210">
          <cell r="B3210" t="str">
            <v>PRIME URBAN DEVELOPMENT (INDIA) LTD</v>
          </cell>
          <cell r="C3210">
            <v>521149</v>
          </cell>
          <cell r="D3210" t="str">
            <v>Not Listed</v>
          </cell>
          <cell r="E3210" t="str">
            <v>Realty</v>
          </cell>
        </row>
        <row r="3211">
          <cell r="B3211" t="str">
            <v>PRIME URBAN DEVELOPMENT INDIA LTD</v>
          </cell>
          <cell r="C3211">
            <v>521149</v>
          </cell>
          <cell r="D3211" t="str">
            <v>Not Listed</v>
          </cell>
          <cell r="E3211" t="str">
            <v>Realty</v>
          </cell>
        </row>
        <row r="3212">
          <cell r="B3212" t="str">
            <v>PRISM FINANCE LTD</v>
          </cell>
          <cell r="C3212">
            <v>531735</v>
          </cell>
          <cell r="D3212" t="str">
            <v>Not Listed</v>
          </cell>
          <cell r="E3212" t="str">
            <v>Finance (including NBFCs)</v>
          </cell>
        </row>
        <row r="3213">
          <cell r="B3213" t="str">
            <v>PRISM JOHNSON LTD</v>
          </cell>
          <cell r="C3213">
            <v>500338</v>
          </cell>
          <cell r="D3213" t="str">
            <v>PRSMJOHNSN</v>
          </cell>
          <cell r="E3213" t="str">
            <v>Cement &amp; Cement Products</v>
          </cell>
        </row>
        <row r="3214">
          <cell r="B3214" t="str">
            <v>PRISM MEDICO AND PHARMACY LTD</v>
          </cell>
          <cell r="C3214">
            <v>512217</v>
          </cell>
          <cell r="D3214" t="str">
            <v>Not Listed</v>
          </cell>
          <cell r="E3214" t="str">
            <v>Finance (including NBFCs)</v>
          </cell>
        </row>
        <row r="3215">
          <cell r="B3215" t="str">
            <v>PRITHVI EXCHANGE (INDIA) LTD</v>
          </cell>
          <cell r="C3215">
            <v>531688</v>
          </cell>
          <cell r="D3215" t="str">
            <v>Not Listed</v>
          </cell>
          <cell r="E3215" t="str">
            <v>IT Software Products</v>
          </cell>
        </row>
        <row r="3216">
          <cell r="B3216" t="str">
            <v>PRITHVI EXCHANGE INDIA LTD</v>
          </cell>
          <cell r="C3216">
            <v>531688</v>
          </cell>
          <cell r="D3216" t="str">
            <v>Not Listed</v>
          </cell>
          <cell r="E3216" t="str">
            <v>IT Software Products</v>
          </cell>
        </row>
        <row r="3217">
          <cell r="B3217" t="str">
            <v>PRITI INTERNATIONAL LTD</v>
          </cell>
          <cell r="C3217" t="str">
            <v>Not Listed</v>
          </cell>
          <cell r="D3217" t="str">
            <v>PRITI</v>
          </cell>
          <cell r="E3217" t="str">
            <v>SME</v>
          </cell>
        </row>
        <row r="3218">
          <cell r="B3218" t="str">
            <v>PRITIKA AUTO INDUSTRIES LTD</v>
          </cell>
          <cell r="C3218">
            <v>539359</v>
          </cell>
          <cell r="D3218" t="str">
            <v>Not Listed</v>
          </cell>
          <cell r="E3218" t="str">
            <v>Other Industrial Products</v>
          </cell>
        </row>
        <row r="3219">
          <cell r="B3219" t="str">
            <v>PRITISH NANDY COMMUNICATIONS LTD</v>
          </cell>
          <cell r="C3219">
            <v>532387</v>
          </cell>
          <cell r="D3219" t="str">
            <v>PNC</v>
          </cell>
          <cell r="E3219" t="str">
            <v>Movies &amp; Entertainment</v>
          </cell>
        </row>
        <row r="3220">
          <cell r="B3220" t="str">
            <v>PRIYA LTD</v>
          </cell>
          <cell r="C3220">
            <v>524580</v>
          </cell>
          <cell r="D3220" t="str">
            <v>Not Listed</v>
          </cell>
          <cell r="E3220" t="str">
            <v>Comm.Trading  &amp; Distribution</v>
          </cell>
        </row>
        <row r="3221">
          <cell r="B3221" t="str">
            <v>PRO FIN CAPITAL SERVICES LTD</v>
          </cell>
          <cell r="C3221">
            <v>511557</v>
          </cell>
          <cell r="D3221" t="str">
            <v>Not Listed</v>
          </cell>
          <cell r="E3221" t="str">
            <v>Misc.Commercial Services</v>
          </cell>
        </row>
        <row r="3222">
          <cell r="B3222" t="str">
            <v>PROAIM ENTERPRISES LTD</v>
          </cell>
          <cell r="C3222">
            <v>512105</v>
          </cell>
          <cell r="D3222" t="str">
            <v>Not Listed</v>
          </cell>
          <cell r="E3222" t="str">
            <v>Misc.Commercial Services</v>
          </cell>
        </row>
        <row r="3223">
          <cell r="B3223" t="str">
            <v>PROCAL ELECTRONICS (INDIA) LTD</v>
          </cell>
          <cell r="C3223">
            <v>526009</v>
          </cell>
          <cell r="D3223" t="str">
            <v>Not Listed</v>
          </cell>
          <cell r="E3223" t="str">
            <v>Comm.Trading  &amp; Distribution</v>
          </cell>
        </row>
        <row r="3224">
          <cell r="B3224" t="str">
            <v>PROCAL ELECTRONICS INDIA LTD</v>
          </cell>
          <cell r="C3224">
            <v>526009</v>
          </cell>
          <cell r="D3224" t="str">
            <v>Not Listed</v>
          </cell>
          <cell r="E3224" t="str">
            <v>Comm.Trading  &amp; Distribution</v>
          </cell>
        </row>
        <row r="3225">
          <cell r="B3225" t="str">
            <v>Procter &amp; Gamble Health LTD</v>
          </cell>
          <cell r="C3225" t="str">
            <v>Not Listed</v>
          </cell>
          <cell r="D3225" t="str">
            <v>PGHL</v>
          </cell>
          <cell r="E3225" t="str">
            <v>Comm.Trading  &amp; Distribution</v>
          </cell>
        </row>
        <row r="3226">
          <cell r="B3226" t="str">
            <v>PROCTER &amp; GAMBLE HYGIENE AND HEALTH CARE LTD</v>
          </cell>
          <cell r="C3226">
            <v>500459</v>
          </cell>
          <cell r="D3226" t="str">
            <v>PGHH</v>
          </cell>
          <cell r="E3226" t="str">
            <v>Personal Products</v>
          </cell>
        </row>
        <row r="3227">
          <cell r="B3227" t="str">
            <v>PROGRESSIVE EXTRACTIONS &amp; EXPORTS LTD</v>
          </cell>
          <cell r="C3227">
            <v>531265</v>
          </cell>
          <cell r="D3227" t="str">
            <v>Not Listed</v>
          </cell>
          <cell r="E3227" t="str">
            <v>Other Food Products</v>
          </cell>
        </row>
        <row r="3228">
          <cell r="B3228" t="str">
            <v>PROLIFE INDUSTRIES LTD</v>
          </cell>
          <cell r="C3228" t="str">
            <v>Not Listed</v>
          </cell>
          <cell r="D3228" t="str">
            <v>PROLIFE</v>
          </cell>
          <cell r="E3228" t="str">
            <v>SME</v>
          </cell>
        </row>
        <row r="3229">
          <cell r="B3229" t="str">
            <v>PROMACT IMPEX LTD</v>
          </cell>
          <cell r="C3229">
            <v>526494</v>
          </cell>
          <cell r="D3229" t="str">
            <v>Not Listed</v>
          </cell>
          <cell r="E3229" t="str">
            <v>Containers &amp; Packaging</v>
          </cell>
        </row>
        <row r="3230">
          <cell r="B3230" t="str">
            <v>PROSEED (INDIA) LTD</v>
          </cell>
          <cell r="C3230">
            <v>590057</v>
          </cell>
          <cell r="D3230" t="str">
            <v>PROSEED</v>
          </cell>
          <cell r="E3230" t="str">
            <v>IT Software Products</v>
          </cell>
        </row>
        <row r="3231">
          <cell r="B3231" t="str">
            <v>PROSEED INDIA LTD</v>
          </cell>
          <cell r="C3231">
            <v>590057</v>
          </cell>
          <cell r="D3231" t="str">
            <v>PROSEED</v>
          </cell>
          <cell r="E3231" t="str">
            <v>IT Software Products</v>
          </cell>
        </row>
        <row r="3232">
          <cell r="B3232" t="str">
            <v>PROVESTMENT SERVICES LTD</v>
          </cell>
          <cell r="C3232">
            <v>540703</v>
          </cell>
          <cell r="D3232" t="str">
            <v>Not Listed</v>
          </cell>
          <cell r="E3232" t="str">
            <v>Consulting Services</v>
          </cell>
        </row>
        <row r="3233">
          <cell r="B3233" t="str">
            <v>PROVOGUE (INDIA) LTD</v>
          </cell>
          <cell r="C3233">
            <v>532647</v>
          </cell>
          <cell r="D3233" t="str">
            <v>PROVOGE</v>
          </cell>
          <cell r="E3233" t="str">
            <v>Other Apparels &amp; Accessories</v>
          </cell>
        </row>
        <row r="3234">
          <cell r="B3234" t="str">
            <v>PROVOGUE INDIA LTD</v>
          </cell>
          <cell r="C3234">
            <v>532647</v>
          </cell>
          <cell r="D3234" t="str">
            <v>PROVOGE</v>
          </cell>
          <cell r="E3234" t="str">
            <v>Other Apparels &amp; Accessories</v>
          </cell>
        </row>
        <row r="3235">
          <cell r="B3235" t="str">
            <v>PROZONE INTU PROPERTIES LTD</v>
          </cell>
          <cell r="C3235">
            <v>534675</v>
          </cell>
          <cell r="D3235" t="str">
            <v>PROZONINTU</v>
          </cell>
          <cell r="E3235" t="str">
            <v>Realty</v>
          </cell>
        </row>
        <row r="3236">
          <cell r="B3236" t="str">
            <v>PS IT INFRASTRUCTURE &amp; SERVICES LTD</v>
          </cell>
          <cell r="C3236">
            <v>505502</v>
          </cell>
          <cell r="D3236" t="str">
            <v>Not Listed</v>
          </cell>
          <cell r="E3236" t="str">
            <v>Other Financial Services</v>
          </cell>
        </row>
        <row r="3237">
          <cell r="B3237" t="str">
            <v>PSL LTD</v>
          </cell>
          <cell r="C3237">
            <v>526801</v>
          </cell>
          <cell r="D3237" t="str">
            <v>PSL</v>
          </cell>
          <cell r="E3237" t="str">
            <v>Construction &amp; Engineering</v>
          </cell>
        </row>
        <row r="3238">
          <cell r="B3238" t="str">
            <v>PSP PROJECTS LTD</v>
          </cell>
          <cell r="C3238">
            <v>540544</v>
          </cell>
          <cell r="D3238" t="str">
            <v>PSPPROJECT</v>
          </cell>
          <cell r="E3238" t="str">
            <v>Construction &amp; Engineering</v>
          </cell>
        </row>
        <row r="3239">
          <cell r="B3239" t="str">
            <v>PTC (INDIA) LTD</v>
          </cell>
          <cell r="C3239">
            <v>532524</v>
          </cell>
          <cell r="D3239" t="str">
            <v>PTC</v>
          </cell>
          <cell r="E3239" t="str">
            <v>Electric Utilities</v>
          </cell>
        </row>
        <row r="3240">
          <cell r="B3240" t="str">
            <v>PTC INDIA FINANCIAL SERVICES LTD</v>
          </cell>
          <cell r="C3240">
            <v>533344</v>
          </cell>
          <cell r="D3240" t="str">
            <v>PFS</v>
          </cell>
          <cell r="E3240" t="str">
            <v>Finance (including NBFCs)</v>
          </cell>
        </row>
        <row r="3241">
          <cell r="B3241" t="str">
            <v>PTC INDIA LTD</v>
          </cell>
          <cell r="C3241">
            <v>532524</v>
          </cell>
          <cell r="D3241" t="str">
            <v>PTC</v>
          </cell>
          <cell r="E3241" t="str">
            <v>Electric Utilities</v>
          </cell>
        </row>
        <row r="3242">
          <cell r="B3242" t="str">
            <v>PTC INDUSTRIES LTD</v>
          </cell>
          <cell r="C3242">
            <v>539006</v>
          </cell>
          <cell r="D3242" t="str">
            <v>Not Listed</v>
          </cell>
          <cell r="E3242" t="str">
            <v>Other Industrial Products</v>
          </cell>
        </row>
        <row r="3243">
          <cell r="B3243" t="str">
            <v>PTL ENTERPRISES LTD</v>
          </cell>
          <cell r="C3243">
            <v>509220</v>
          </cell>
          <cell r="D3243" t="str">
            <v>PTL</v>
          </cell>
          <cell r="E3243" t="str">
            <v>Comm.Trading  &amp; Distribution</v>
          </cell>
        </row>
        <row r="3244">
          <cell r="B3244" t="str">
            <v>PUDUMJEE PAPER PRODUCTS LTD</v>
          </cell>
          <cell r="C3244">
            <v>539785</v>
          </cell>
          <cell r="D3244" t="str">
            <v>PDMJEPAPER</v>
          </cell>
          <cell r="E3244" t="str">
            <v>Paper &amp; Paper Products</v>
          </cell>
        </row>
        <row r="3245">
          <cell r="B3245" t="str">
            <v>PULSAR INTERNATIONAL LTD</v>
          </cell>
          <cell r="C3245">
            <v>512591</v>
          </cell>
          <cell r="D3245" t="str">
            <v>Not Listed</v>
          </cell>
          <cell r="E3245" t="str">
            <v>Comm.Trading  &amp; Distribution</v>
          </cell>
        </row>
        <row r="3246">
          <cell r="B3246" t="str">
            <v>PULZ ELECTRONICS LTD</v>
          </cell>
          <cell r="C3246" t="str">
            <v>Not Listed</v>
          </cell>
          <cell r="D3246" t="str">
            <v>PULZ</v>
          </cell>
          <cell r="E3246" t="str">
            <v>SME</v>
          </cell>
        </row>
        <row r="3247">
          <cell r="B3247" t="str">
            <v>PUNCTUAL TRADING LTD</v>
          </cell>
          <cell r="C3247">
            <v>512461</v>
          </cell>
          <cell r="D3247" t="str">
            <v>Not Listed</v>
          </cell>
          <cell r="E3247" t="str">
            <v>Comm.Trading  &amp; Distribution</v>
          </cell>
        </row>
        <row r="3248">
          <cell r="B3248" t="str">
            <v>PUNIT COMMERCIALS LTD</v>
          </cell>
          <cell r="C3248">
            <v>512099</v>
          </cell>
          <cell r="D3248" t="str">
            <v>Not Listed</v>
          </cell>
          <cell r="E3248" t="str">
            <v>Other Apparels &amp; Accessories</v>
          </cell>
        </row>
        <row r="3249">
          <cell r="B3249" t="str">
            <v>PUNJ LLOYD LTD</v>
          </cell>
          <cell r="C3249">
            <v>532693</v>
          </cell>
          <cell r="D3249" t="str">
            <v>PUNJLLOYD</v>
          </cell>
          <cell r="E3249" t="str">
            <v>Construction &amp; Engineering</v>
          </cell>
        </row>
        <row r="3250">
          <cell r="B3250" t="str">
            <v>PUNJAB &amp; SIND BANK</v>
          </cell>
          <cell r="C3250">
            <v>533295</v>
          </cell>
          <cell r="D3250" t="str">
            <v>PSB</v>
          </cell>
          <cell r="E3250" t="str">
            <v>Banks</v>
          </cell>
        </row>
        <row r="3251">
          <cell r="B3251" t="str">
            <v>PUNJAB ALKALIES &amp; CHEMICALS LTD</v>
          </cell>
          <cell r="C3251">
            <v>506852</v>
          </cell>
          <cell r="D3251" t="str">
            <v>Not Listed</v>
          </cell>
          <cell r="E3251" t="str">
            <v>Commodity Chemicals</v>
          </cell>
        </row>
        <row r="3252">
          <cell r="B3252" t="str">
            <v>PUNJAB CHEMICALS &amp; CROP PROTECTION LTD</v>
          </cell>
          <cell r="C3252">
            <v>506618</v>
          </cell>
          <cell r="D3252" t="str">
            <v>PUNJABCHEM</v>
          </cell>
          <cell r="E3252" t="str">
            <v>Agrochemicals</v>
          </cell>
        </row>
        <row r="3253">
          <cell r="B3253" t="str">
            <v>PUNJAB COMMUNICATIONS LTD</v>
          </cell>
          <cell r="C3253">
            <v>500346</v>
          </cell>
          <cell r="D3253" t="str">
            <v>Not Listed</v>
          </cell>
          <cell r="E3253" t="str">
            <v>Telecom Equipment</v>
          </cell>
        </row>
        <row r="3254">
          <cell r="B3254" t="str">
            <v>PUNJAB NATIONAL BANK</v>
          </cell>
          <cell r="C3254">
            <v>532461</v>
          </cell>
          <cell r="D3254" t="str">
            <v>PNB</v>
          </cell>
          <cell r="E3254" t="str">
            <v>Banks</v>
          </cell>
        </row>
        <row r="3255">
          <cell r="B3255" t="str">
            <v>PURAVANKARA LTD</v>
          </cell>
          <cell r="C3255">
            <v>532891</v>
          </cell>
          <cell r="D3255" t="str">
            <v>PURVA</v>
          </cell>
          <cell r="E3255" t="str">
            <v>Realty</v>
          </cell>
        </row>
        <row r="3256">
          <cell r="B3256" t="str">
            <v>PURE GIFTCARAT LTD</v>
          </cell>
          <cell r="C3256">
            <v>540492</v>
          </cell>
          <cell r="D3256" t="str">
            <v>Not Listed</v>
          </cell>
          <cell r="E3256" t="str">
            <v>Comm.Trading  &amp; Distribution</v>
          </cell>
        </row>
        <row r="3257">
          <cell r="B3257" t="str">
            <v>PURITY FLEX PACK LTD</v>
          </cell>
          <cell r="C3257">
            <v>523315</v>
          </cell>
          <cell r="D3257" t="str">
            <v>Not Listed</v>
          </cell>
          <cell r="E3257" t="str">
            <v>Paper &amp; Paper Products</v>
          </cell>
        </row>
        <row r="3258">
          <cell r="B3258" t="str">
            <v>PUROHIT CONSTRUCTION LTD</v>
          </cell>
          <cell r="C3258">
            <v>538993</v>
          </cell>
          <cell r="D3258" t="str">
            <v>Not Listed</v>
          </cell>
          <cell r="E3258" t="str">
            <v>Realty</v>
          </cell>
        </row>
        <row r="3259">
          <cell r="B3259" t="str">
            <v>PURPLE ENTERTAINMENT LTD</v>
          </cell>
          <cell r="C3259">
            <v>540159</v>
          </cell>
          <cell r="D3259" t="str">
            <v>Not Listed</v>
          </cell>
          <cell r="E3259" t="str">
            <v>Movies &amp; Entertainment</v>
          </cell>
        </row>
        <row r="3260">
          <cell r="B3260" t="str">
            <v>PURSHOTTAM INVESTOFIN LTD</v>
          </cell>
          <cell r="C3260">
            <v>538647</v>
          </cell>
          <cell r="D3260" t="str">
            <v>Not Listed</v>
          </cell>
          <cell r="E3260" t="str">
            <v>Finance (including NBFCs)</v>
          </cell>
        </row>
        <row r="3261">
          <cell r="B3261" t="str">
            <v>PUSHPANJALI REALMS AND INFRATECH LTD</v>
          </cell>
          <cell r="C3261" t="str">
            <v>Not Listed</v>
          </cell>
          <cell r="D3261" t="str">
            <v>PUSHPREALM</v>
          </cell>
          <cell r="E3261" t="str">
            <v>SME</v>
          </cell>
        </row>
        <row r="3262">
          <cell r="B3262" t="str">
            <v>PUSHPSONS INDUSTRIES LTD</v>
          </cell>
          <cell r="C3262">
            <v>531562</v>
          </cell>
          <cell r="D3262" t="str">
            <v>Not Listed</v>
          </cell>
          <cell r="E3262" t="str">
            <v>Textiles</v>
          </cell>
        </row>
        <row r="3263">
          <cell r="B3263" t="str">
            <v>PVP VENTURES LTD</v>
          </cell>
          <cell r="C3263">
            <v>517556</v>
          </cell>
          <cell r="D3263" t="str">
            <v>PVP</v>
          </cell>
          <cell r="E3263" t="str">
            <v>Realty</v>
          </cell>
        </row>
        <row r="3264">
          <cell r="B3264" t="str">
            <v>PVR LTD</v>
          </cell>
          <cell r="C3264">
            <v>532689</v>
          </cell>
          <cell r="D3264" t="str">
            <v>PVR</v>
          </cell>
          <cell r="E3264" t="str">
            <v>Specialty Retail</v>
          </cell>
        </row>
        <row r="3265">
          <cell r="B3265" t="str">
            <v>PVV INFRA LTD</v>
          </cell>
          <cell r="C3265">
            <v>536659</v>
          </cell>
          <cell r="D3265" t="str">
            <v>Not Listed</v>
          </cell>
          <cell r="E3265" t="str">
            <v>Construction &amp; Engineering</v>
          </cell>
        </row>
        <row r="3266">
          <cell r="B3266" t="str">
            <v>PYXIS FINVEST LTD</v>
          </cell>
          <cell r="C3266">
            <v>534109</v>
          </cell>
          <cell r="D3266" t="str">
            <v>Not Listed</v>
          </cell>
          <cell r="E3266" t="str">
            <v>Finance (including NBFCs)</v>
          </cell>
        </row>
        <row r="3267">
          <cell r="B3267" t="str">
            <v>QUADRANT TELEVENTURES LTD</v>
          </cell>
          <cell r="C3267">
            <v>511116</v>
          </cell>
          <cell r="D3267" t="str">
            <v>Not Listed</v>
          </cell>
          <cell r="E3267" t="str">
            <v>Telecom Services</v>
          </cell>
        </row>
        <row r="3268">
          <cell r="B3268" t="str">
            <v>QUANTUM BUILD-TECH LTD</v>
          </cell>
          <cell r="C3268">
            <v>538596</v>
          </cell>
          <cell r="D3268" t="str">
            <v>Not Listed</v>
          </cell>
          <cell r="E3268" t="str">
            <v>Realty</v>
          </cell>
        </row>
        <row r="3269">
          <cell r="B3269" t="str">
            <v>QUANTUM DIGITAL VISION (INDIA) LTD</v>
          </cell>
          <cell r="C3269">
            <v>530281</v>
          </cell>
          <cell r="D3269" t="str">
            <v>Not Listed</v>
          </cell>
          <cell r="E3269" t="str">
            <v>Containers &amp; Packaging</v>
          </cell>
        </row>
        <row r="3270">
          <cell r="B3270" t="str">
            <v>QUANTUM DIGITAL VISION INDIA LTD</v>
          </cell>
          <cell r="C3270">
            <v>530281</v>
          </cell>
          <cell r="D3270" t="str">
            <v>Not Listed</v>
          </cell>
          <cell r="E3270" t="str">
            <v>Containers &amp; Packaging</v>
          </cell>
        </row>
        <row r="3271">
          <cell r="B3271" t="str">
            <v>QUANTUM GOLD FUND - EXCHANGE TRADED FUND (ETF)</v>
          </cell>
          <cell r="C3271">
            <v>590099</v>
          </cell>
          <cell r="D3271" t="str">
            <v>QGOLDHALF</v>
          </cell>
          <cell r="E3271" t="str">
            <v>Other Financial Services</v>
          </cell>
        </row>
        <row r="3272">
          <cell r="B3272" t="str">
            <v>QUANTUM MUTUAL FUND - QUANTUM INDEX FUND ETF</v>
          </cell>
          <cell r="C3272">
            <v>590110</v>
          </cell>
          <cell r="D3272" t="str">
            <v>QNIFTY</v>
          </cell>
          <cell r="E3272" t="str">
            <v>Other Financial Services</v>
          </cell>
        </row>
        <row r="3273">
          <cell r="B3273" t="str">
            <v>QUESS CORP LTD</v>
          </cell>
          <cell r="C3273">
            <v>539978</v>
          </cell>
          <cell r="D3273" t="str">
            <v>QUESS</v>
          </cell>
          <cell r="E3273" t="str">
            <v>Diversified</v>
          </cell>
        </row>
        <row r="3274">
          <cell r="B3274" t="str">
            <v>QUEST FINANCIAL SERVICES LTD</v>
          </cell>
          <cell r="C3274">
            <v>539962</v>
          </cell>
          <cell r="D3274" t="str">
            <v>Not Listed</v>
          </cell>
          <cell r="E3274" t="str">
            <v>Finance (including NBFCs)</v>
          </cell>
        </row>
        <row r="3275">
          <cell r="B3275" t="str">
            <v>QUEST SOFTECH (INDIA) LTD</v>
          </cell>
          <cell r="C3275">
            <v>535719</v>
          </cell>
          <cell r="D3275" t="str">
            <v>Not Listed</v>
          </cell>
          <cell r="E3275" t="str">
            <v>IT Consulting &amp; Software</v>
          </cell>
        </row>
        <row r="3276">
          <cell r="B3276" t="str">
            <v>QUEST SOFTECH INDIA LTD</v>
          </cell>
          <cell r="C3276">
            <v>535719</v>
          </cell>
          <cell r="D3276" t="str">
            <v>Not Listed</v>
          </cell>
          <cell r="E3276" t="str">
            <v>IT Consulting &amp; Software</v>
          </cell>
        </row>
        <row r="3277">
          <cell r="B3277" t="str">
            <v>QUICK HEAL TECHNOLOGIES LTD</v>
          </cell>
          <cell r="C3277">
            <v>539678</v>
          </cell>
          <cell r="D3277" t="str">
            <v>QUICKHEAL</v>
          </cell>
          <cell r="E3277" t="str">
            <v>IT Software Products</v>
          </cell>
        </row>
        <row r="3278">
          <cell r="B3278" t="str">
            <v>QUINTEGRA SOLUTIONS LTD</v>
          </cell>
          <cell r="C3278">
            <v>532866</v>
          </cell>
          <cell r="D3278" t="str">
            <v>QUINTEGRA</v>
          </cell>
          <cell r="E3278" t="str">
            <v>IT Consulting &amp; Software</v>
          </cell>
        </row>
        <row r="3279">
          <cell r="B3279" t="str">
            <v>R B GUPTA FINANCIALS LTD</v>
          </cell>
          <cell r="C3279">
            <v>532024</v>
          </cell>
          <cell r="D3279" t="str">
            <v>Not Listed</v>
          </cell>
          <cell r="E3279" t="str">
            <v>Other Financial Services</v>
          </cell>
        </row>
        <row r="3280">
          <cell r="B3280" t="str">
            <v>R J BIO-TECH LTD</v>
          </cell>
          <cell r="C3280">
            <v>536456</v>
          </cell>
          <cell r="D3280" t="str">
            <v>Not Listed</v>
          </cell>
          <cell r="E3280" t="str">
            <v>Other Agricultural Products</v>
          </cell>
        </row>
        <row r="3281">
          <cell r="B3281" t="str">
            <v>R J SHAH &amp; CO LTD</v>
          </cell>
          <cell r="C3281">
            <v>509845</v>
          </cell>
          <cell r="D3281" t="str">
            <v>Not Listed</v>
          </cell>
          <cell r="E3281" t="str">
            <v>Realty</v>
          </cell>
        </row>
        <row r="3282">
          <cell r="B3282" t="str">
            <v>R M DRIP AND SPRINKLERS SYSTEMS LTD</v>
          </cell>
          <cell r="C3282" t="str">
            <v>Not Listed</v>
          </cell>
          <cell r="D3282" t="str">
            <v>RMDRIP</v>
          </cell>
          <cell r="E3282" t="str">
            <v>SME</v>
          </cell>
        </row>
        <row r="3283">
          <cell r="B3283" t="str">
            <v>R P P INFRA PROJECTS LTD</v>
          </cell>
          <cell r="C3283">
            <v>533284</v>
          </cell>
          <cell r="D3283" t="str">
            <v>RPPINFRA</v>
          </cell>
          <cell r="E3283" t="str">
            <v>Construction &amp; Engineering</v>
          </cell>
        </row>
        <row r="3284">
          <cell r="B3284" t="str">
            <v>R R SECURITIES LTD</v>
          </cell>
          <cell r="C3284">
            <v>530917</v>
          </cell>
          <cell r="D3284" t="str">
            <v>Not Listed</v>
          </cell>
          <cell r="E3284" t="str">
            <v>Misc.Commercial Services</v>
          </cell>
        </row>
        <row r="3285">
          <cell r="B3285" t="str">
            <v>R S SOFTWARE (INDIA) LTD</v>
          </cell>
          <cell r="C3285">
            <v>517447</v>
          </cell>
          <cell r="D3285" t="str">
            <v>RSSOFTWARE</v>
          </cell>
          <cell r="E3285" t="str">
            <v>IT Software Products</v>
          </cell>
        </row>
        <row r="3286">
          <cell r="B3286" t="str">
            <v>R S SOFTWARE INDIA LTD</v>
          </cell>
          <cell r="C3286">
            <v>517447</v>
          </cell>
          <cell r="D3286" t="str">
            <v>RSSOFTWARE</v>
          </cell>
          <cell r="E3286" t="str">
            <v>IT Software Products</v>
          </cell>
        </row>
        <row r="3287">
          <cell r="B3287" t="str">
            <v>R SYSTEMS INTERNATIONAL LTD</v>
          </cell>
          <cell r="C3287">
            <v>532735</v>
          </cell>
          <cell r="D3287" t="str">
            <v>RSYSTEMS</v>
          </cell>
          <cell r="E3287" t="str">
            <v>IT Consulting &amp; Software</v>
          </cell>
        </row>
        <row r="3288">
          <cell r="B3288" t="str">
            <v>R T EXPORTS LTD</v>
          </cell>
          <cell r="C3288">
            <v>512565</v>
          </cell>
          <cell r="D3288" t="str">
            <v>Not Listed</v>
          </cell>
          <cell r="E3288" t="str">
            <v>Other Agricultural Products</v>
          </cell>
        </row>
        <row r="3289">
          <cell r="B3289" t="str">
            <v>R&amp;B DENIMS LTD</v>
          </cell>
          <cell r="C3289">
            <v>538119</v>
          </cell>
          <cell r="D3289" t="str">
            <v>Not Listed</v>
          </cell>
          <cell r="E3289" t="str">
            <v>Textiles</v>
          </cell>
        </row>
        <row r="3290">
          <cell r="B3290" t="str">
            <v>RAAJ MEDISAFE (INDIA) LTD</v>
          </cell>
          <cell r="C3290">
            <v>524502</v>
          </cell>
          <cell r="D3290" t="str">
            <v>Not Listed</v>
          </cell>
          <cell r="E3290" t="str">
            <v>Medical Equipment</v>
          </cell>
        </row>
        <row r="3291">
          <cell r="B3291" t="str">
            <v>RAAJ MEDISAFE INDIA LTD</v>
          </cell>
          <cell r="C3291">
            <v>524502</v>
          </cell>
          <cell r="D3291" t="str">
            <v>Not Listed</v>
          </cell>
          <cell r="E3291" t="str">
            <v>Medical Equipment</v>
          </cell>
        </row>
        <row r="3292">
          <cell r="B3292" t="str">
            <v>RAASI REFRACTORIES LTD</v>
          </cell>
          <cell r="C3292">
            <v>502271</v>
          </cell>
          <cell r="D3292" t="str">
            <v>Not Listed</v>
          </cell>
          <cell r="E3292" t="str">
            <v>Other Industrial Goods</v>
          </cell>
        </row>
        <row r="3293">
          <cell r="B3293" t="str">
            <v>RACL GEARTECH LTD</v>
          </cell>
          <cell r="C3293">
            <v>520073</v>
          </cell>
          <cell r="D3293" t="str">
            <v>Not Listed</v>
          </cell>
          <cell r="E3293" t="str">
            <v>Auto Parts &amp; Equipment</v>
          </cell>
        </row>
        <row r="3294">
          <cell r="B3294" t="str">
            <v>RADAAN MEDIAWORKS (INDIA) LTD</v>
          </cell>
          <cell r="C3294">
            <v>590070</v>
          </cell>
          <cell r="D3294" t="str">
            <v>RADAAN</v>
          </cell>
          <cell r="E3294" t="str">
            <v>Movies &amp; Entertainment</v>
          </cell>
        </row>
        <row r="3295">
          <cell r="B3295" t="str">
            <v>RADAAN MEDIAWORKS INDIA LTD</v>
          </cell>
          <cell r="C3295">
            <v>590070</v>
          </cell>
          <cell r="D3295" t="str">
            <v>RADAAN</v>
          </cell>
          <cell r="E3295" t="str">
            <v>Movies &amp; Entertainment</v>
          </cell>
        </row>
        <row r="3296">
          <cell r="B3296" t="str">
            <v>RADHA MADHAV CORPORATION LTD</v>
          </cell>
          <cell r="C3296">
            <v>532692</v>
          </cell>
          <cell r="D3296" t="str">
            <v>RMCL</v>
          </cell>
          <cell r="E3296" t="str">
            <v>Containers &amp; Packaging</v>
          </cell>
        </row>
        <row r="3297">
          <cell r="B3297" t="str">
            <v>RADHAGOBIND COMMERCIAL LTD</v>
          </cell>
          <cell r="C3297">
            <v>539673</v>
          </cell>
          <cell r="D3297" t="str">
            <v>Not Listed</v>
          </cell>
          <cell r="E3297" t="str">
            <v>Distributors</v>
          </cell>
        </row>
        <row r="3298">
          <cell r="B3298" t="str">
            <v>RADHE DEVELOPERS (INDIA) LTD</v>
          </cell>
          <cell r="C3298">
            <v>531273</v>
          </cell>
          <cell r="D3298" t="str">
            <v>Not Listed</v>
          </cell>
          <cell r="E3298" t="str">
            <v>Realty</v>
          </cell>
        </row>
        <row r="3299">
          <cell r="B3299" t="str">
            <v>RADHE DEVELOPERS INDIA LTD</v>
          </cell>
          <cell r="C3299">
            <v>531273</v>
          </cell>
          <cell r="D3299" t="str">
            <v>Not Listed</v>
          </cell>
          <cell r="E3299" t="str">
            <v>Realty</v>
          </cell>
        </row>
        <row r="3300">
          <cell r="B3300" t="str">
            <v>RADHEY TRADE HOLDING LTD</v>
          </cell>
          <cell r="C3300">
            <v>539814</v>
          </cell>
          <cell r="D3300" t="str">
            <v>Not Listed</v>
          </cell>
          <cell r="E3300" t="str">
            <v>Comm.Trading  &amp; Distribution</v>
          </cell>
        </row>
        <row r="3301">
          <cell r="B3301" t="str">
            <v>RADHIKA JEWELTECH LTD</v>
          </cell>
          <cell r="C3301">
            <v>540125</v>
          </cell>
          <cell r="D3301" t="str">
            <v>Not Listed</v>
          </cell>
          <cell r="E3301" t="str">
            <v>Other Apparels &amp; Accessories</v>
          </cell>
        </row>
        <row r="3302">
          <cell r="B3302" t="str">
            <v>RADICO KHAITAN LTD</v>
          </cell>
          <cell r="C3302">
            <v>532497</v>
          </cell>
          <cell r="D3302" t="str">
            <v>RADICO</v>
          </cell>
          <cell r="E3302" t="str">
            <v>Breweries &amp; Distilleries</v>
          </cell>
        </row>
        <row r="3303">
          <cell r="B3303" t="str">
            <v>RADIX INDUSTRIES (INDIA) LTD</v>
          </cell>
          <cell r="C3303">
            <v>531412</v>
          </cell>
          <cell r="D3303" t="str">
            <v>Not Listed</v>
          </cell>
          <cell r="E3303" t="str">
            <v>Personal Products</v>
          </cell>
        </row>
        <row r="3304">
          <cell r="B3304" t="str">
            <v>RADIX INDUSTRIES INDIA LTD</v>
          </cell>
          <cell r="C3304">
            <v>531412</v>
          </cell>
          <cell r="D3304" t="str">
            <v>Not Listed</v>
          </cell>
          <cell r="E3304" t="str">
            <v>Personal Products</v>
          </cell>
        </row>
        <row r="3305">
          <cell r="B3305" t="str">
            <v>RAGHAV PRODUCTIVITY ENHANCERS LTD</v>
          </cell>
          <cell r="C3305">
            <v>539837</v>
          </cell>
          <cell r="D3305" t="str">
            <v>Not Listed</v>
          </cell>
          <cell r="E3305" t="str">
            <v>Other Industrial Goods</v>
          </cell>
        </row>
        <row r="3306">
          <cell r="B3306" t="str">
            <v>RAGHUNATH INTERNATIONAL LTD</v>
          </cell>
          <cell r="C3306">
            <v>526813</v>
          </cell>
          <cell r="D3306" t="str">
            <v>Not Listed</v>
          </cell>
          <cell r="E3306" t="str">
            <v>Cigarettes-Tobacco Products</v>
          </cell>
        </row>
        <row r="3307">
          <cell r="B3307" t="str">
            <v>RAGHUNATH TOBACCO CO LTD</v>
          </cell>
          <cell r="C3307">
            <v>531552</v>
          </cell>
          <cell r="D3307" t="str">
            <v>Not Listed</v>
          </cell>
          <cell r="E3307" t="str">
            <v>Realty</v>
          </cell>
        </row>
        <row r="3308">
          <cell r="B3308" t="str">
            <v>RAGHUVANSH AGROFARMS LTD</v>
          </cell>
          <cell r="C3308">
            <v>538921</v>
          </cell>
          <cell r="D3308" t="str">
            <v>Not Listed</v>
          </cell>
          <cell r="E3308" t="str">
            <v>Other Agricultural Products</v>
          </cell>
        </row>
        <row r="3309">
          <cell r="B3309" t="str">
            <v>RAGHUVIR SYNTHETICS LTD</v>
          </cell>
          <cell r="C3309">
            <v>514316</v>
          </cell>
          <cell r="D3309" t="str">
            <v>Not Listed</v>
          </cell>
          <cell r="E3309" t="str">
            <v>Textiles</v>
          </cell>
        </row>
        <row r="3310">
          <cell r="B3310" t="str">
            <v>RAHUL MERCHANDISING LTD</v>
          </cell>
          <cell r="C3310">
            <v>531887</v>
          </cell>
          <cell r="D3310" t="str">
            <v>Not Listed</v>
          </cell>
          <cell r="E3310" t="str">
            <v>Other Apparels &amp; Accessories</v>
          </cell>
        </row>
        <row r="3311">
          <cell r="B3311" t="str">
            <v>RAIDEEP INDUSTRIES LTD</v>
          </cell>
          <cell r="C3311">
            <v>540270</v>
          </cell>
          <cell r="D3311" t="str">
            <v>Not Listed</v>
          </cell>
          <cell r="E3311" t="str">
            <v>Comm.Trading  &amp; Distribution</v>
          </cell>
        </row>
        <row r="3312">
          <cell r="B3312" t="str">
            <v>Rail Vikas Nigam Ltd</v>
          </cell>
          <cell r="C3312">
            <v>542649</v>
          </cell>
          <cell r="D3312" t="str">
            <v>RVNL</v>
          </cell>
          <cell r="E3312" t="str">
            <v>Construction &amp;amp; Engineering</v>
          </cell>
        </row>
        <row r="3313">
          <cell r="B3313" t="str">
            <v>RAIN INDUSTRIES LTD</v>
          </cell>
          <cell r="C3313">
            <v>500339</v>
          </cell>
          <cell r="D3313" t="str">
            <v>RAIN</v>
          </cell>
          <cell r="E3313" t="str">
            <v>Petrochemicals</v>
          </cell>
        </row>
        <row r="3314">
          <cell r="B3314" t="str">
            <v>RAINBOW DENIM LTD</v>
          </cell>
          <cell r="C3314">
            <v>532441</v>
          </cell>
          <cell r="D3314" t="str">
            <v>Not Listed</v>
          </cell>
          <cell r="E3314" t="str">
            <v>Textiles</v>
          </cell>
        </row>
        <row r="3315">
          <cell r="B3315" t="str">
            <v>RAINBOW FOUNDATIONS LTD</v>
          </cell>
          <cell r="C3315">
            <v>531694</v>
          </cell>
          <cell r="D3315" t="str">
            <v>Not Listed</v>
          </cell>
          <cell r="E3315" t="str">
            <v>Realty</v>
          </cell>
        </row>
        <row r="3316">
          <cell r="B3316" t="str">
            <v>RAINBOW PAPERS LTD</v>
          </cell>
          <cell r="C3316">
            <v>523523</v>
          </cell>
          <cell r="D3316" t="str">
            <v>RAINBOWPAP</v>
          </cell>
          <cell r="E3316" t="str">
            <v>Paper &amp; Paper Products</v>
          </cell>
        </row>
        <row r="3317">
          <cell r="B3317" t="str">
            <v>RAJ PACKAGING INDUSTRIES LTD</v>
          </cell>
          <cell r="C3317">
            <v>530111</v>
          </cell>
          <cell r="D3317" t="str">
            <v>Not Listed</v>
          </cell>
          <cell r="E3317" t="str">
            <v>Containers &amp; Packaging</v>
          </cell>
        </row>
        <row r="3318">
          <cell r="B3318" t="str">
            <v>RAJ RAYON INDUSTRIES LTD</v>
          </cell>
          <cell r="C3318">
            <v>530699</v>
          </cell>
          <cell r="D3318" t="str">
            <v>RAJRAYON</v>
          </cell>
          <cell r="E3318" t="str">
            <v>Textiles</v>
          </cell>
        </row>
        <row r="3319">
          <cell r="B3319" t="str">
            <v>RAJ TELEVISION NETWORK LTD</v>
          </cell>
          <cell r="C3319">
            <v>532826</v>
          </cell>
          <cell r="D3319" t="str">
            <v>RAJTV</v>
          </cell>
          <cell r="E3319" t="str">
            <v>Broadcasting &amp; Cable TV</v>
          </cell>
        </row>
        <row r="3320">
          <cell r="B3320" t="str">
            <v>RAJA BAHADUR INTERNATIONAL LTD</v>
          </cell>
          <cell r="C3320">
            <v>503127</v>
          </cell>
          <cell r="D3320" t="str">
            <v>Not Listed</v>
          </cell>
          <cell r="E3320" t="str">
            <v>Diversified</v>
          </cell>
        </row>
        <row r="3321">
          <cell r="B3321" t="str">
            <v>RAJAPALAYAM MILLS LTD</v>
          </cell>
          <cell r="C3321">
            <v>532503</v>
          </cell>
          <cell r="D3321" t="str">
            <v>Not Listed</v>
          </cell>
          <cell r="E3321" t="str">
            <v>Textiles</v>
          </cell>
        </row>
        <row r="3322">
          <cell r="B3322" t="str">
            <v>RAJASTHAN CYLINDERS &amp; CONTAINERS LTD</v>
          </cell>
          <cell r="C3322">
            <v>538707</v>
          </cell>
          <cell r="D3322" t="str">
            <v>Not Listed</v>
          </cell>
          <cell r="E3322" t="str">
            <v>Containers &amp; Packaging</v>
          </cell>
        </row>
        <row r="3323">
          <cell r="B3323" t="str">
            <v>RAJASTHAN GASES LTD</v>
          </cell>
          <cell r="C3323">
            <v>526873</v>
          </cell>
          <cell r="D3323" t="str">
            <v>Not Listed</v>
          </cell>
          <cell r="E3323" t="str">
            <v>Oil Marketing &amp; Distribution</v>
          </cell>
        </row>
        <row r="3324">
          <cell r="B3324" t="str">
            <v>RAJASTHAN TUBE MANUFACTURING CO LTD</v>
          </cell>
          <cell r="C3324">
            <v>530253</v>
          </cell>
          <cell r="D3324" t="str">
            <v>Not Listed</v>
          </cell>
          <cell r="E3324" t="str">
            <v>Iron &amp; Steel Products</v>
          </cell>
        </row>
        <row r="3325">
          <cell r="B3325" t="str">
            <v>RAJATH FINANCE LTD</v>
          </cell>
          <cell r="C3325">
            <v>507962</v>
          </cell>
          <cell r="D3325" t="str">
            <v>Not Listed</v>
          </cell>
          <cell r="E3325" t="str">
            <v>Finance (including NBFCs)</v>
          </cell>
        </row>
        <row r="3326">
          <cell r="B3326" t="str">
            <v>RAJDARSHAN INDUSTRIES LTD</v>
          </cell>
          <cell r="C3326">
            <v>526662</v>
          </cell>
          <cell r="D3326" t="str">
            <v>ARENTERP</v>
          </cell>
          <cell r="E3326" t="str">
            <v>Construction &amp; Engineering</v>
          </cell>
        </row>
        <row r="3327">
          <cell r="B3327" t="str">
            <v>RAJESH EXPORTS LTD</v>
          </cell>
          <cell r="C3327">
            <v>531500</v>
          </cell>
          <cell r="D3327" t="str">
            <v>RAJESHEXPO</v>
          </cell>
          <cell r="E3327" t="str">
            <v>Other Apparels &amp; Accessories</v>
          </cell>
        </row>
        <row r="3328">
          <cell r="B3328" t="str">
            <v>RAJESWARI INFRASTRUCTURE LTD</v>
          </cell>
          <cell r="C3328">
            <v>526823</v>
          </cell>
          <cell r="D3328" t="str">
            <v>Not Listed</v>
          </cell>
          <cell r="E3328" t="str">
            <v>Realty</v>
          </cell>
        </row>
        <row r="3329">
          <cell r="B3329" t="str">
            <v>RAJKAMAL SYNTHETICS LTD</v>
          </cell>
          <cell r="C3329">
            <v>514028</v>
          </cell>
          <cell r="D3329" t="str">
            <v>Not Listed</v>
          </cell>
          <cell r="E3329" t="str">
            <v>Textiles</v>
          </cell>
        </row>
        <row r="3330">
          <cell r="B3330" t="str">
            <v>RAJKOT INVESTMENT TRUST LTD</v>
          </cell>
          <cell r="C3330">
            <v>539495</v>
          </cell>
          <cell r="D3330" t="str">
            <v>Not Listed</v>
          </cell>
          <cell r="E3330" t="str">
            <v>Finance (including NBFCs)</v>
          </cell>
        </row>
        <row r="3331">
          <cell r="B3331" t="str">
            <v>RAJKUMAR FORGE LTD</v>
          </cell>
          <cell r="C3331">
            <v>513369</v>
          </cell>
          <cell r="D3331" t="str">
            <v>Not Listed</v>
          </cell>
          <cell r="E3331" t="str">
            <v>Other Industrial Products</v>
          </cell>
        </row>
        <row r="3332">
          <cell r="B3332" t="str">
            <v>RAJNANDINI METAL LTD</v>
          </cell>
          <cell r="C3332" t="str">
            <v>Not Listed</v>
          </cell>
          <cell r="D3332" t="str">
            <v>RAJMET</v>
          </cell>
          <cell r="E3332" t="str">
            <v>SME</v>
          </cell>
        </row>
        <row r="3333">
          <cell r="B3333" t="str">
            <v>RAJNISH WELLNESS LTD</v>
          </cell>
          <cell r="C3333">
            <v>541601</v>
          </cell>
          <cell r="D3333" t="str">
            <v>Not Listed</v>
          </cell>
          <cell r="E3333" t="str">
            <v>Pharmaceuticals</v>
          </cell>
        </row>
        <row r="3334">
          <cell r="B3334" t="str">
            <v>RAJOO ENGINEERS LTD</v>
          </cell>
          <cell r="C3334">
            <v>522257</v>
          </cell>
          <cell r="D3334" t="str">
            <v>Not Listed</v>
          </cell>
          <cell r="E3334" t="str">
            <v>Industrial Machinery</v>
          </cell>
        </row>
        <row r="3335">
          <cell r="B3335" t="str">
            <v>RAJRATAN GLOBAL WIRE LTD</v>
          </cell>
          <cell r="C3335">
            <v>517522</v>
          </cell>
          <cell r="D3335" t="str">
            <v>Not Listed</v>
          </cell>
          <cell r="E3335" t="str">
            <v>Auto Parts &amp; Equipment</v>
          </cell>
        </row>
        <row r="3336">
          <cell r="B3336" t="str">
            <v>RAJSANKET REALTY LTD</v>
          </cell>
          <cell r="C3336">
            <v>512409</v>
          </cell>
          <cell r="D3336" t="str">
            <v>Not Listed</v>
          </cell>
          <cell r="E3336" t="str">
            <v>Finance (including NBFCs)</v>
          </cell>
        </row>
        <row r="3337">
          <cell r="B3337" t="str">
            <v>RAJSHREE POLYPACK LTD</v>
          </cell>
          <cell r="C3337" t="str">
            <v>Not Listed</v>
          </cell>
          <cell r="D3337" t="str">
            <v>RPPL</v>
          </cell>
          <cell r="E3337" t="str">
            <v>SME</v>
          </cell>
        </row>
        <row r="3338">
          <cell r="B3338" t="str">
            <v>RAJSHREE SUGARS &amp; CHEMICALS LTD</v>
          </cell>
          <cell r="C3338">
            <v>500354</v>
          </cell>
          <cell r="D3338" t="str">
            <v>RAJSREESUG</v>
          </cell>
          <cell r="E3338" t="str">
            <v>Sugar</v>
          </cell>
        </row>
        <row r="3339">
          <cell r="B3339" t="str">
            <v>RAJVIR INDUSTRIES LTD</v>
          </cell>
          <cell r="C3339">
            <v>532665</v>
          </cell>
          <cell r="D3339" t="str">
            <v>RAJVIR</v>
          </cell>
          <cell r="E3339" t="str">
            <v>Textiles</v>
          </cell>
        </row>
        <row r="3340">
          <cell r="B3340" t="str">
            <v>RALLIS (INDIA) LTD</v>
          </cell>
          <cell r="C3340">
            <v>500355</v>
          </cell>
          <cell r="D3340" t="str">
            <v>RALLIS</v>
          </cell>
          <cell r="E3340" t="str">
            <v>Agrochemicals</v>
          </cell>
        </row>
        <row r="3341">
          <cell r="B3341" t="str">
            <v>RALLIS INDIA LTD</v>
          </cell>
          <cell r="C3341">
            <v>500355</v>
          </cell>
          <cell r="D3341" t="str">
            <v>RALLIS</v>
          </cell>
          <cell r="E3341" t="str">
            <v>Agrochemicals</v>
          </cell>
        </row>
        <row r="3342">
          <cell r="B3342" t="str">
            <v>RAM MINERALS AND CHEMICALS LTD</v>
          </cell>
          <cell r="C3342">
            <v>534734</v>
          </cell>
          <cell r="D3342" t="str">
            <v>Not Listed</v>
          </cell>
          <cell r="E3342" t="str">
            <v>Specialty Chemicals</v>
          </cell>
        </row>
        <row r="3343">
          <cell r="B3343" t="str">
            <v>RAM RATNA WIRES LTD</v>
          </cell>
          <cell r="C3343">
            <v>522281</v>
          </cell>
          <cell r="D3343" t="str">
            <v>Not Listed</v>
          </cell>
          <cell r="E3343" t="str">
            <v>Other Elect.Equip./ Prod.</v>
          </cell>
        </row>
        <row r="3344">
          <cell r="B3344" t="str">
            <v>RAMA PAPER MILLS LTD</v>
          </cell>
          <cell r="C3344">
            <v>500357</v>
          </cell>
          <cell r="D3344" t="str">
            <v>Not Listed</v>
          </cell>
          <cell r="E3344" t="str">
            <v>Paper &amp; Paper Products</v>
          </cell>
        </row>
        <row r="3345">
          <cell r="B3345" t="str">
            <v>RAMA PETROCHEMICALS LTD</v>
          </cell>
          <cell r="C3345">
            <v>500358</v>
          </cell>
          <cell r="D3345" t="str">
            <v>Not Listed</v>
          </cell>
          <cell r="E3345" t="str">
            <v>Finance (including NBFCs)</v>
          </cell>
        </row>
        <row r="3346">
          <cell r="B3346" t="str">
            <v>RAMA PHOSPHATES LTD</v>
          </cell>
          <cell r="C3346">
            <v>524037</v>
          </cell>
          <cell r="D3346" t="str">
            <v>Not Listed</v>
          </cell>
          <cell r="E3346" t="str">
            <v>Fertilizers</v>
          </cell>
        </row>
        <row r="3347">
          <cell r="B3347" t="str">
            <v>RAMA PULP &amp; PAPERS LTD</v>
          </cell>
          <cell r="C3347">
            <v>502587</v>
          </cell>
          <cell r="D3347" t="str">
            <v>Not Listed</v>
          </cell>
          <cell r="E3347" t="str">
            <v>Paper &amp; Paper Products</v>
          </cell>
        </row>
        <row r="3348">
          <cell r="B3348" t="str">
            <v>RAMA STEEL TUBES LTD</v>
          </cell>
          <cell r="C3348">
            <v>539309</v>
          </cell>
          <cell r="D3348" t="str">
            <v>RAMASTEEL</v>
          </cell>
          <cell r="E3348" t="str">
            <v>Iron &amp; Steel Products</v>
          </cell>
        </row>
        <row r="3349">
          <cell r="B3349" t="str">
            <v>RAMA VISION LTD</v>
          </cell>
          <cell r="C3349">
            <v>523289</v>
          </cell>
          <cell r="D3349" t="str">
            <v>Not Listed</v>
          </cell>
          <cell r="E3349" t="str">
            <v>Comm.Trading  &amp; Distribution</v>
          </cell>
        </row>
        <row r="3350">
          <cell r="B3350" t="str">
            <v>RAMASIGNS INDUSTRIES LTD</v>
          </cell>
          <cell r="C3350">
            <v>515127</v>
          </cell>
          <cell r="D3350" t="str">
            <v>Not Listed</v>
          </cell>
          <cell r="E3350" t="str">
            <v>Comm.Trading  &amp; Distribution</v>
          </cell>
        </row>
        <row r="3351">
          <cell r="B3351" t="str">
            <v>RAMCHANDRA LEASING &amp; FINANCE LTD</v>
          </cell>
          <cell r="C3351">
            <v>538540</v>
          </cell>
          <cell r="D3351" t="str">
            <v>Not Listed</v>
          </cell>
          <cell r="E3351" t="str">
            <v>Finance (including NBFCs)</v>
          </cell>
        </row>
        <row r="3352">
          <cell r="B3352" t="str">
            <v>RAMCO INDUSTRIES LTD</v>
          </cell>
          <cell r="C3352">
            <v>532369</v>
          </cell>
          <cell r="D3352" t="str">
            <v>RAMCOIND</v>
          </cell>
          <cell r="E3352" t="str">
            <v>Construction Materials</v>
          </cell>
        </row>
        <row r="3353">
          <cell r="B3353" t="str">
            <v>RAMCO SYSTEMS LTD</v>
          </cell>
          <cell r="C3353">
            <v>532370</v>
          </cell>
          <cell r="D3353" t="str">
            <v>RAMCOSYS</v>
          </cell>
          <cell r="E3353" t="str">
            <v>IT Consulting &amp; Software</v>
          </cell>
        </row>
        <row r="3354">
          <cell r="B3354" t="str">
            <v>RAMGOPAL POLYTEX LTD</v>
          </cell>
          <cell r="C3354">
            <v>514223</v>
          </cell>
          <cell r="D3354" t="str">
            <v>RAMGOPOLY</v>
          </cell>
          <cell r="E3354" t="str">
            <v>Comm.Trading  &amp; Distribution</v>
          </cell>
        </row>
        <row r="3355">
          <cell r="B3355" t="str">
            <v>RAMINFO LTD</v>
          </cell>
          <cell r="C3355">
            <v>530951</v>
          </cell>
          <cell r="D3355" t="str">
            <v>Not Listed</v>
          </cell>
          <cell r="E3355" t="str">
            <v>IT Software Products</v>
          </cell>
        </row>
        <row r="3356">
          <cell r="B3356" t="str">
            <v>RAMKRISHNA FORGINGS LTD</v>
          </cell>
          <cell r="C3356">
            <v>532527</v>
          </cell>
          <cell r="D3356" t="str">
            <v>RKFORGE</v>
          </cell>
          <cell r="E3356" t="str">
            <v>Other Industrial Products</v>
          </cell>
        </row>
        <row r="3357">
          <cell r="B3357" t="str">
            <v>RAMKY INFRASTRUCTURE LTD</v>
          </cell>
          <cell r="C3357">
            <v>533262</v>
          </cell>
          <cell r="D3357" t="str">
            <v>RAMKY</v>
          </cell>
          <cell r="E3357" t="str">
            <v>Construction &amp; Engineering</v>
          </cell>
        </row>
        <row r="3358">
          <cell r="B3358" t="str">
            <v>RAMSARUP INDUSTRIES LTD</v>
          </cell>
          <cell r="C3358">
            <v>532690</v>
          </cell>
          <cell r="D3358" t="str">
            <v>RAMSARUP</v>
          </cell>
          <cell r="E3358" t="str">
            <v>Iron &amp; Steel/Interm.Products</v>
          </cell>
        </row>
        <row r="3359">
          <cell r="B3359" t="str">
            <v>RAMSONS PROJECTS LTD</v>
          </cell>
          <cell r="C3359">
            <v>530925</v>
          </cell>
          <cell r="D3359" t="str">
            <v>Not Listed</v>
          </cell>
          <cell r="E3359" t="str">
            <v>Finance (including NBFCs)</v>
          </cell>
        </row>
        <row r="3360">
          <cell r="B3360" t="str">
            <v>RANA SUGARS LTD</v>
          </cell>
          <cell r="C3360">
            <v>507490</v>
          </cell>
          <cell r="D3360" t="str">
            <v>RANASUG</v>
          </cell>
          <cell r="E3360" t="str">
            <v>Sugar</v>
          </cell>
        </row>
        <row r="3361">
          <cell r="B3361" t="str">
            <v>RANDER CORPORATION LTD</v>
          </cell>
          <cell r="C3361">
            <v>531228</v>
          </cell>
          <cell r="D3361" t="str">
            <v>Not Listed</v>
          </cell>
          <cell r="E3361" t="str">
            <v>Finance (including NBFCs)</v>
          </cell>
        </row>
        <row r="3362">
          <cell r="B3362" t="str">
            <v>RANE BRAKE LINING LTD</v>
          </cell>
          <cell r="C3362">
            <v>532987</v>
          </cell>
          <cell r="D3362" t="str">
            <v>RBL</v>
          </cell>
          <cell r="E3362" t="str">
            <v>Auto Parts &amp; Equipment</v>
          </cell>
        </row>
        <row r="3363">
          <cell r="B3363" t="str">
            <v>RANE ENGINE VALVE LTD</v>
          </cell>
          <cell r="C3363">
            <v>532988</v>
          </cell>
          <cell r="D3363" t="str">
            <v>RANEENGINE</v>
          </cell>
          <cell r="E3363" t="str">
            <v>Auto Parts &amp; Equipment</v>
          </cell>
        </row>
        <row r="3364">
          <cell r="B3364" t="str">
            <v>RANE HOLDINGS LTD</v>
          </cell>
          <cell r="C3364">
            <v>505800</v>
          </cell>
          <cell r="D3364" t="str">
            <v>RANEHOLDIN</v>
          </cell>
          <cell r="E3364" t="str">
            <v>Auto Parts &amp; Equipment</v>
          </cell>
        </row>
        <row r="3365">
          <cell r="B3365" t="str">
            <v>RANE MADRAS LTD</v>
          </cell>
          <cell r="C3365">
            <v>532661</v>
          </cell>
          <cell r="D3365" t="str">
            <v>RML</v>
          </cell>
          <cell r="E3365" t="str">
            <v>Auto Parts &amp; Equipment</v>
          </cell>
        </row>
        <row r="3366">
          <cell r="B3366" t="str">
            <v>RANJEET MECHATRONICS LTD</v>
          </cell>
          <cell r="C3366">
            <v>541945</v>
          </cell>
          <cell r="D3366" t="str">
            <v>Not Listed</v>
          </cell>
          <cell r="E3366" t="str">
            <v>Construction &amp; Engineering</v>
          </cell>
        </row>
        <row r="3367">
          <cell r="B3367" t="str">
            <v>RAP MEDIA LTD</v>
          </cell>
          <cell r="C3367">
            <v>531583</v>
          </cell>
          <cell r="D3367" t="str">
            <v>Not Listed</v>
          </cell>
          <cell r="E3367" t="str">
            <v>Finance (including NBFCs)</v>
          </cell>
        </row>
        <row r="3368">
          <cell r="B3368" t="str">
            <v>RAPICUT CARBIDES LTD</v>
          </cell>
          <cell r="C3368">
            <v>500360</v>
          </cell>
          <cell r="D3368" t="str">
            <v>Not Listed</v>
          </cell>
          <cell r="E3368" t="str">
            <v>Industrial Machinery</v>
          </cell>
        </row>
        <row r="3369">
          <cell r="B3369" t="str">
            <v>RAPID INVESTMENTS LTD</v>
          </cell>
          <cell r="C3369">
            <v>501351</v>
          </cell>
          <cell r="D3369" t="str">
            <v>Not Listed</v>
          </cell>
          <cell r="E3369" t="str">
            <v>Misc.Commercial Services</v>
          </cell>
        </row>
        <row r="3370">
          <cell r="B3370" t="str">
            <v>RAS RESORTS &amp; APART HOTELS LTD</v>
          </cell>
          <cell r="C3370">
            <v>507966</v>
          </cell>
          <cell r="D3370" t="str">
            <v>Not Listed</v>
          </cell>
          <cell r="E3370" t="str">
            <v>Hotels</v>
          </cell>
        </row>
        <row r="3371">
          <cell r="B3371" t="str">
            <v>RASANDIK ENGINEERING INDUSTRIES (INDIA) LTD</v>
          </cell>
          <cell r="C3371">
            <v>522207</v>
          </cell>
          <cell r="D3371" t="str">
            <v>Not Listed</v>
          </cell>
          <cell r="E3371" t="str">
            <v>Auto Parts &amp; Equipment</v>
          </cell>
        </row>
        <row r="3372">
          <cell r="B3372" t="str">
            <v>RASANDIK ENGINEERING INDUSTRIES INDIA LTD</v>
          </cell>
          <cell r="C3372">
            <v>522207</v>
          </cell>
          <cell r="D3372" t="str">
            <v>Not Listed</v>
          </cell>
          <cell r="E3372" t="str">
            <v>Auto Parts &amp; Equipment</v>
          </cell>
        </row>
        <row r="3373">
          <cell r="B3373" t="str">
            <v>RASHTRIYA CHEMICALS AND FERTILIZERS LTD</v>
          </cell>
          <cell r="C3373">
            <v>524230</v>
          </cell>
          <cell r="D3373" t="str">
            <v>RCF</v>
          </cell>
          <cell r="E3373" t="str">
            <v>Fertilizers</v>
          </cell>
        </row>
        <row r="3374">
          <cell r="B3374" t="str">
            <v>RASI ELECTRODES LTD</v>
          </cell>
          <cell r="C3374">
            <v>531233</v>
          </cell>
          <cell r="D3374" t="str">
            <v>Not Listed</v>
          </cell>
          <cell r="E3374" t="str">
            <v>Other Industrial Goods</v>
          </cell>
        </row>
        <row r="3375">
          <cell r="B3375" t="str">
            <v>RASOI LTD</v>
          </cell>
          <cell r="C3375">
            <v>507649</v>
          </cell>
          <cell r="D3375" t="str">
            <v>Not Listed</v>
          </cell>
          <cell r="E3375" t="str">
            <v>Edible Oils</v>
          </cell>
        </row>
        <row r="3376">
          <cell r="B3376" t="str">
            <v>RATHI BARS LTD</v>
          </cell>
          <cell r="C3376">
            <v>532918</v>
          </cell>
          <cell r="D3376" t="str">
            <v>Not Listed</v>
          </cell>
          <cell r="E3376" t="str">
            <v>Iron &amp; Steel Products</v>
          </cell>
        </row>
        <row r="3377">
          <cell r="B3377" t="str">
            <v>RATHI GRAPHIC TECHNOLOGIES LTD</v>
          </cell>
          <cell r="C3377">
            <v>524610</v>
          </cell>
          <cell r="D3377" t="str">
            <v>Not Listed</v>
          </cell>
          <cell r="E3377" t="str">
            <v>Specialty Chemicals</v>
          </cell>
        </row>
        <row r="3378">
          <cell r="B3378" t="str">
            <v>RATNABHUMI DEVELOPERS LTD</v>
          </cell>
          <cell r="C3378">
            <v>540796</v>
          </cell>
          <cell r="D3378" t="str">
            <v>Not Listed</v>
          </cell>
          <cell r="E3378" t="str">
            <v>Realty</v>
          </cell>
        </row>
        <row r="3379">
          <cell r="B3379" t="str">
            <v>RATNAMANI METALS &amp; TUBES LTD</v>
          </cell>
          <cell r="C3379">
            <v>520111</v>
          </cell>
          <cell r="D3379" t="str">
            <v>RATNAMANI</v>
          </cell>
          <cell r="E3379" t="str">
            <v>Construction &amp; Engineering</v>
          </cell>
        </row>
        <row r="3380">
          <cell r="B3380" t="str">
            <v>RATTANINDIA INFRASTRUCTURE LTD</v>
          </cell>
          <cell r="C3380">
            <v>534597</v>
          </cell>
          <cell r="D3380" t="str">
            <v>RTNINFRA</v>
          </cell>
          <cell r="E3380" t="str">
            <v>Electric Utilities</v>
          </cell>
        </row>
        <row r="3381">
          <cell r="B3381" t="str">
            <v>RATTANINDIA POWER LTD</v>
          </cell>
          <cell r="C3381">
            <v>533122</v>
          </cell>
          <cell r="D3381" t="str">
            <v>RTNPOWER</v>
          </cell>
          <cell r="E3381" t="str">
            <v>Electric Utilities</v>
          </cell>
        </row>
        <row r="3382">
          <cell r="B3382" t="str">
            <v>RAUNAQ EPC INTERNATIONAL LTD</v>
          </cell>
          <cell r="C3382">
            <v>537840</v>
          </cell>
          <cell r="D3382" t="str">
            <v>Not Listed</v>
          </cell>
          <cell r="E3382" t="str">
            <v>Construction &amp; Engineering</v>
          </cell>
        </row>
        <row r="3383">
          <cell r="B3383" t="str">
            <v>RAVALGAON SUGAR FARM LTD</v>
          </cell>
          <cell r="C3383">
            <v>507300</v>
          </cell>
          <cell r="D3383" t="str">
            <v>Not Listed</v>
          </cell>
          <cell r="E3383" t="str">
            <v>Sugar</v>
          </cell>
        </row>
        <row r="3384">
          <cell r="B3384" t="str">
            <v>RAVI KUMAR DISTILLERIES LTD</v>
          </cell>
          <cell r="C3384">
            <v>533294</v>
          </cell>
          <cell r="D3384" t="str">
            <v>RKDL</v>
          </cell>
          <cell r="E3384" t="str">
            <v>Breweries &amp; Distilleries</v>
          </cell>
        </row>
        <row r="3385">
          <cell r="B3385" t="str">
            <v>RAVILEELA GRANITES LTD</v>
          </cell>
          <cell r="C3385">
            <v>526095</v>
          </cell>
          <cell r="D3385" t="str">
            <v>Not Listed</v>
          </cell>
          <cell r="E3385" t="str">
            <v>Construction Materials</v>
          </cell>
        </row>
        <row r="3386">
          <cell r="B3386" t="str">
            <v>RAVINDRA ENERGY LTD</v>
          </cell>
          <cell r="C3386">
            <v>504341</v>
          </cell>
          <cell r="D3386" t="str">
            <v>Not Listed</v>
          </cell>
          <cell r="E3386" t="str">
            <v>Other Financial Services</v>
          </cell>
        </row>
        <row r="3387">
          <cell r="B3387" t="str">
            <v>RAW EDGE INDUSTRIAL SOLUTIONS LTD</v>
          </cell>
          <cell r="C3387">
            <v>541634</v>
          </cell>
          <cell r="D3387" t="str">
            <v>Not Listed</v>
          </cell>
          <cell r="E3387" t="str">
            <v>Construction Materials</v>
          </cell>
        </row>
        <row r="3388">
          <cell r="B3388" t="str">
            <v>RAYMED LABS LTD</v>
          </cell>
          <cell r="C3388">
            <v>531207</v>
          </cell>
          <cell r="D3388" t="str">
            <v>Not Listed</v>
          </cell>
          <cell r="E3388" t="str">
            <v>Pharmaceuticals</v>
          </cell>
        </row>
        <row r="3389">
          <cell r="B3389" t="str">
            <v>RAYMOND LTD</v>
          </cell>
          <cell r="C3389">
            <v>500330</v>
          </cell>
          <cell r="D3389" t="str">
            <v>RAYMOND</v>
          </cell>
          <cell r="E3389" t="str">
            <v>Textiles</v>
          </cell>
        </row>
        <row r="3390">
          <cell r="B3390" t="str">
            <v>RBL BANK LTD</v>
          </cell>
          <cell r="C3390">
            <v>540065</v>
          </cell>
          <cell r="D3390" t="str">
            <v>RBLBANK</v>
          </cell>
          <cell r="E3390" t="str">
            <v>Banks</v>
          </cell>
        </row>
        <row r="3391">
          <cell r="B3391" t="str">
            <v>RCC CEMENTS LTD</v>
          </cell>
          <cell r="C3391">
            <v>531825</v>
          </cell>
          <cell r="D3391" t="str">
            <v>Not Listed</v>
          </cell>
          <cell r="E3391" t="str">
            <v>IT Consulting &amp; Software</v>
          </cell>
        </row>
        <row r="3392">
          <cell r="B3392" t="str">
            <v>RCI INDUSTRIES &amp; TECHNOLOGIES LTD</v>
          </cell>
          <cell r="C3392">
            <v>537254</v>
          </cell>
          <cell r="D3392" t="str">
            <v>Not Listed</v>
          </cell>
          <cell r="E3392" t="str">
            <v>Comm.Trading  &amp; Distribution</v>
          </cell>
        </row>
        <row r="3393">
          <cell r="B3393" t="str">
            <v>RCL RETAIL LTD</v>
          </cell>
          <cell r="C3393">
            <v>534708</v>
          </cell>
          <cell r="D3393" t="str">
            <v>Not Listed</v>
          </cell>
          <cell r="E3393" t="str">
            <v>Department Stores</v>
          </cell>
        </row>
        <row r="3394">
          <cell r="B3394" t="str">
            <v>RDB RASAYANS LTD</v>
          </cell>
          <cell r="C3394">
            <v>533608</v>
          </cell>
          <cell r="D3394" t="str">
            <v>Not Listed</v>
          </cell>
          <cell r="E3394" t="str">
            <v>Plastic Products</v>
          </cell>
        </row>
        <row r="3395">
          <cell r="B3395" t="str">
            <v>RDB REALTY &amp; INFRASTRUCTURE LTD</v>
          </cell>
          <cell r="C3395">
            <v>533285</v>
          </cell>
          <cell r="D3395" t="str">
            <v>Not Listed</v>
          </cell>
          <cell r="E3395" t="str">
            <v>Realty</v>
          </cell>
        </row>
        <row r="3396">
          <cell r="B3396" t="str">
            <v>REAL GROWTH COMMERCIAL ENTERPRISES LTD</v>
          </cell>
          <cell r="C3396">
            <v>539691</v>
          </cell>
          <cell r="D3396" t="str">
            <v>Not Listed</v>
          </cell>
          <cell r="E3396" t="str">
            <v>Comm.Trading  &amp; Distribution</v>
          </cell>
        </row>
        <row r="3397">
          <cell r="B3397" t="str">
            <v>REAL NEWS &amp; VIEWS LTD</v>
          </cell>
          <cell r="C3397">
            <v>530053</v>
          </cell>
          <cell r="D3397" t="str">
            <v>Not Listed</v>
          </cell>
          <cell r="E3397" t="str">
            <v>Realty</v>
          </cell>
        </row>
        <row r="3398">
          <cell r="B3398" t="str">
            <v>REAL STRIPS LTD</v>
          </cell>
          <cell r="C3398">
            <v>513558</v>
          </cell>
          <cell r="D3398" t="str">
            <v>Not Listed</v>
          </cell>
          <cell r="E3398" t="str">
            <v>Iron &amp; Steel/Interm.Products</v>
          </cell>
        </row>
        <row r="3399">
          <cell r="B3399" t="str">
            <v>REAL TOUCH FINANCE LTD</v>
          </cell>
          <cell r="C3399">
            <v>538611</v>
          </cell>
          <cell r="D3399" t="str">
            <v>Not Listed</v>
          </cell>
          <cell r="E3399" t="str">
            <v>Other Financial Services</v>
          </cell>
        </row>
        <row r="3400">
          <cell r="B3400" t="str">
            <v>REC LTD</v>
          </cell>
          <cell r="C3400">
            <v>532955</v>
          </cell>
          <cell r="D3400" t="str">
            <v>RECLTD</v>
          </cell>
          <cell r="E3400" t="str">
            <v>Finance (including NBFCs)</v>
          </cell>
        </row>
        <row r="3401">
          <cell r="B3401" t="str">
            <v>REDEX PROTECH LTD</v>
          </cell>
          <cell r="C3401">
            <v>523650</v>
          </cell>
          <cell r="D3401" t="str">
            <v>Not Listed</v>
          </cell>
          <cell r="E3401" t="str">
            <v>Industrial Machinery</v>
          </cell>
        </row>
        <row r="3402">
          <cell r="B3402" t="str">
            <v>REDINGTON (INDIA) LTD</v>
          </cell>
          <cell r="C3402">
            <v>532805</v>
          </cell>
          <cell r="D3402" t="str">
            <v>REDINGTON</v>
          </cell>
          <cell r="E3402" t="str">
            <v>Comm.Trading  &amp; Distribution</v>
          </cell>
        </row>
        <row r="3403">
          <cell r="B3403" t="str">
            <v>REDINGTON INDIA LTD</v>
          </cell>
          <cell r="C3403">
            <v>532805</v>
          </cell>
          <cell r="D3403" t="str">
            <v>REDINGTON</v>
          </cell>
          <cell r="E3403" t="str">
            <v>Comm.Trading  &amp; Distribution</v>
          </cell>
        </row>
        <row r="3404">
          <cell r="B3404" t="str">
            <v>REFEX INDUSTRIES LTD</v>
          </cell>
          <cell r="C3404">
            <v>532884</v>
          </cell>
          <cell r="D3404" t="str">
            <v>REFEX</v>
          </cell>
          <cell r="E3404" t="str">
            <v>Industrial Gases</v>
          </cell>
        </row>
        <row r="3405">
          <cell r="B3405" t="str">
            <v>REFNOL RESINS &amp; CHEMICALS LTD</v>
          </cell>
          <cell r="C3405">
            <v>530815</v>
          </cell>
          <cell r="D3405" t="str">
            <v>Not Listed</v>
          </cell>
          <cell r="E3405" t="str">
            <v>Commodity Chemicals</v>
          </cell>
        </row>
        <row r="3406">
          <cell r="B3406" t="str">
            <v>REGAL ENTERTAINMENT &amp; CONSULTANTS LTD</v>
          </cell>
          <cell r="C3406">
            <v>531033</v>
          </cell>
          <cell r="D3406" t="str">
            <v>Not Listed</v>
          </cell>
          <cell r="E3406" t="str">
            <v>Finance (including NBFCs)</v>
          </cell>
        </row>
        <row r="3407">
          <cell r="B3407" t="str">
            <v>REGALIAA REALTY LTD</v>
          </cell>
          <cell r="C3407">
            <v>530807</v>
          </cell>
          <cell r="D3407" t="str">
            <v>Not Listed</v>
          </cell>
          <cell r="E3407" t="str">
            <v>Realty</v>
          </cell>
        </row>
        <row r="3408">
          <cell r="B3408" t="str">
            <v>REGENCY CERAMICS LTD</v>
          </cell>
          <cell r="C3408">
            <v>515018</v>
          </cell>
          <cell r="D3408" t="str">
            <v>REGENCERAM</v>
          </cell>
          <cell r="E3408" t="str">
            <v>Furniture-Furnishing-Paints</v>
          </cell>
        </row>
        <row r="3409">
          <cell r="B3409" t="str">
            <v>REGENCY INVESTMENTS LTD</v>
          </cell>
          <cell r="C3409">
            <v>540175</v>
          </cell>
          <cell r="D3409" t="str">
            <v>Not Listed</v>
          </cell>
          <cell r="E3409" t="str">
            <v>Other Financial Services</v>
          </cell>
        </row>
        <row r="3410">
          <cell r="B3410" t="str">
            <v>REGENCY TRUST LTD</v>
          </cell>
          <cell r="C3410">
            <v>511585</v>
          </cell>
          <cell r="D3410" t="str">
            <v>Not Listed</v>
          </cell>
          <cell r="E3410" t="str">
            <v>Finance (including NBFCs)</v>
          </cell>
        </row>
        <row r="3411">
          <cell r="B3411" t="str">
            <v>REGENT ENTERPRISES LTD</v>
          </cell>
          <cell r="C3411">
            <v>512624</v>
          </cell>
          <cell r="D3411" t="str">
            <v>Not Listed</v>
          </cell>
          <cell r="E3411" t="str">
            <v>Comm.Trading  &amp; Distribution</v>
          </cell>
        </row>
        <row r="3412">
          <cell r="B3412" t="str">
            <v>REIL ELECTRICALS (INDIA) LTD</v>
          </cell>
          <cell r="C3412">
            <v>505817</v>
          </cell>
          <cell r="D3412" t="str">
            <v>Not Listed</v>
          </cell>
          <cell r="E3412" t="str">
            <v>Auto Parts &amp; Equipment</v>
          </cell>
        </row>
        <row r="3413">
          <cell r="B3413" t="str">
            <v>REIL ELECTRICALS INDIA LTD</v>
          </cell>
          <cell r="C3413">
            <v>505817</v>
          </cell>
          <cell r="D3413" t="str">
            <v>Not Listed</v>
          </cell>
          <cell r="E3413" t="str">
            <v>Auto Parts &amp; Equipment</v>
          </cell>
        </row>
        <row r="3414">
          <cell r="B3414" t="str">
            <v>REKVINA LABORATORIES LTD</v>
          </cell>
          <cell r="C3414">
            <v>526075</v>
          </cell>
          <cell r="D3414" t="str">
            <v>Not Listed</v>
          </cell>
          <cell r="E3414" t="str">
            <v>Pharmaceuticals</v>
          </cell>
        </row>
        <row r="3415">
          <cell r="B3415" t="str">
            <v>RELAXO FOOTWEARS LTD</v>
          </cell>
          <cell r="C3415">
            <v>530517</v>
          </cell>
          <cell r="D3415" t="str">
            <v>RELAXO</v>
          </cell>
          <cell r="E3415" t="str">
            <v>Footwear</v>
          </cell>
        </row>
        <row r="3416">
          <cell r="B3416" t="str">
            <v>RELIABLE DATA SERVICES LTD</v>
          </cell>
          <cell r="C3416" t="str">
            <v>Not Listed</v>
          </cell>
          <cell r="D3416" t="str">
            <v>RELIABLE</v>
          </cell>
          <cell r="E3416" t="str">
            <v>SME</v>
          </cell>
        </row>
        <row r="3417">
          <cell r="B3417" t="str">
            <v>RELIABLE VENTURES (INDIA) LTD</v>
          </cell>
          <cell r="C3417">
            <v>532124</v>
          </cell>
          <cell r="D3417" t="str">
            <v>Not Listed</v>
          </cell>
          <cell r="E3417" t="str">
            <v>Hotels</v>
          </cell>
        </row>
        <row r="3418">
          <cell r="B3418" t="str">
            <v>RELIABLE VENTURES INDIA LTD</v>
          </cell>
          <cell r="C3418">
            <v>532124</v>
          </cell>
          <cell r="D3418" t="str">
            <v>Not Listed</v>
          </cell>
          <cell r="E3418" t="str">
            <v>Hotels</v>
          </cell>
        </row>
        <row r="3419">
          <cell r="B3419" t="str">
            <v>RELIANCE CAPITAL LTD</v>
          </cell>
          <cell r="C3419">
            <v>500111</v>
          </cell>
          <cell r="D3419" t="str">
            <v>RELCAPITAL</v>
          </cell>
          <cell r="E3419" t="str">
            <v>Finance (including NBFCs)</v>
          </cell>
        </row>
        <row r="3420">
          <cell r="B3420" t="str">
            <v>RELIANCE CHEMOTEX INDUSTRIES LTD</v>
          </cell>
          <cell r="C3420">
            <v>503162</v>
          </cell>
          <cell r="D3420" t="str">
            <v>Not Listed</v>
          </cell>
          <cell r="E3420" t="str">
            <v>Textiles</v>
          </cell>
        </row>
        <row r="3421">
          <cell r="B3421" t="str">
            <v>RELIANCE COMMUNICATIONS LTD</v>
          </cell>
          <cell r="C3421">
            <v>532712</v>
          </cell>
          <cell r="D3421" t="str">
            <v>RCOM</v>
          </cell>
          <cell r="E3421" t="str">
            <v>Telecom Services</v>
          </cell>
        </row>
        <row r="3422">
          <cell r="B3422" t="str">
            <v>Reliance ETF Bank BeES</v>
          </cell>
          <cell r="C3422">
            <v>590106</v>
          </cell>
          <cell r="D3422" t="str">
            <v>BANKBEES</v>
          </cell>
          <cell r="E3422" t="str">
            <v>Other Financial Services</v>
          </cell>
        </row>
        <row r="3423">
          <cell r="B3423" t="str">
            <v>Reliance ETF Gold BeES</v>
          </cell>
          <cell r="C3423">
            <v>590095</v>
          </cell>
          <cell r="D3423" t="str">
            <v>GOLDBEES</v>
          </cell>
          <cell r="E3423" t="str">
            <v>Other Financial Services</v>
          </cell>
        </row>
        <row r="3424">
          <cell r="B3424" t="str">
            <v>Reliance ETF Hang Seng BeES</v>
          </cell>
          <cell r="C3424">
            <v>590113</v>
          </cell>
          <cell r="D3424" t="str">
            <v>HNGSNGBEES</v>
          </cell>
          <cell r="E3424" t="str">
            <v>Other Financial Services</v>
          </cell>
        </row>
        <row r="3425">
          <cell r="B3425" t="str">
            <v>Reliance ETF Junior BeES</v>
          </cell>
          <cell r="C3425">
            <v>590104</v>
          </cell>
          <cell r="D3425" t="str">
            <v>JUNIORBEES</v>
          </cell>
          <cell r="E3425" t="str">
            <v>Other Financial Services</v>
          </cell>
        </row>
        <row r="3426">
          <cell r="B3426" t="str">
            <v>Reliance ETF Nifty BeES</v>
          </cell>
          <cell r="C3426">
            <v>590103</v>
          </cell>
          <cell r="D3426" t="str">
            <v>NIFTYBEES</v>
          </cell>
          <cell r="E3426" t="str">
            <v>Other Financial Services</v>
          </cell>
        </row>
        <row r="3427">
          <cell r="B3427" t="str">
            <v>Reliance ETF PSU Bank BeES</v>
          </cell>
          <cell r="C3427">
            <v>590108</v>
          </cell>
          <cell r="D3427" t="str">
            <v>PSUBNKBEES</v>
          </cell>
          <cell r="E3427" t="str">
            <v>Other Financial Services</v>
          </cell>
        </row>
        <row r="3428">
          <cell r="B3428" t="str">
            <v>Reliance ETF Shariah BeES</v>
          </cell>
          <cell r="C3428">
            <v>590109</v>
          </cell>
          <cell r="D3428" t="str">
            <v>SHARIABEES</v>
          </cell>
          <cell r="E3428" t="str">
            <v>Other Financial Services</v>
          </cell>
        </row>
        <row r="3429">
          <cell r="B3429" t="str">
            <v>RELIANCE HOME FINANCE LTD</v>
          </cell>
          <cell r="C3429">
            <v>540709</v>
          </cell>
          <cell r="D3429" t="str">
            <v>RHFL</v>
          </cell>
          <cell r="E3429" t="str">
            <v xml:space="preserve">Housing Finance </v>
          </cell>
        </row>
        <row r="3430">
          <cell r="B3430" t="str">
            <v>RELIANCE INDUSTRIAL INFRASTRUCTURE LTD</v>
          </cell>
          <cell r="C3430">
            <v>523445</v>
          </cell>
          <cell r="D3430" t="str">
            <v>RIIL</v>
          </cell>
          <cell r="E3430" t="str">
            <v>Construction &amp; Engineering</v>
          </cell>
        </row>
        <row r="3431">
          <cell r="B3431" t="str">
            <v>RELIANCE INDUSTRIES LTD</v>
          </cell>
          <cell r="C3431">
            <v>500325</v>
          </cell>
          <cell r="D3431" t="str">
            <v>RELIANCE</v>
          </cell>
          <cell r="E3431" t="str">
            <v>Integrated Oil &amp; Gas</v>
          </cell>
        </row>
        <row r="3432">
          <cell r="B3432" t="str">
            <v>RELIANCE INFRASTRUCTURE LTD</v>
          </cell>
          <cell r="C3432">
            <v>500390</v>
          </cell>
          <cell r="D3432" t="str">
            <v>RELINFRA</v>
          </cell>
          <cell r="E3432" t="str">
            <v>Electric Utilities</v>
          </cell>
        </row>
        <row r="3433">
          <cell r="B3433" t="str">
            <v>RELIANCE NAVAL AND ENGINEERING LTD</v>
          </cell>
          <cell r="C3433">
            <v>533107</v>
          </cell>
          <cell r="D3433" t="str">
            <v>RNAVAL</v>
          </cell>
          <cell r="E3433" t="str">
            <v>Defence</v>
          </cell>
        </row>
        <row r="3434">
          <cell r="B3434" t="str">
            <v>RELIANCE NIPPON LIFE ASSET MANAGEMENT LTD</v>
          </cell>
          <cell r="C3434">
            <v>540767</v>
          </cell>
          <cell r="D3434" t="str">
            <v>RNAM</v>
          </cell>
          <cell r="E3434" t="str">
            <v>Asset Management Cos.</v>
          </cell>
        </row>
        <row r="3435">
          <cell r="B3435" t="str">
            <v>RELIANCE POWER LTD</v>
          </cell>
          <cell r="C3435">
            <v>532939</v>
          </cell>
          <cell r="D3435" t="str">
            <v>RPOWER</v>
          </cell>
          <cell r="E3435" t="str">
            <v>Electric Utilities</v>
          </cell>
        </row>
        <row r="3436">
          <cell r="B3436" t="str">
            <v>RELIC TECHNOLOGIES LTD</v>
          </cell>
          <cell r="C3436">
            <v>511712</v>
          </cell>
          <cell r="D3436" t="str">
            <v>Not Listed</v>
          </cell>
          <cell r="E3436" t="str">
            <v>Other Financial Services</v>
          </cell>
        </row>
        <row r="3437">
          <cell r="B3437" t="str">
            <v>RELICAB CABLE MANUFACTURING LTD</v>
          </cell>
          <cell r="C3437">
            <v>539760</v>
          </cell>
          <cell r="D3437" t="str">
            <v>Not Listed</v>
          </cell>
          <cell r="E3437" t="str">
            <v>Other Elect.Equip./ Prod.</v>
          </cell>
        </row>
        <row r="3438">
          <cell r="B3438" t="str">
            <v>RELIGARE ENTERPRISES LTD</v>
          </cell>
          <cell r="C3438">
            <v>532915</v>
          </cell>
          <cell r="D3438" t="str">
            <v>RELIGARE</v>
          </cell>
          <cell r="E3438" t="str">
            <v>Other Financial Services</v>
          </cell>
        </row>
        <row r="3439">
          <cell r="B3439" t="str">
            <v>RELSTRUCT BUILDCON LTD</v>
          </cell>
          <cell r="C3439">
            <v>540426</v>
          </cell>
          <cell r="D3439" t="str">
            <v>Not Listed</v>
          </cell>
          <cell r="E3439" t="str">
            <v>Realty</v>
          </cell>
        </row>
        <row r="3440">
          <cell r="B3440" t="str">
            <v>REMI EDELSTAHL TUBULARS LTD</v>
          </cell>
          <cell r="C3440">
            <v>513043</v>
          </cell>
          <cell r="D3440" t="str">
            <v>Not Listed</v>
          </cell>
          <cell r="E3440" t="str">
            <v>Iron &amp; Steel Products</v>
          </cell>
        </row>
        <row r="3441">
          <cell r="B3441" t="str">
            <v>REMI ELEKTROTECHNIK LTD</v>
          </cell>
          <cell r="C3441">
            <v>512487</v>
          </cell>
          <cell r="D3441" t="str">
            <v>Not Listed</v>
          </cell>
          <cell r="E3441" t="str">
            <v>Comm.Trading  &amp; Distribution</v>
          </cell>
        </row>
        <row r="3442">
          <cell r="B3442" t="str">
            <v>REMI PROCESS PLANT &amp; MACHINERY LTD</v>
          </cell>
          <cell r="C3442">
            <v>505658</v>
          </cell>
          <cell r="D3442" t="str">
            <v>Not Listed</v>
          </cell>
          <cell r="E3442" t="str">
            <v>Industrial Machinery</v>
          </cell>
        </row>
        <row r="3443">
          <cell r="B3443" t="str">
            <v>REMI SALES &amp; ENGINEERING LTD</v>
          </cell>
          <cell r="C3443">
            <v>504360</v>
          </cell>
          <cell r="D3443" t="str">
            <v>Not Listed</v>
          </cell>
          <cell r="E3443" t="str">
            <v>Comm.Trading  &amp; Distribution</v>
          </cell>
        </row>
        <row r="3444">
          <cell r="B3444" t="str">
            <v>REMI SECURITIES LTD</v>
          </cell>
          <cell r="C3444">
            <v>511149</v>
          </cell>
          <cell r="D3444" t="str">
            <v>Not Listed</v>
          </cell>
          <cell r="E3444" t="str">
            <v>Misc.Commercial Services</v>
          </cell>
        </row>
        <row r="3445">
          <cell r="B3445" t="str">
            <v>REMSONS INDUSTRIES LTD.</v>
          </cell>
          <cell r="C3445">
            <v>530919</v>
          </cell>
          <cell r="D3445" t="str">
            <v>REMSONSIND</v>
          </cell>
          <cell r="E3445" t="str">
            <v>Auto Parts &amp;amp; Equipment</v>
          </cell>
        </row>
        <row r="3446">
          <cell r="B3446" t="str">
            <v>Renaissance Global LTD</v>
          </cell>
          <cell r="C3446" t="str">
            <v>Not Listed</v>
          </cell>
          <cell r="D3446" t="str">
            <v>RGL</v>
          </cell>
          <cell r="E3446" t="str">
            <v>Auto Parts &amp;amp; Equipment</v>
          </cell>
        </row>
        <row r="3447">
          <cell r="B3447" t="str">
            <v>RENAISSANCE JEWELLERY LTD</v>
          </cell>
          <cell r="C3447">
            <v>532923</v>
          </cell>
          <cell r="D3447" t="str">
            <v>RJL</v>
          </cell>
          <cell r="E3447" t="str">
            <v>Other Apparels &amp; Accessories</v>
          </cell>
        </row>
        <row r="3448">
          <cell r="B3448" t="str">
            <v>REPCO HOME FINANCE LTD</v>
          </cell>
          <cell r="C3448">
            <v>535322</v>
          </cell>
          <cell r="D3448" t="str">
            <v>REPCOHOME</v>
          </cell>
          <cell r="E3448" t="str">
            <v xml:space="preserve">Housing Finance </v>
          </cell>
        </row>
        <row r="3449">
          <cell r="B3449" t="str">
            <v>REPRO (INDIA) LTD</v>
          </cell>
          <cell r="C3449">
            <v>532687</v>
          </cell>
          <cell r="D3449" t="str">
            <v>REPRO</v>
          </cell>
          <cell r="E3449" t="str">
            <v>Comm.Printing/Stationery</v>
          </cell>
        </row>
        <row r="3450">
          <cell r="B3450" t="str">
            <v>REPRO INDIA LTD</v>
          </cell>
          <cell r="C3450">
            <v>532687</v>
          </cell>
          <cell r="D3450" t="str">
            <v>REPRO</v>
          </cell>
          <cell r="E3450" t="str">
            <v>Comm.Printing/Stationery</v>
          </cell>
        </row>
        <row r="3451">
          <cell r="B3451" t="str">
            <v>RESONANCE SPECIALTIES LTD</v>
          </cell>
          <cell r="C3451">
            <v>524218</v>
          </cell>
          <cell r="D3451" t="str">
            <v>Not Listed</v>
          </cell>
          <cell r="E3451" t="str">
            <v>Pharmaceuticals</v>
          </cell>
        </row>
        <row r="3452">
          <cell r="B3452" t="str">
            <v>RESPONSIVE INDUSTRIES LTD</v>
          </cell>
          <cell r="C3452">
            <v>505509</v>
          </cell>
          <cell r="D3452" t="str">
            <v>RESPONIND</v>
          </cell>
          <cell r="E3452" t="str">
            <v>Plastic Products</v>
          </cell>
        </row>
        <row r="3453">
          <cell r="B3453" t="str">
            <v>RESTILE CERAMICS LTD</v>
          </cell>
          <cell r="C3453">
            <v>515085</v>
          </cell>
          <cell r="D3453" t="str">
            <v>Not Listed</v>
          </cell>
          <cell r="E3453" t="str">
            <v>Furniture-Furnishing-Paints</v>
          </cell>
        </row>
        <row r="3454">
          <cell r="B3454" t="str">
            <v>Retro Green Revolution Ltd</v>
          </cell>
          <cell r="C3454">
            <v>519191</v>
          </cell>
          <cell r="D3454" t="str">
            <v>RGRL</v>
          </cell>
          <cell r="E3454" t="str">
            <v>Tea &amp;amp; Coffee</v>
          </cell>
        </row>
        <row r="3455">
          <cell r="B3455" t="str">
            <v>REVATHI EQUIPMENT LTD</v>
          </cell>
          <cell r="C3455">
            <v>505368</v>
          </cell>
          <cell r="D3455" t="str">
            <v>REVATHI</v>
          </cell>
          <cell r="E3455" t="str">
            <v>Industrial Machinery</v>
          </cell>
        </row>
        <row r="3456">
          <cell r="B3456" t="str">
            <v>REXNORD ELECTRONICS &amp; CONTROLS LTD</v>
          </cell>
          <cell r="C3456">
            <v>531888</v>
          </cell>
          <cell r="D3456" t="str">
            <v>Not Listed</v>
          </cell>
          <cell r="E3456" t="str">
            <v>Industrial Machinery</v>
          </cell>
        </row>
        <row r="3457">
          <cell r="B3457" t="str">
            <v>RGF CAPITAL MARKETS LTD</v>
          </cell>
          <cell r="C3457">
            <v>539669</v>
          </cell>
          <cell r="D3457" t="str">
            <v>Not Listed</v>
          </cell>
          <cell r="E3457" t="str">
            <v>Finance (including NBFCs)</v>
          </cell>
        </row>
        <row r="3458">
          <cell r="B3458" t="str">
            <v>RIBA TEXTILES LTD</v>
          </cell>
          <cell r="C3458">
            <v>531952</v>
          </cell>
          <cell r="D3458" t="str">
            <v>Not Listed</v>
          </cell>
          <cell r="E3458" t="str">
            <v>Textiles</v>
          </cell>
        </row>
        <row r="3459">
          <cell r="B3459" t="str">
            <v>RICH UNIVERSE NETWORK LTD</v>
          </cell>
          <cell r="C3459">
            <v>530271</v>
          </cell>
          <cell r="D3459" t="str">
            <v>Not Listed</v>
          </cell>
          <cell r="E3459" t="str">
            <v>Finance (including NBFCs)</v>
          </cell>
        </row>
        <row r="3460">
          <cell r="B3460" t="str">
            <v>RICHA INDUSTRIES LTD</v>
          </cell>
          <cell r="C3460">
            <v>532766</v>
          </cell>
          <cell r="D3460" t="str">
            <v>Not Listed</v>
          </cell>
          <cell r="E3460" t="str">
            <v>Construction &amp; Engineering</v>
          </cell>
        </row>
        <row r="3461">
          <cell r="B3461" t="str">
            <v>RICHFIELD FINANCIAL SERVICES LTD</v>
          </cell>
          <cell r="C3461">
            <v>539435</v>
          </cell>
          <cell r="D3461" t="str">
            <v>Not Listed</v>
          </cell>
          <cell r="E3461" t="str">
            <v>Other Financial Services</v>
          </cell>
        </row>
        <row r="3462">
          <cell r="B3462" t="str">
            <v>RICHIRICH INVENTURES LTD</v>
          </cell>
          <cell r="C3462">
            <v>519230</v>
          </cell>
          <cell r="D3462" t="str">
            <v>Not Listed</v>
          </cell>
          <cell r="E3462" t="str">
            <v>Comm.Trading  &amp; Distribution</v>
          </cell>
        </row>
        <row r="3463">
          <cell r="B3463" t="str">
            <v>RICO AUTO INDUSTRIES LTD</v>
          </cell>
          <cell r="C3463">
            <v>520008</v>
          </cell>
          <cell r="D3463" t="str">
            <v>RICOAUTO</v>
          </cell>
          <cell r="E3463" t="str">
            <v>Auto Parts &amp; Equipment</v>
          </cell>
        </row>
        <row r="3464">
          <cell r="B3464" t="str">
            <v>RIDDHI CORPORATE SERVICES LTD</v>
          </cell>
          <cell r="C3464">
            <v>540590</v>
          </cell>
          <cell r="D3464" t="str">
            <v>Not Listed</v>
          </cell>
          <cell r="E3464" t="str">
            <v>BPO/KPO</v>
          </cell>
        </row>
        <row r="3465">
          <cell r="B3465" t="str">
            <v>RIDDHI SIDDHI GLUCO BIOLS LTD</v>
          </cell>
          <cell r="C3465">
            <v>524480</v>
          </cell>
          <cell r="D3465" t="str">
            <v>Not Listed</v>
          </cell>
          <cell r="E3465" t="str">
            <v>Commodity Chemicals</v>
          </cell>
        </row>
        <row r="3466">
          <cell r="B3466" t="str">
            <v>RIDDHI STEEL AND TUBE LTD</v>
          </cell>
          <cell r="C3466">
            <v>540082</v>
          </cell>
          <cell r="D3466" t="str">
            <v>Not Listed</v>
          </cell>
          <cell r="E3466" t="str">
            <v>Iron &amp; Steel Products</v>
          </cell>
        </row>
        <row r="3467">
          <cell r="B3467" t="str">
            <v>RIDHI SYNTHETICS LTD</v>
          </cell>
          <cell r="C3467">
            <v>504365</v>
          </cell>
          <cell r="D3467" t="str">
            <v>Not Listed</v>
          </cell>
          <cell r="E3467" t="str">
            <v>Other Financial Services</v>
          </cell>
        </row>
        <row r="3468">
          <cell r="B3468" t="str">
            <v>RIDINGS CONSULTING ENGINEERS (INDIA) LTD</v>
          </cell>
          <cell r="C3468">
            <v>541151</v>
          </cell>
          <cell r="D3468" t="str">
            <v>Not Listed</v>
          </cell>
          <cell r="E3468" t="str">
            <v>Consulting Services</v>
          </cell>
        </row>
        <row r="3469">
          <cell r="B3469" t="str">
            <v>RIDINGS CONSULTING ENGINEERS INDIA LTD</v>
          </cell>
          <cell r="C3469">
            <v>541151</v>
          </cell>
          <cell r="D3469" t="str">
            <v>Not Listed</v>
          </cell>
          <cell r="E3469" t="str">
            <v>Consulting Services</v>
          </cell>
        </row>
        <row r="3470">
          <cell r="B3470" t="str">
            <v>RIGA SUGAR COMPANY LTD</v>
          </cell>
          <cell r="C3470">
            <v>507508</v>
          </cell>
          <cell r="D3470" t="str">
            <v>Not Listed</v>
          </cell>
          <cell r="E3470" t="str">
            <v>Sugar</v>
          </cell>
        </row>
        <row r="3471">
          <cell r="B3471" t="str">
            <v>RISA INTERNATIONAL LTD</v>
          </cell>
          <cell r="C3471">
            <v>530251</v>
          </cell>
          <cell r="D3471" t="str">
            <v>Not Listed</v>
          </cell>
          <cell r="E3471" t="str">
            <v>Comm.Trading  &amp; Distribution</v>
          </cell>
        </row>
        <row r="3472">
          <cell r="B3472" t="str">
            <v>RISHAB SPECIAL YARNS LTD</v>
          </cell>
          <cell r="C3472">
            <v>514177</v>
          </cell>
          <cell r="D3472" t="str">
            <v>Not Listed</v>
          </cell>
          <cell r="E3472" t="str">
            <v>Textiles</v>
          </cell>
        </row>
        <row r="3473">
          <cell r="B3473" t="str">
            <v>RISHABH DIGHA STEEL &amp; ALLIED PRODUCTS LTD</v>
          </cell>
          <cell r="C3473">
            <v>531539</v>
          </cell>
          <cell r="D3473" t="str">
            <v>Not Listed</v>
          </cell>
          <cell r="E3473" t="str">
            <v>Iron &amp; Steel/Interm.Products</v>
          </cell>
        </row>
        <row r="3474">
          <cell r="B3474" t="str">
            <v>RISHI LASER LTD</v>
          </cell>
          <cell r="C3474">
            <v>526861</v>
          </cell>
          <cell r="D3474" t="str">
            <v>Not Listed</v>
          </cell>
          <cell r="E3474" t="str">
            <v>Industrial Machinery</v>
          </cell>
        </row>
        <row r="3475">
          <cell r="B3475" t="str">
            <v>RISHI TECHTEX LTD</v>
          </cell>
          <cell r="C3475">
            <v>523021</v>
          </cell>
          <cell r="D3475" t="str">
            <v>Not Listed</v>
          </cell>
          <cell r="E3475" t="str">
            <v>Containers &amp; Packaging</v>
          </cell>
        </row>
        <row r="3476">
          <cell r="B3476" t="str">
            <v>RISHIROOP LTD</v>
          </cell>
          <cell r="C3476">
            <v>526492</v>
          </cell>
          <cell r="D3476" t="str">
            <v>Not Listed</v>
          </cell>
          <cell r="E3476" t="str">
            <v>Other Industrial Products</v>
          </cell>
        </row>
        <row r="3477">
          <cell r="B3477" t="str">
            <v>Ritco Logistics Ltd</v>
          </cell>
          <cell r="C3477">
            <v>542383</v>
          </cell>
          <cell r="D3477" t="str">
            <v>RITCO</v>
          </cell>
          <cell r="E3477" t="str">
            <v>Transportation - Logistics</v>
          </cell>
        </row>
        <row r="3478">
          <cell r="B3478" t="str">
            <v>RITES LTD</v>
          </cell>
          <cell r="C3478">
            <v>541556</v>
          </cell>
          <cell r="D3478" t="str">
            <v>RITES</v>
          </cell>
          <cell r="E3478" t="str">
            <v>Construction &amp; Engineering</v>
          </cell>
        </row>
        <row r="3479">
          <cell r="B3479" t="str">
            <v>RITESH INTERNATIONAL LTD</v>
          </cell>
          <cell r="C3479">
            <v>519097</v>
          </cell>
          <cell r="D3479" t="str">
            <v>Not Listed</v>
          </cell>
          <cell r="E3479" t="str">
            <v>Commodity Chemicals</v>
          </cell>
        </row>
        <row r="3480">
          <cell r="B3480" t="str">
            <v>RITESH PROPERTIES &amp; INDUSTRIES LTD</v>
          </cell>
          <cell r="C3480">
            <v>526407</v>
          </cell>
          <cell r="D3480" t="str">
            <v>Not Listed</v>
          </cell>
          <cell r="E3480" t="str">
            <v>Other Apparels &amp; Accessories</v>
          </cell>
        </row>
        <row r="3481">
          <cell r="B3481" t="str">
            <v>RITHWIK FACILITY MANAGEMENT SERVICES LTD</v>
          </cell>
          <cell r="C3481">
            <v>540843</v>
          </cell>
          <cell r="D3481" t="str">
            <v>Not Listed</v>
          </cell>
          <cell r="E3481" t="str">
            <v>Sp.Consumer Services</v>
          </cell>
        </row>
        <row r="3482">
          <cell r="B3482" t="str">
            <v>RKEC PROJECTS LTD</v>
          </cell>
          <cell r="C3482" t="str">
            <v>Not Listed</v>
          </cell>
          <cell r="D3482" t="str">
            <v>RKEC</v>
          </cell>
          <cell r="E3482" t="str">
            <v>SME</v>
          </cell>
        </row>
        <row r="3483">
          <cell r="B3483" t="str">
            <v>RLF LTD</v>
          </cell>
          <cell r="C3483">
            <v>512618</v>
          </cell>
          <cell r="D3483" t="str">
            <v>Not Listed</v>
          </cell>
          <cell r="E3483" t="str">
            <v>Textiles</v>
          </cell>
        </row>
        <row r="3484">
          <cell r="B3484" t="str">
            <v>RMC SWITCHGEARS LTD</v>
          </cell>
          <cell r="C3484">
            <v>540358</v>
          </cell>
          <cell r="D3484" t="str">
            <v>Not Listed</v>
          </cell>
          <cell r="E3484" t="str">
            <v>Other Elect.Equip./ Prod.</v>
          </cell>
        </row>
        <row r="3485">
          <cell r="B3485" t="str">
            <v>RMG ALLOY STEEL LTD</v>
          </cell>
          <cell r="C3485">
            <v>500365</v>
          </cell>
          <cell r="D3485" t="str">
            <v>Not Listed</v>
          </cell>
          <cell r="E3485" t="str">
            <v>Iron &amp; Steel/Interm.Products</v>
          </cell>
        </row>
        <row r="3486">
          <cell r="B3486" t="str">
            <v>ROCKON ENTERPRISES LTD</v>
          </cell>
          <cell r="C3486">
            <v>531447</v>
          </cell>
          <cell r="D3486" t="str">
            <v>Not Listed</v>
          </cell>
          <cell r="E3486" t="str">
            <v>Comm.Trading  &amp; Distribution</v>
          </cell>
        </row>
        <row r="3487">
          <cell r="B3487" t="str">
            <v>RODIUM REALTY LTD</v>
          </cell>
          <cell r="C3487">
            <v>531822</v>
          </cell>
          <cell r="D3487" t="str">
            <v>Not Listed</v>
          </cell>
          <cell r="E3487" t="str">
            <v>Realty</v>
          </cell>
        </row>
        <row r="3488">
          <cell r="B3488" t="str">
            <v>ROHIT FERRO-TECH LTD</v>
          </cell>
          <cell r="C3488">
            <v>532731</v>
          </cell>
          <cell r="D3488" t="str">
            <v>ROHITFERRO</v>
          </cell>
          <cell r="E3488" t="str">
            <v>Iron &amp; Steel/Interm.Products</v>
          </cell>
        </row>
        <row r="3489">
          <cell r="B3489" t="str">
            <v>ROLCON ENGINEERING CO LTD</v>
          </cell>
          <cell r="C3489">
            <v>505807</v>
          </cell>
          <cell r="D3489" t="str">
            <v>Not Listed</v>
          </cell>
          <cell r="E3489" t="str">
            <v>Other Industrial Products</v>
          </cell>
        </row>
        <row r="3490">
          <cell r="B3490" t="str">
            <v>ROLLATAINERS LTD</v>
          </cell>
          <cell r="C3490">
            <v>502448</v>
          </cell>
          <cell r="D3490" t="str">
            <v>ROLLT</v>
          </cell>
          <cell r="E3490" t="str">
            <v>Containers &amp; Packaging</v>
          </cell>
        </row>
        <row r="3491">
          <cell r="B3491" t="str">
            <v>ROLTA (INDIA) LTD</v>
          </cell>
          <cell r="C3491">
            <v>500366</v>
          </cell>
          <cell r="D3491" t="str">
            <v>ROLTA</v>
          </cell>
          <cell r="E3491" t="str">
            <v>Internet Software &amp; Services</v>
          </cell>
        </row>
        <row r="3492">
          <cell r="B3492" t="str">
            <v>ROLTA INDIA LTD</v>
          </cell>
          <cell r="C3492">
            <v>500366</v>
          </cell>
          <cell r="D3492" t="str">
            <v>ROLTA</v>
          </cell>
          <cell r="E3492" t="str">
            <v>Internet Software &amp; Services</v>
          </cell>
        </row>
        <row r="3493">
          <cell r="B3493" t="str">
            <v>RONI HOUSEHOLDS LTD</v>
          </cell>
          <cell r="C3493">
            <v>542145</v>
          </cell>
          <cell r="D3493" t="str">
            <v>Not Listed</v>
          </cell>
          <cell r="E3493" t="str">
            <v>Comm.Trading  &amp; Distribution</v>
          </cell>
        </row>
        <row r="3494">
          <cell r="B3494" t="str">
            <v>ROOPA INDUSTRIES LTD</v>
          </cell>
          <cell r="C3494">
            <v>530991</v>
          </cell>
          <cell r="D3494" t="str">
            <v>Not Listed</v>
          </cell>
          <cell r="E3494" t="str">
            <v>Pharmaceuticals</v>
          </cell>
        </row>
        <row r="3495">
          <cell r="B3495" t="str">
            <v>Roopshri Resorts Ltd</v>
          </cell>
          <cell r="C3495">
            <v>542599</v>
          </cell>
          <cell r="D3495" t="str">
            <v>ROOPSHRI</v>
          </cell>
          <cell r="E3495" t="str">
            <v>Hotels</v>
          </cell>
        </row>
        <row r="3496">
          <cell r="B3496" t="str">
            <v>ROSELABS FINANCE LTD</v>
          </cell>
          <cell r="C3496">
            <v>531324</v>
          </cell>
          <cell r="D3496" t="str">
            <v>Not Listed</v>
          </cell>
          <cell r="E3496" t="str">
            <v>Other Financial Services</v>
          </cell>
        </row>
        <row r="3497">
          <cell r="B3497" t="str">
            <v>ROSSELL (INDIA) LTD</v>
          </cell>
          <cell r="C3497">
            <v>533168</v>
          </cell>
          <cell r="D3497" t="str">
            <v>ROSSELLIND</v>
          </cell>
          <cell r="E3497" t="str">
            <v>Tea &amp; Coffee</v>
          </cell>
        </row>
        <row r="3498">
          <cell r="B3498" t="str">
            <v>ROSSELL INDIA LTD</v>
          </cell>
          <cell r="C3498">
            <v>533168</v>
          </cell>
          <cell r="D3498" t="str">
            <v>ROSSELLIND</v>
          </cell>
          <cell r="E3498" t="str">
            <v>Tea &amp; Coffee</v>
          </cell>
        </row>
        <row r="3499">
          <cell r="B3499" t="str">
            <v>ROTO PUMPS LTD</v>
          </cell>
          <cell r="C3499">
            <v>517500</v>
          </cell>
          <cell r="D3499" t="str">
            <v>Not Listed</v>
          </cell>
          <cell r="E3499" t="str">
            <v>Industrial Machinery</v>
          </cell>
        </row>
        <row r="3500">
          <cell r="B3500" t="str">
            <v>ROTOGRAPHICS (INDIA) LTD</v>
          </cell>
          <cell r="C3500">
            <v>539922</v>
          </cell>
          <cell r="D3500" t="str">
            <v>Not Listed</v>
          </cell>
          <cell r="E3500" t="str">
            <v>Comm.Trading  &amp; Distribution</v>
          </cell>
        </row>
        <row r="3501">
          <cell r="B3501" t="str">
            <v>ROTOGRAPHICS INDIA LTD</v>
          </cell>
          <cell r="C3501">
            <v>539922</v>
          </cell>
          <cell r="D3501" t="str">
            <v>Not Listed</v>
          </cell>
          <cell r="E3501" t="str">
            <v>Comm.Trading  &amp; Distribution</v>
          </cell>
        </row>
        <row r="3502">
          <cell r="B3502" t="str">
            <v>ROYAL CUSHION VINYL PRODUCTS LTD</v>
          </cell>
          <cell r="C3502">
            <v>526193</v>
          </cell>
          <cell r="D3502" t="str">
            <v>Not Listed</v>
          </cell>
          <cell r="E3502" t="str">
            <v>Furniture-Furnishing-Paints</v>
          </cell>
        </row>
        <row r="3503">
          <cell r="B3503" t="str">
            <v>ROYAL INDIA CORPORATION LTD</v>
          </cell>
          <cell r="C3503">
            <v>512047</v>
          </cell>
          <cell r="D3503" t="str">
            <v>Not Listed</v>
          </cell>
          <cell r="E3503" t="str">
            <v>Other Apparels &amp; Accessories</v>
          </cell>
        </row>
        <row r="3504">
          <cell r="B3504" t="str">
            <v>ROYAL ORCHID HOTELS LTD</v>
          </cell>
          <cell r="C3504">
            <v>532699</v>
          </cell>
          <cell r="D3504" t="str">
            <v>ROHLTD</v>
          </cell>
          <cell r="E3504" t="str">
            <v>Hotels</v>
          </cell>
        </row>
        <row r="3505">
          <cell r="B3505" t="str">
            <v>ROYALE MANOR HOTELS &amp; INDUSTRIES LTD</v>
          </cell>
          <cell r="C3505">
            <v>526640</v>
          </cell>
          <cell r="D3505" t="str">
            <v>Not Listed</v>
          </cell>
          <cell r="E3505" t="str">
            <v>Hotels</v>
          </cell>
        </row>
        <row r="3506">
          <cell r="B3506" t="str">
            <v>RPG LIFE SCIENCES LTD</v>
          </cell>
          <cell r="C3506">
            <v>532983</v>
          </cell>
          <cell r="D3506" t="str">
            <v>RPGLIFE</v>
          </cell>
          <cell r="E3506" t="str">
            <v>Pharmaceuticals</v>
          </cell>
        </row>
        <row r="3507">
          <cell r="B3507" t="str">
            <v>RR FINANCIAL CONSULTANTS LTD</v>
          </cell>
          <cell r="C3507">
            <v>511626</v>
          </cell>
          <cell r="D3507" t="str">
            <v>Not Listed</v>
          </cell>
          <cell r="E3507" t="str">
            <v>Finance (including NBFCs)</v>
          </cell>
        </row>
        <row r="3508">
          <cell r="B3508" t="str">
            <v>RSC INTERNATIONAL LTD</v>
          </cell>
          <cell r="C3508">
            <v>530179</v>
          </cell>
          <cell r="D3508" t="str">
            <v>Not Listed</v>
          </cell>
          <cell r="E3508" t="str">
            <v>Textiles</v>
          </cell>
        </row>
        <row r="3509">
          <cell r="B3509" t="str">
            <v>RSD FINANCE LTD</v>
          </cell>
          <cell r="C3509">
            <v>539875</v>
          </cell>
          <cell r="D3509" t="str">
            <v>Not Listed</v>
          </cell>
          <cell r="E3509" t="str">
            <v>Investment Companies</v>
          </cell>
        </row>
        <row r="3510">
          <cell r="B3510" t="str">
            <v>RSWM LTD</v>
          </cell>
          <cell r="C3510">
            <v>500350</v>
          </cell>
          <cell r="D3510" t="str">
            <v>RSWM</v>
          </cell>
          <cell r="E3510" t="str">
            <v>Textiles</v>
          </cell>
        </row>
        <row r="3511">
          <cell r="B3511" t="str">
            <v>RTS POWER CORPORATION LTD</v>
          </cell>
          <cell r="C3511">
            <v>531215</v>
          </cell>
          <cell r="D3511" t="str">
            <v>Not Listed</v>
          </cell>
          <cell r="E3511" t="str">
            <v>Other Elect.Equip./ Prod.</v>
          </cell>
        </row>
        <row r="3512">
          <cell r="B3512" t="str">
            <v>RUBFILA INTERNATIONAL LTD</v>
          </cell>
          <cell r="C3512">
            <v>500367</v>
          </cell>
          <cell r="D3512" t="str">
            <v>Not Listed</v>
          </cell>
          <cell r="E3512" t="str">
            <v>Auto Tyres &amp; Rubber Products</v>
          </cell>
        </row>
        <row r="3513">
          <cell r="B3513" t="str">
            <v>RUBRA MEDICAMENTS LTD</v>
          </cell>
          <cell r="C3513">
            <v>531099</v>
          </cell>
          <cell r="D3513" t="str">
            <v>Not Listed</v>
          </cell>
          <cell r="E3513" t="str">
            <v>Pharmaceuticals</v>
          </cell>
        </row>
        <row r="3514">
          <cell r="B3514" t="str">
            <v>RUCHI INFRASTRUCTURE LTD</v>
          </cell>
          <cell r="C3514">
            <v>509020</v>
          </cell>
          <cell r="D3514" t="str">
            <v>RUCHINFRA</v>
          </cell>
          <cell r="E3514" t="str">
            <v>Edible Oils</v>
          </cell>
        </row>
        <row r="3515">
          <cell r="B3515" t="str">
            <v>RUCHI SOYA INDUSTRIES LTD</v>
          </cell>
          <cell r="C3515">
            <v>500368</v>
          </cell>
          <cell r="D3515" t="str">
            <v>RUCHISOYA</v>
          </cell>
          <cell r="E3515" t="str">
            <v>Edible Oils</v>
          </cell>
        </row>
        <row r="3516">
          <cell r="B3516" t="str">
            <v>RUCHIKA INDUSTRIES (INDIA) LTD</v>
          </cell>
          <cell r="C3516">
            <v>540696</v>
          </cell>
          <cell r="D3516" t="str">
            <v>Not Listed</v>
          </cell>
          <cell r="E3516" t="str">
            <v>Comm.Trading  &amp; Distribution</v>
          </cell>
        </row>
        <row r="3517">
          <cell r="B3517" t="str">
            <v>RUCHIKA INDUSTRIES INDIA LTD</v>
          </cell>
          <cell r="C3517">
            <v>540696</v>
          </cell>
          <cell r="D3517" t="str">
            <v>Not Listed</v>
          </cell>
          <cell r="E3517" t="str">
            <v>Comm.Trading  &amp; Distribution</v>
          </cell>
        </row>
        <row r="3518">
          <cell r="B3518" t="str">
            <v>RUCHIRA PAPERS LTD</v>
          </cell>
          <cell r="C3518">
            <v>532785</v>
          </cell>
          <cell r="D3518" t="str">
            <v>RUCHIRA</v>
          </cell>
          <cell r="E3518" t="str">
            <v>Paper &amp; Paper Products</v>
          </cell>
        </row>
        <row r="3519">
          <cell r="B3519" t="str">
            <v>RUDRA GLOBAL INFRA PRODUCTS LTD</v>
          </cell>
          <cell r="C3519">
            <v>539226</v>
          </cell>
          <cell r="D3519" t="str">
            <v>Not Listed</v>
          </cell>
          <cell r="E3519" t="str">
            <v>Iron &amp; Steel/Interm.Products</v>
          </cell>
        </row>
        <row r="3520">
          <cell r="B3520" t="str">
            <v>RUDRABHISHEK ENTERPRISES LTD</v>
          </cell>
          <cell r="C3520" t="str">
            <v>Not Listed</v>
          </cell>
          <cell r="D3520" t="str">
            <v>REPL</v>
          </cell>
          <cell r="E3520" t="str">
            <v>SME</v>
          </cell>
        </row>
        <row r="3521">
          <cell r="B3521" t="str">
            <v>RUIA AQUACULTURE FARMS LTD</v>
          </cell>
          <cell r="C3521">
            <v>519413</v>
          </cell>
          <cell r="D3521" t="str">
            <v>Not Listed</v>
          </cell>
          <cell r="E3521" t="str">
            <v>Comm.Trading  &amp; Distribution</v>
          </cell>
        </row>
        <row r="3522">
          <cell r="B3522" t="str">
            <v>RUNGTA IRRIGATION LTD</v>
          </cell>
          <cell r="C3522">
            <v>530449</v>
          </cell>
          <cell r="D3522" t="str">
            <v>Not Listed</v>
          </cell>
          <cell r="E3522" t="str">
            <v>Plastic Products</v>
          </cell>
        </row>
        <row r="3523">
          <cell r="B3523" t="str">
            <v>RUPA &amp; COMPANY LTD</v>
          </cell>
          <cell r="C3523">
            <v>533552</v>
          </cell>
          <cell r="D3523" t="str">
            <v>RUPA</v>
          </cell>
          <cell r="E3523" t="str">
            <v>Other Apparels &amp; Accessories</v>
          </cell>
        </row>
        <row r="3524">
          <cell r="B3524" t="str">
            <v>RUSHIL DECOR LTD</v>
          </cell>
          <cell r="C3524">
            <v>533470</v>
          </cell>
          <cell r="D3524" t="str">
            <v>RUSHIL</v>
          </cell>
          <cell r="E3524" t="str">
            <v>Forest Products</v>
          </cell>
        </row>
        <row r="3525">
          <cell r="B3525" t="str">
            <v>RUTRON INTERNATIONAL LTD</v>
          </cell>
          <cell r="C3525">
            <v>504335</v>
          </cell>
          <cell r="D3525" t="str">
            <v>Not Listed</v>
          </cell>
          <cell r="E3525" t="str">
            <v>Comm.Trading  &amp; Distribution</v>
          </cell>
        </row>
        <row r="3526">
          <cell r="B3526" t="str">
            <v>RUTTONSHA INTERNATIONAL RECTIFIER LTD</v>
          </cell>
          <cell r="C3526">
            <v>517035</v>
          </cell>
          <cell r="D3526" t="str">
            <v>Not Listed</v>
          </cell>
          <cell r="E3526" t="str">
            <v>Electronic Components</v>
          </cell>
        </row>
        <row r="3527">
          <cell r="B3527" t="str">
            <v>S  M  GOLD LTD</v>
          </cell>
          <cell r="C3527">
            <v>542034</v>
          </cell>
          <cell r="D3527" t="str">
            <v>Not Listed</v>
          </cell>
          <cell r="E3527" t="str">
            <v>Other Apparels &amp; Accessories</v>
          </cell>
        </row>
        <row r="3528">
          <cell r="B3528" t="str">
            <v>S A L STEEL LTD</v>
          </cell>
          <cell r="C3528">
            <v>532604</v>
          </cell>
          <cell r="D3528" t="str">
            <v>SALSTEEL</v>
          </cell>
          <cell r="E3528" t="str">
            <v>Iron &amp; Steel/Interm.Products</v>
          </cell>
        </row>
        <row r="3529">
          <cell r="B3529" t="str">
            <v>S CHAND AND COMPANY LTD</v>
          </cell>
          <cell r="C3529">
            <v>540497</v>
          </cell>
          <cell r="D3529" t="str">
            <v>SCHAND</v>
          </cell>
          <cell r="E3529" t="str">
            <v>Publishing</v>
          </cell>
        </row>
        <row r="3530">
          <cell r="B3530" t="str">
            <v>S E POWER LTD</v>
          </cell>
          <cell r="C3530">
            <v>534598</v>
          </cell>
          <cell r="D3530" t="str">
            <v>SEPOWER</v>
          </cell>
          <cell r="E3530" t="str">
            <v>Electric Utilities</v>
          </cell>
        </row>
        <row r="3531">
          <cell r="B3531" t="str">
            <v>S H KELKAR AND COMPANY LTD</v>
          </cell>
          <cell r="C3531">
            <v>539450</v>
          </cell>
          <cell r="D3531" t="str">
            <v>SHK</v>
          </cell>
          <cell r="E3531" t="str">
            <v>Personal Products</v>
          </cell>
        </row>
        <row r="3532">
          <cell r="B3532" t="str">
            <v>S KUMARS.COM LTD.</v>
          </cell>
          <cell r="C3532">
            <v>532316</v>
          </cell>
          <cell r="D3532" t="str">
            <v>SKUMAR</v>
          </cell>
          <cell r="E3532" t="str">
            <v>Internet Software &amp;amp; Services</v>
          </cell>
        </row>
        <row r="3533">
          <cell r="B3533" t="str">
            <v>S P APPARELS LTD</v>
          </cell>
          <cell r="C3533">
            <v>540048</v>
          </cell>
          <cell r="D3533" t="str">
            <v>SPAL</v>
          </cell>
          <cell r="E3533" t="str">
            <v>Other Apparels &amp; Accessories</v>
          </cell>
        </row>
        <row r="3534">
          <cell r="B3534" t="str">
            <v>S R G SECURITIES FINANCE LTD</v>
          </cell>
          <cell r="C3534">
            <v>536710</v>
          </cell>
          <cell r="D3534" t="str">
            <v>Not Listed</v>
          </cell>
          <cell r="E3534" t="str">
            <v>Finance (including NBFCs)</v>
          </cell>
        </row>
        <row r="3535">
          <cell r="B3535" t="str">
            <v>S R INDUSTRIES LTD</v>
          </cell>
          <cell r="C3535">
            <v>513515</v>
          </cell>
          <cell r="D3535" t="str">
            <v>Not Listed</v>
          </cell>
          <cell r="E3535" t="str">
            <v>Textiles</v>
          </cell>
        </row>
        <row r="3536">
          <cell r="B3536" t="str">
            <v>S R K INDUSTRIES LTD</v>
          </cell>
          <cell r="C3536">
            <v>531307</v>
          </cell>
          <cell r="D3536" t="str">
            <v>Not Listed</v>
          </cell>
          <cell r="E3536" t="str">
            <v>Textiles</v>
          </cell>
        </row>
        <row r="3537">
          <cell r="B3537" t="str">
            <v>S S INFRASTRUCTURE DEVELOPMENT CONSULTANTS LTD</v>
          </cell>
          <cell r="C3537" t="str">
            <v>Not Listed</v>
          </cell>
          <cell r="D3537" t="str">
            <v>SSINFRA</v>
          </cell>
          <cell r="E3537" t="str">
            <v>SME</v>
          </cell>
        </row>
        <row r="3538">
          <cell r="B3538" t="str">
            <v>S T SERVICES LTD</v>
          </cell>
          <cell r="C3538">
            <v>538876</v>
          </cell>
          <cell r="D3538" t="str">
            <v>Not Listed</v>
          </cell>
          <cell r="E3538" t="str">
            <v>Finance (including NBFCs)</v>
          </cell>
        </row>
        <row r="3539">
          <cell r="B3539" t="str">
            <v>S V GLOBAL MILL LTD</v>
          </cell>
          <cell r="C3539">
            <v>535621</v>
          </cell>
          <cell r="D3539" t="str">
            <v>Not Listed</v>
          </cell>
          <cell r="E3539" t="str">
            <v>Realty</v>
          </cell>
        </row>
        <row r="3540">
          <cell r="B3540" t="str">
            <v>S V TRADING &amp; AGENCIES LTD</v>
          </cell>
          <cell r="C3540">
            <v>503622</v>
          </cell>
          <cell r="D3540" t="str">
            <v>Not Listed</v>
          </cell>
          <cell r="E3540" t="str">
            <v>Other Financial Services</v>
          </cell>
        </row>
        <row r="3541">
          <cell r="B3541" t="str">
            <v>S&amp;T CORPORATION LTD</v>
          </cell>
          <cell r="C3541">
            <v>514197</v>
          </cell>
          <cell r="D3541" t="str">
            <v>Not Listed</v>
          </cell>
          <cell r="E3541" t="str">
            <v>Textiles</v>
          </cell>
        </row>
        <row r="3542">
          <cell r="B3542" t="str">
            <v>SAB EVENTS &amp; GOVERNANCE NOW MEDIA LTD</v>
          </cell>
          <cell r="C3542">
            <v>540081</v>
          </cell>
          <cell r="D3542" t="str">
            <v>SABEVENTS</v>
          </cell>
          <cell r="E3542" t="str">
            <v>Publishing</v>
          </cell>
        </row>
        <row r="3543">
          <cell r="B3543" t="str">
            <v>SAB INDUSTRIES LTD</v>
          </cell>
          <cell r="C3543">
            <v>539112</v>
          </cell>
          <cell r="D3543" t="str">
            <v>Not Listed</v>
          </cell>
          <cell r="E3543" t="str">
            <v>Realty</v>
          </cell>
        </row>
        <row r="3544">
          <cell r="B3544" t="str">
            <v>SABOO BROTHERS LTD</v>
          </cell>
          <cell r="C3544">
            <v>530267</v>
          </cell>
          <cell r="D3544" t="str">
            <v>Not Listed</v>
          </cell>
          <cell r="E3544" t="str">
            <v>Industrial Machinery</v>
          </cell>
        </row>
        <row r="3545">
          <cell r="B3545" t="str">
            <v>SABOO SODIUM CHLORO LTD</v>
          </cell>
          <cell r="C3545">
            <v>530461</v>
          </cell>
          <cell r="D3545" t="str">
            <v>Not Listed</v>
          </cell>
          <cell r="E3545" t="str">
            <v>Other Food Products</v>
          </cell>
        </row>
        <row r="3546">
          <cell r="B3546" t="str">
            <v>SABRIMALA INDUSTRIES (INDIA) LTD</v>
          </cell>
          <cell r="C3546">
            <v>540132</v>
          </cell>
          <cell r="D3546" t="str">
            <v>Not Listed</v>
          </cell>
          <cell r="E3546" t="str">
            <v>Comm.Trading  &amp; Distribution</v>
          </cell>
        </row>
        <row r="3547">
          <cell r="B3547" t="str">
            <v>SABRIMALA INDUSTRIES INDIA LTD</v>
          </cell>
          <cell r="C3547">
            <v>540132</v>
          </cell>
          <cell r="D3547" t="str">
            <v>Not Listed</v>
          </cell>
          <cell r="E3547" t="str">
            <v>Comm.Trading  &amp; Distribution</v>
          </cell>
        </row>
        <row r="3548">
          <cell r="B3548" t="str">
            <v>SACHETA METALS LTD</v>
          </cell>
          <cell r="C3548">
            <v>531869</v>
          </cell>
          <cell r="D3548" t="str">
            <v>Not Listed</v>
          </cell>
          <cell r="E3548" t="str">
            <v>Aluminium</v>
          </cell>
        </row>
        <row r="3549">
          <cell r="B3549" t="str">
            <v>SADBHAV ENGINEERING LTD</v>
          </cell>
          <cell r="C3549">
            <v>532710</v>
          </cell>
          <cell r="D3549" t="str">
            <v>SADBHAV</v>
          </cell>
          <cell r="E3549" t="str">
            <v>Construction &amp; Engineering</v>
          </cell>
        </row>
        <row r="3550">
          <cell r="B3550" t="str">
            <v>SADBHAV INFRASTRUCTURE PROJECT LTD</v>
          </cell>
          <cell r="C3550">
            <v>539346</v>
          </cell>
          <cell r="D3550" t="str">
            <v>SADBHIN</v>
          </cell>
          <cell r="E3550" t="str">
            <v>Roads &amp; Highways</v>
          </cell>
        </row>
        <row r="3551">
          <cell r="B3551" t="str">
            <v>SADHANA NITROCHEM LTD</v>
          </cell>
          <cell r="C3551">
            <v>506642</v>
          </cell>
          <cell r="D3551" t="str">
            <v>Not Listed</v>
          </cell>
          <cell r="E3551" t="str">
            <v>Commodity Chemicals</v>
          </cell>
        </row>
        <row r="3552">
          <cell r="B3552" t="str">
            <v>SADHNA BROADCAST LTD</v>
          </cell>
          <cell r="C3552">
            <v>540821</v>
          </cell>
          <cell r="D3552" t="str">
            <v>Not Listed</v>
          </cell>
          <cell r="E3552" t="str">
            <v>Broadcasting &amp; Cable TV</v>
          </cell>
        </row>
        <row r="3553">
          <cell r="B3553" t="str">
            <v>SAFAL HERBS LTD</v>
          </cell>
          <cell r="C3553">
            <v>532034</v>
          </cell>
          <cell r="D3553" t="str">
            <v>Not Listed</v>
          </cell>
          <cell r="E3553" t="str">
            <v>Personal Products</v>
          </cell>
        </row>
        <row r="3554">
          <cell r="B3554" t="str">
            <v>SAFAL SECURITIES LTD</v>
          </cell>
          <cell r="C3554">
            <v>531448</v>
          </cell>
          <cell r="D3554" t="str">
            <v>Not Listed</v>
          </cell>
          <cell r="E3554" t="str">
            <v>Misc.Commercial Services</v>
          </cell>
        </row>
        <row r="3555">
          <cell r="B3555" t="str">
            <v>SAFARI INDUSTRIES (INDIA) LTD</v>
          </cell>
          <cell r="C3555">
            <v>523025</v>
          </cell>
          <cell r="D3555" t="str">
            <v>Not Listed</v>
          </cell>
          <cell r="E3555" t="str">
            <v>Other Apparels &amp; Accessories</v>
          </cell>
        </row>
        <row r="3556">
          <cell r="B3556" t="str">
            <v>SAFARI INDUSTRIES INDIA LTD</v>
          </cell>
          <cell r="C3556">
            <v>523025</v>
          </cell>
          <cell r="D3556" t="str">
            <v>Not Listed</v>
          </cell>
          <cell r="E3556" t="str">
            <v>Other Apparels &amp; Accessories</v>
          </cell>
        </row>
        <row r="3557">
          <cell r="B3557" t="str">
            <v>SAGAR CEMENTS LTD</v>
          </cell>
          <cell r="C3557">
            <v>502090</v>
          </cell>
          <cell r="D3557" t="str">
            <v>SAGCEM</v>
          </cell>
          <cell r="E3557" t="str">
            <v>Cement &amp; Cement Products</v>
          </cell>
        </row>
        <row r="3558">
          <cell r="B3558" t="str">
            <v>SAGAR DIAMONDS LTD</v>
          </cell>
          <cell r="C3558">
            <v>540715</v>
          </cell>
          <cell r="D3558" t="str">
            <v>Not Listed</v>
          </cell>
          <cell r="E3558" t="str">
            <v>Other Apparels &amp; Accessories</v>
          </cell>
        </row>
        <row r="3559">
          <cell r="B3559" t="str">
            <v>SAGAR PRODUCTIONS LTD</v>
          </cell>
          <cell r="C3559">
            <v>532092</v>
          </cell>
          <cell r="D3559" t="str">
            <v>Not Listed</v>
          </cell>
          <cell r="E3559" t="str">
            <v>Finance (including NBFCs)</v>
          </cell>
        </row>
        <row r="3560">
          <cell r="B3560" t="str">
            <v>SAGAR SOYA PRODUCTS LTD</v>
          </cell>
          <cell r="C3560">
            <v>507663</v>
          </cell>
          <cell r="D3560" t="str">
            <v>Not Listed</v>
          </cell>
          <cell r="E3560" t="str">
            <v>Edible Oils</v>
          </cell>
        </row>
        <row r="3561">
          <cell r="B3561" t="str">
            <v>SAGAR SYSTECH LTD</v>
          </cell>
          <cell r="C3561">
            <v>511254</v>
          </cell>
          <cell r="D3561" t="str">
            <v>Not Listed</v>
          </cell>
          <cell r="E3561" t="str">
            <v>Finance (including NBFCs)</v>
          </cell>
        </row>
        <row r="3562">
          <cell r="B3562" t="str">
            <v>SAGAR TOURIST RESORTS LTD</v>
          </cell>
          <cell r="C3562">
            <v>526085</v>
          </cell>
          <cell r="D3562" t="str">
            <v>Not Listed</v>
          </cell>
          <cell r="E3562" t="str">
            <v>Hotels</v>
          </cell>
        </row>
        <row r="3563">
          <cell r="B3563" t="str">
            <v>SAGARDEEP ALLOYS LTD</v>
          </cell>
          <cell r="C3563" t="str">
            <v>Not Listed</v>
          </cell>
          <cell r="D3563" t="str">
            <v>SAGARDEEP</v>
          </cell>
          <cell r="E3563" t="str">
            <v>SME</v>
          </cell>
        </row>
        <row r="3564">
          <cell r="B3564" t="str">
            <v>SAGARSOFT (INDIA) LTD</v>
          </cell>
          <cell r="C3564">
            <v>540143</v>
          </cell>
          <cell r="D3564" t="str">
            <v>Not Listed</v>
          </cell>
          <cell r="E3564" t="str">
            <v>IT Consulting &amp; Software</v>
          </cell>
        </row>
        <row r="3565">
          <cell r="B3565" t="str">
            <v>SAGARSOFT INDIA LTD</v>
          </cell>
          <cell r="C3565">
            <v>540143</v>
          </cell>
          <cell r="D3565" t="str">
            <v>Not Listed</v>
          </cell>
          <cell r="E3565" t="str">
            <v>IT Consulting &amp; Software</v>
          </cell>
        </row>
        <row r="3566">
          <cell r="B3566" t="str">
            <v>SAHARA HOUSINGFINA CORPORATION LTD</v>
          </cell>
          <cell r="C3566">
            <v>511533</v>
          </cell>
          <cell r="D3566" t="str">
            <v>Not Listed</v>
          </cell>
          <cell r="E3566" t="str">
            <v xml:space="preserve">Housing Finance </v>
          </cell>
        </row>
        <row r="3567">
          <cell r="B3567" t="str">
            <v>SAHARA ONE MEDIA &amp; ENTERTAINMENT LTD</v>
          </cell>
          <cell r="C3567">
            <v>503691</v>
          </cell>
          <cell r="D3567" t="str">
            <v>Not Listed</v>
          </cell>
          <cell r="E3567" t="str">
            <v>Broadcasting &amp; Cable TV</v>
          </cell>
        </row>
        <row r="3568">
          <cell r="B3568" t="str">
            <v>SAHYADRI INDUSTRIES LTD</v>
          </cell>
          <cell r="C3568">
            <v>532841</v>
          </cell>
          <cell r="D3568" t="str">
            <v>Not Listed</v>
          </cell>
          <cell r="E3568" t="str">
            <v>Cement &amp; Cement Products</v>
          </cell>
        </row>
        <row r="3569">
          <cell r="B3569" t="str">
            <v>SAHYOG MULTIBASE LTD</v>
          </cell>
          <cell r="C3569">
            <v>539660</v>
          </cell>
          <cell r="D3569" t="str">
            <v>Not Listed</v>
          </cell>
          <cell r="E3569" t="str">
            <v>Other Financial Services</v>
          </cell>
        </row>
        <row r="3570">
          <cell r="B3570" t="str">
            <v>SAI BABA INVESTMENT AND COMMERCIAL ENTERPRISES LTD</v>
          </cell>
          <cell r="C3570">
            <v>538557</v>
          </cell>
          <cell r="D3570" t="str">
            <v>Not Listed</v>
          </cell>
          <cell r="E3570" t="str">
            <v>Comm.Trading  &amp; Distribution</v>
          </cell>
        </row>
        <row r="3571">
          <cell r="B3571" t="str">
            <v>SAI CAPITAL LTD</v>
          </cell>
          <cell r="C3571">
            <v>531931</v>
          </cell>
          <cell r="D3571" t="str">
            <v>Not Listed</v>
          </cell>
          <cell r="E3571" t="str">
            <v>Misc.Commercial Services</v>
          </cell>
        </row>
        <row r="3572">
          <cell r="B3572" t="str">
            <v>SAI INDUSTRIES LTD</v>
          </cell>
          <cell r="C3572">
            <v>530905</v>
          </cell>
          <cell r="D3572" t="str">
            <v>Not Listed</v>
          </cell>
          <cell r="E3572" t="str">
            <v>Finance (including NBFCs)</v>
          </cell>
        </row>
        <row r="3573">
          <cell r="B3573" t="str">
            <v>SAI MOH AUTO LINKS LTD</v>
          </cell>
          <cell r="C3573">
            <v>540066</v>
          </cell>
          <cell r="D3573" t="str">
            <v>Not Listed</v>
          </cell>
          <cell r="E3573" t="str">
            <v>Auto Parts &amp; Equipment</v>
          </cell>
        </row>
        <row r="3574">
          <cell r="B3574" t="str">
            <v>SAINIK FINANCE &amp; INDUSTRIES LTD</v>
          </cell>
          <cell r="C3574">
            <v>530265</v>
          </cell>
          <cell r="D3574" t="str">
            <v>Not Listed</v>
          </cell>
          <cell r="E3574" t="str">
            <v>Cement &amp; Cement Products</v>
          </cell>
        </row>
        <row r="3575">
          <cell r="B3575" t="str">
            <v>SAINT-GOBAIN SEKURIT (INDIA) LTD</v>
          </cell>
          <cell r="C3575">
            <v>515043</v>
          </cell>
          <cell r="D3575" t="str">
            <v>Not Listed</v>
          </cell>
          <cell r="E3575" t="str">
            <v>Furniture-Furnishing-Paints</v>
          </cell>
        </row>
        <row r="3576">
          <cell r="B3576" t="str">
            <v>SAINT-GOBAIN SEKURIT INDIA LTD</v>
          </cell>
          <cell r="C3576">
            <v>515043</v>
          </cell>
          <cell r="D3576" t="str">
            <v>Not Listed</v>
          </cell>
          <cell r="E3576" t="str">
            <v>Furniture-Furnishing-Paints</v>
          </cell>
        </row>
        <row r="3577">
          <cell r="B3577" t="str">
            <v>SAKAR HEALTHCARE LTD</v>
          </cell>
          <cell r="C3577" t="str">
            <v>Not Listed</v>
          </cell>
          <cell r="D3577" t="str">
            <v>SAKAR</v>
          </cell>
          <cell r="E3577" t="str">
            <v>SME</v>
          </cell>
        </row>
        <row r="3578">
          <cell r="B3578" t="str">
            <v>SAKETH EXIM LTD</v>
          </cell>
          <cell r="C3578" t="str">
            <v>Not Listed</v>
          </cell>
          <cell r="D3578" t="str">
            <v>SAKETH</v>
          </cell>
          <cell r="E3578" t="str">
            <v>SME</v>
          </cell>
        </row>
        <row r="3579">
          <cell r="B3579" t="str">
            <v>SAKSOFT LTD</v>
          </cell>
          <cell r="C3579">
            <v>590051</v>
          </cell>
          <cell r="D3579" t="str">
            <v>SAKSOFT</v>
          </cell>
          <cell r="E3579" t="str">
            <v>IT Software Products</v>
          </cell>
        </row>
        <row r="3580">
          <cell r="B3580" t="str">
            <v>SAKTHI FINANCE LTD</v>
          </cell>
          <cell r="C3580">
            <v>511066</v>
          </cell>
          <cell r="D3580" t="str">
            <v>Not Listed</v>
          </cell>
          <cell r="E3580" t="str">
            <v>Finance (including NBFCs)</v>
          </cell>
        </row>
        <row r="3581">
          <cell r="B3581" t="str">
            <v>SAKTHI SUGARS LTD</v>
          </cell>
          <cell r="C3581">
            <v>507315</v>
          </cell>
          <cell r="D3581" t="str">
            <v>SAKHTISUG</v>
          </cell>
          <cell r="E3581" t="str">
            <v>Sugar</v>
          </cell>
        </row>
        <row r="3582">
          <cell r="B3582" t="str">
            <v>SAKUMA EXPORTS LTD</v>
          </cell>
          <cell r="C3582">
            <v>532713</v>
          </cell>
          <cell r="D3582" t="str">
            <v>SAKUMA</v>
          </cell>
          <cell r="E3582" t="str">
            <v>Comm.Trading  &amp; Distribution</v>
          </cell>
        </row>
        <row r="3583">
          <cell r="B3583" t="str">
            <v>SALASAR TECHNO ENGINEERING LTD</v>
          </cell>
          <cell r="C3583">
            <v>540642</v>
          </cell>
          <cell r="D3583" t="str">
            <v>SALASAR</v>
          </cell>
          <cell r="E3583" t="str">
            <v>Construction &amp; Engineering</v>
          </cell>
        </row>
        <row r="3584">
          <cell r="B3584" t="str">
            <v>SALEM ERODE INVESTMENTS LTD</v>
          </cell>
          <cell r="C3584">
            <v>540181</v>
          </cell>
          <cell r="D3584" t="str">
            <v>Not Listed</v>
          </cell>
          <cell r="E3584" t="str">
            <v>Finance (including NBFCs)</v>
          </cell>
        </row>
        <row r="3585">
          <cell r="B3585" t="str">
            <v>SALGUTI INDUSTRIES LTD</v>
          </cell>
          <cell r="C3585">
            <v>526554</v>
          </cell>
          <cell r="D3585" t="str">
            <v>Not Listed</v>
          </cell>
          <cell r="E3585" t="str">
            <v>Containers &amp; Packaging</v>
          </cell>
        </row>
        <row r="3586">
          <cell r="B3586" t="str">
            <v>SALONA COTSPIN LTD</v>
          </cell>
          <cell r="C3586">
            <v>590056</v>
          </cell>
          <cell r="D3586" t="str">
            <v>SALONA</v>
          </cell>
          <cell r="E3586" t="str">
            <v>Textiles</v>
          </cell>
        </row>
        <row r="3587">
          <cell r="B3587" t="str">
            <v>SALORA INTERNATIONAL LTD</v>
          </cell>
          <cell r="C3587">
            <v>500370</v>
          </cell>
          <cell r="D3587" t="str">
            <v>SALORAINTL</v>
          </cell>
          <cell r="E3587" t="str">
            <v>Comm.Trading  &amp; Distribution</v>
          </cell>
        </row>
        <row r="3588">
          <cell r="B3588" t="str">
            <v>SALZER ELECTRONICS LTD</v>
          </cell>
          <cell r="C3588">
            <v>517059</v>
          </cell>
          <cell r="D3588" t="str">
            <v>SALZERELEC</v>
          </cell>
          <cell r="E3588" t="str">
            <v>Other Elect.Equip./ Prod.</v>
          </cell>
        </row>
        <row r="3589">
          <cell r="B3589" t="str">
            <v>SAM INDUSTRIES LTD</v>
          </cell>
          <cell r="C3589">
            <v>532005</v>
          </cell>
          <cell r="D3589" t="str">
            <v>Not Listed</v>
          </cell>
          <cell r="E3589" t="str">
            <v>Other Industrial Goods</v>
          </cell>
        </row>
        <row r="3590">
          <cell r="B3590" t="str">
            <v>SAMBANDAM SPINNING MILLS LTD</v>
          </cell>
          <cell r="C3590">
            <v>521240</v>
          </cell>
          <cell r="D3590" t="str">
            <v>Not Listed</v>
          </cell>
          <cell r="E3590" t="str">
            <v>Textiles</v>
          </cell>
        </row>
        <row r="3591">
          <cell r="B3591" t="str">
            <v>SAMBHAAV MEDIA LTD</v>
          </cell>
          <cell r="C3591">
            <v>511630</v>
          </cell>
          <cell r="D3591" t="str">
            <v>SAMBHAAV</v>
          </cell>
          <cell r="E3591" t="str">
            <v>Publishing</v>
          </cell>
        </row>
        <row r="3592">
          <cell r="B3592" t="str">
            <v>SAMKRG PISTONS &amp; RINGS LTD</v>
          </cell>
          <cell r="C3592">
            <v>520075</v>
          </cell>
          <cell r="D3592" t="str">
            <v>Not Listed</v>
          </cell>
          <cell r="E3592" t="str">
            <v>Auto Parts &amp; Equipment</v>
          </cell>
        </row>
        <row r="3593">
          <cell r="B3593" t="str">
            <v>SAMPRE NUTRITIONS LTD</v>
          </cell>
          <cell r="C3593">
            <v>530617</v>
          </cell>
          <cell r="D3593" t="str">
            <v>Not Listed</v>
          </cell>
          <cell r="E3593" t="str">
            <v>Packaged Foods</v>
          </cell>
        </row>
        <row r="3594">
          <cell r="B3594" t="str">
            <v>SAMRAT PHARMACHEM LTD</v>
          </cell>
          <cell r="C3594">
            <v>530125</v>
          </cell>
          <cell r="D3594" t="str">
            <v>Not Listed</v>
          </cell>
          <cell r="E3594" t="str">
            <v>Pharmaceuticals</v>
          </cell>
        </row>
        <row r="3595">
          <cell r="B3595" t="str">
            <v>SAMTEL (INDIA) LTD</v>
          </cell>
          <cell r="C3595">
            <v>500371</v>
          </cell>
          <cell r="D3595" t="str">
            <v>Not Listed</v>
          </cell>
          <cell r="E3595" t="str">
            <v>Consumer Electronics</v>
          </cell>
        </row>
        <row r="3596">
          <cell r="B3596" t="str">
            <v>SAMTEL INDIA LTD</v>
          </cell>
          <cell r="C3596">
            <v>500371</v>
          </cell>
          <cell r="D3596" t="str">
            <v>Not Listed</v>
          </cell>
          <cell r="E3596" t="str">
            <v>Consumer Electronics</v>
          </cell>
        </row>
        <row r="3597">
          <cell r="B3597" t="str">
            <v>SAMTEX FASHIONS LTD</v>
          </cell>
          <cell r="C3597">
            <v>521206</v>
          </cell>
          <cell r="D3597" t="str">
            <v>Not Listed</v>
          </cell>
          <cell r="E3597" t="str">
            <v>Other Apparels &amp; Accessories</v>
          </cell>
        </row>
        <row r="3598">
          <cell r="B3598" t="str">
            <v>SAMYAK INTERNATIONAL LTD</v>
          </cell>
          <cell r="C3598">
            <v>530025</v>
          </cell>
          <cell r="D3598" t="str">
            <v>Not Listed</v>
          </cell>
          <cell r="E3598" t="str">
            <v>Misc.Commercial Services</v>
          </cell>
        </row>
        <row r="3599">
          <cell r="B3599" t="str">
            <v>SANASA TECH FEB LTD</v>
          </cell>
          <cell r="C3599">
            <v>780015</v>
          </cell>
          <cell r="D3599" t="str">
            <v>Not Listed</v>
          </cell>
          <cell r="E3599" t="str">
            <v>Others</v>
          </cell>
        </row>
        <row r="3600">
          <cell r="B3600" t="str">
            <v>SANATHNAGAR ENTERPRISES LTD</v>
          </cell>
          <cell r="C3600">
            <v>509423</v>
          </cell>
          <cell r="D3600" t="str">
            <v>Not Listed</v>
          </cell>
          <cell r="E3600" t="str">
            <v>Commodity Chemicals</v>
          </cell>
        </row>
        <row r="3601">
          <cell r="B3601" t="str">
            <v>SANBLUE CORPORATION LTD</v>
          </cell>
          <cell r="C3601">
            <v>521222</v>
          </cell>
          <cell r="D3601" t="str">
            <v>Not Listed</v>
          </cell>
          <cell r="E3601" t="str">
            <v>Other Apparels &amp; Accessories</v>
          </cell>
        </row>
        <row r="3602">
          <cell r="B3602" t="str">
            <v>SANCO INDUSTRIES LTD</v>
          </cell>
          <cell r="C3602" t="str">
            <v>Not Listed</v>
          </cell>
          <cell r="D3602" t="str">
            <v>SANCO</v>
          </cell>
          <cell r="E3602" t="str">
            <v>Others</v>
          </cell>
        </row>
        <row r="3603">
          <cell r="B3603" t="str">
            <v>SANCO TRANS LTD</v>
          </cell>
          <cell r="C3603">
            <v>523116</v>
          </cell>
          <cell r="D3603" t="str">
            <v>Not Listed</v>
          </cell>
          <cell r="E3603" t="str">
            <v>Transport Related Services</v>
          </cell>
        </row>
        <row r="3604">
          <cell r="B3604" t="str">
            <v>SANDHAR TECHNOLOGIES LTD</v>
          </cell>
          <cell r="C3604">
            <v>541163</v>
          </cell>
          <cell r="D3604" t="str">
            <v>SANDHAR</v>
          </cell>
          <cell r="E3604" t="str">
            <v>Auto Parts &amp; Equipment</v>
          </cell>
        </row>
        <row r="3605">
          <cell r="B3605" t="str">
            <v>SANDU PHARMACEUTICALS LTD</v>
          </cell>
          <cell r="C3605">
            <v>524703</v>
          </cell>
          <cell r="D3605" t="str">
            <v>Not Listed</v>
          </cell>
          <cell r="E3605" t="str">
            <v>Pharmaceuticals</v>
          </cell>
        </row>
        <row r="3606">
          <cell r="B3606" t="str">
            <v>SANDUR MANGANESE &amp; IRON ORES LTD</v>
          </cell>
          <cell r="C3606">
            <v>504918</v>
          </cell>
          <cell r="D3606" t="str">
            <v>Not Listed</v>
          </cell>
          <cell r="E3606" t="str">
            <v>Mining</v>
          </cell>
        </row>
        <row r="3607">
          <cell r="B3607" t="str">
            <v>SANG FROID LABS (INDIA) LTD</v>
          </cell>
          <cell r="C3607">
            <v>539392</v>
          </cell>
          <cell r="D3607" t="str">
            <v>Not Listed</v>
          </cell>
          <cell r="E3607" t="str">
            <v>Comm.Trading  &amp; Distribution</v>
          </cell>
        </row>
        <row r="3608">
          <cell r="B3608" t="str">
            <v>SANG FROID LABS INDIA LTD</v>
          </cell>
          <cell r="C3608">
            <v>539392</v>
          </cell>
          <cell r="D3608" t="str">
            <v>Not Listed</v>
          </cell>
          <cell r="E3608" t="str">
            <v>Comm.Trading  &amp; Distribution</v>
          </cell>
        </row>
        <row r="3609">
          <cell r="B3609" t="str">
            <v>SANGAL PAPERS LTD</v>
          </cell>
          <cell r="C3609">
            <v>516096</v>
          </cell>
          <cell r="D3609" t="str">
            <v>Not Listed</v>
          </cell>
          <cell r="E3609" t="str">
            <v>Paper &amp; Paper Products</v>
          </cell>
        </row>
        <row r="3610">
          <cell r="B3610" t="str">
            <v>SANGAM (INDIA) LTD</v>
          </cell>
          <cell r="C3610">
            <v>514234</v>
          </cell>
          <cell r="D3610" t="str">
            <v>SANGAMIND</v>
          </cell>
          <cell r="E3610" t="str">
            <v>Textiles</v>
          </cell>
        </row>
        <row r="3611">
          <cell r="B3611" t="str">
            <v>SANGAM INDIA LTD</v>
          </cell>
          <cell r="C3611">
            <v>514234</v>
          </cell>
          <cell r="D3611" t="str">
            <v>SANGAMIND</v>
          </cell>
          <cell r="E3611" t="str">
            <v>Textiles</v>
          </cell>
        </row>
        <row r="3612">
          <cell r="B3612" t="str">
            <v>SANGAM RENEWABLES LTD</v>
          </cell>
          <cell r="C3612">
            <v>534618</v>
          </cell>
          <cell r="D3612" t="str">
            <v>Not Listed</v>
          </cell>
          <cell r="E3612" t="str">
            <v>Electric Utilities</v>
          </cell>
        </row>
        <row r="3613">
          <cell r="B3613" t="str">
            <v>SANGHI CORPORATE SERVICES LTD</v>
          </cell>
          <cell r="C3613">
            <v>511640</v>
          </cell>
          <cell r="D3613" t="str">
            <v>Not Listed</v>
          </cell>
          <cell r="E3613" t="str">
            <v>Finance (including NBFCs)</v>
          </cell>
        </row>
        <row r="3614">
          <cell r="B3614" t="str">
            <v>SANGHI INDUSTRIES LTD</v>
          </cell>
          <cell r="C3614">
            <v>526521</v>
          </cell>
          <cell r="D3614" t="str">
            <v>SANGHIIND</v>
          </cell>
          <cell r="E3614" t="str">
            <v>Cement &amp; Cement Products</v>
          </cell>
        </row>
        <row r="3615">
          <cell r="B3615" t="str">
            <v>SANGHVI BRANDS LTD</v>
          </cell>
          <cell r="C3615">
            <v>540782</v>
          </cell>
          <cell r="D3615" t="str">
            <v>Not Listed</v>
          </cell>
          <cell r="E3615" t="str">
            <v>Hotels</v>
          </cell>
        </row>
        <row r="3616">
          <cell r="B3616" t="str">
            <v>SANGHVI FORGING AND ENGINEERING LTD</v>
          </cell>
          <cell r="C3616">
            <v>533411</v>
          </cell>
          <cell r="D3616" t="str">
            <v>SANGHVIFOR</v>
          </cell>
          <cell r="E3616" t="str">
            <v>Other Industrial Products</v>
          </cell>
        </row>
        <row r="3617">
          <cell r="B3617" t="str">
            <v>SANGHVI MOVERS LTD</v>
          </cell>
          <cell r="C3617">
            <v>530073</v>
          </cell>
          <cell r="D3617" t="str">
            <v>SANGHVIMOV</v>
          </cell>
          <cell r="E3617" t="str">
            <v>Transport Related Services</v>
          </cell>
        </row>
        <row r="3618">
          <cell r="B3618" t="str">
            <v>SANGINITA CHEMICALS LTD</v>
          </cell>
          <cell r="C3618" t="str">
            <v>Not Listed</v>
          </cell>
          <cell r="D3618" t="str">
            <v>SANGINITA</v>
          </cell>
          <cell r="E3618" t="str">
            <v>SME</v>
          </cell>
        </row>
        <row r="3619">
          <cell r="B3619" t="str">
            <v>SANGUINE MEDIA LTD</v>
          </cell>
          <cell r="C3619">
            <v>531898</v>
          </cell>
          <cell r="D3619" t="str">
            <v>Not Listed</v>
          </cell>
          <cell r="E3619" t="str">
            <v>Movies &amp; Entertainment</v>
          </cell>
        </row>
        <row r="3620">
          <cell r="B3620" t="str">
            <v>SANJIVANI PARANTERAL LTD</v>
          </cell>
          <cell r="C3620">
            <v>531569</v>
          </cell>
          <cell r="D3620" t="str">
            <v>Not Listed</v>
          </cell>
          <cell r="E3620" t="str">
            <v>Pharmaceuticals</v>
          </cell>
        </row>
        <row r="3621">
          <cell r="B3621" t="str">
            <v>SANKHYA INFOTECH LTD</v>
          </cell>
          <cell r="C3621">
            <v>532972</v>
          </cell>
          <cell r="D3621" t="str">
            <v>Not Listed</v>
          </cell>
          <cell r="E3621" t="str">
            <v>IT Software Products</v>
          </cell>
        </row>
        <row r="3622">
          <cell r="B3622" t="str">
            <v>SANMIT INFRA LTD</v>
          </cell>
          <cell r="C3622">
            <v>532435</v>
          </cell>
          <cell r="D3622" t="str">
            <v>Not Listed</v>
          </cell>
          <cell r="E3622" t="str">
            <v>Realty</v>
          </cell>
        </row>
        <row r="3623">
          <cell r="B3623" t="str">
            <v>SANMITRA COMMERCIAL LTD</v>
          </cell>
          <cell r="C3623">
            <v>512062</v>
          </cell>
          <cell r="D3623" t="str">
            <v>Not Listed</v>
          </cell>
          <cell r="E3623" t="str">
            <v>Misc.Commercial Services</v>
          </cell>
        </row>
        <row r="3624">
          <cell r="B3624" t="str">
            <v>SANOFI (INDIA) LTD</v>
          </cell>
          <cell r="C3624">
            <v>500674</v>
          </cell>
          <cell r="D3624" t="str">
            <v>SANOFI</v>
          </cell>
          <cell r="E3624" t="str">
            <v>Pharmaceuticals</v>
          </cell>
        </row>
        <row r="3625">
          <cell r="B3625" t="str">
            <v>SANOFI INDIA LTD</v>
          </cell>
          <cell r="C3625">
            <v>500674</v>
          </cell>
          <cell r="D3625" t="str">
            <v>SANOFI</v>
          </cell>
          <cell r="E3625" t="str">
            <v>Pharmaceuticals</v>
          </cell>
        </row>
        <row r="3626">
          <cell r="B3626" t="str">
            <v>SANRHEA TECHNICAL TEXTILES LTD</v>
          </cell>
          <cell r="C3626">
            <v>514280</v>
          </cell>
          <cell r="D3626" t="str">
            <v>Not Listed</v>
          </cell>
          <cell r="E3626" t="str">
            <v>Textiles</v>
          </cell>
        </row>
        <row r="3627">
          <cell r="B3627" t="str">
            <v>SANTOSH FINE-FAB LTD</v>
          </cell>
          <cell r="C3627">
            <v>530035</v>
          </cell>
          <cell r="D3627" t="str">
            <v>Not Listed</v>
          </cell>
          <cell r="E3627" t="str">
            <v>Textiles</v>
          </cell>
        </row>
        <row r="3628">
          <cell r="B3628" t="str">
            <v>SANTOSH INDUSTRIES LTD</v>
          </cell>
          <cell r="C3628">
            <v>540822</v>
          </cell>
          <cell r="D3628" t="str">
            <v>Not Listed</v>
          </cell>
          <cell r="E3628" t="str">
            <v>Finance (including NBFCs)</v>
          </cell>
        </row>
        <row r="3629">
          <cell r="B3629" t="str">
            <v>SANWARIA CONSUMER LTD</v>
          </cell>
          <cell r="C3629">
            <v>519260</v>
          </cell>
          <cell r="D3629" t="str">
            <v>SANWARIA</v>
          </cell>
          <cell r="E3629" t="str">
            <v>Edible Oils</v>
          </cell>
        </row>
        <row r="3630">
          <cell r="B3630" t="str">
            <v>SAPTAK CHEM AND BUSINESS LTD</v>
          </cell>
          <cell r="C3630">
            <v>506906</v>
          </cell>
          <cell r="D3630" t="str">
            <v>Not Listed</v>
          </cell>
          <cell r="E3630" t="str">
            <v>Comm.Trading  &amp; Distribution</v>
          </cell>
        </row>
        <row r="3631">
          <cell r="B3631" t="str">
            <v>SAPTARISHI AGRO INDUSTRIES LTD</v>
          </cell>
          <cell r="C3631">
            <v>519238</v>
          </cell>
          <cell r="D3631" t="str">
            <v>Not Listed</v>
          </cell>
          <cell r="E3631" t="str">
            <v>Other Agricultural Products</v>
          </cell>
        </row>
        <row r="3632">
          <cell r="B3632" t="str">
            <v>SAR AUTO PRODUCTS LTD</v>
          </cell>
          <cell r="C3632">
            <v>538992</v>
          </cell>
          <cell r="D3632" t="str">
            <v>Not Listed</v>
          </cell>
          <cell r="E3632" t="str">
            <v>Auto Parts &amp; Equipment</v>
          </cell>
        </row>
        <row r="3633">
          <cell r="B3633" t="str">
            <v>SARASWATI COMMERCIAL (INDIA) LTD</v>
          </cell>
          <cell r="C3633">
            <v>512020</v>
          </cell>
          <cell r="D3633" t="str">
            <v>Not Listed</v>
          </cell>
          <cell r="E3633" t="str">
            <v>Finance (including NBFCs)</v>
          </cell>
        </row>
        <row r="3634">
          <cell r="B3634" t="str">
            <v>SARASWATI COMMERCIAL INDIA LTD</v>
          </cell>
          <cell r="C3634">
            <v>512020</v>
          </cell>
          <cell r="D3634" t="str">
            <v>Not Listed</v>
          </cell>
          <cell r="E3634" t="str">
            <v>Finance (including NBFCs)</v>
          </cell>
        </row>
        <row r="3635">
          <cell r="B3635" t="str">
            <v>SARDA ENERGY &amp; MINERALS LTD</v>
          </cell>
          <cell r="C3635">
            <v>504614</v>
          </cell>
          <cell r="D3635" t="str">
            <v>SARDAEN</v>
          </cell>
          <cell r="E3635" t="str">
            <v>Iron &amp; Steel/Interm.Products</v>
          </cell>
        </row>
        <row r="3636">
          <cell r="B3636" t="str">
            <v>SARDA PAPERS LTD</v>
          </cell>
          <cell r="C3636">
            <v>516032</v>
          </cell>
          <cell r="D3636" t="str">
            <v>Not Listed</v>
          </cell>
          <cell r="E3636" t="str">
            <v>Paper &amp; Paper Products</v>
          </cell>
        </row>
        <row r="3637">
          <cell r="B3637" t="str">
            <v>SARDA PLYWOOD INDUSTRIES LTD</v>
          </cell>
          <cell r="C3637">
            <v>516003</v>
          </cell>
          <cell r="D3637" t="str">
            <v>Not Listed</v>
          </cell>
          <cell r="E3637" t="str">
            <v>Forest Products</v>
          </cell>
        </row>
        <row r="3638">
          <cell r="B3638" t="str">
            <v>SARDA PROTEINS LTD</v>
          </cell>
          <cell r="C3638">
            <v>519242</v>
          </cell>
          <cell r="D3638" t="str">
            <v>Not Listed</v>
          </cell>
          <cell r="E3638" t="str">
            <v>Edible Oils</v>
          </cell>
        </row>
        <row r="3639">
          <cell r="B3639" t="str">
            <v>SAREGAMA (INDIA) LTD</v>
          </cell>
          <cell r="C3639">
            <v>532163</v>
          </cell>
          <cell r="D3639" t="str">
            <v>SAREGAMA</v>
          </cell>
          <cell r="E3639" t="str">
            <v>Movies &amp; Entertainment</v>
          </cell>
        </row>
        <row r="3640">
          <cell r="B3640" t="str">
            <v>SAREGAMA INDIA LTD</v>
          </cell>
          <cell r="C3640">
            <v>532163</v>
          </cell>
          <cell r="D3640" t="str">
            <v>SAREGAMA</v>
          </cell>
          <cell r="E3640" t="str">
            <v>Movies &amp; Entertainment</v>
          </cell>
        </row>
        <row r="3641">
          <cell r="B3641" t="str">
            <v>SARLA PERFORMANCE FIBERS LTD</v>
          </cell>
          <cell r="C3641">
            <v>526885</v>
          </cell>
          <cell r="D3641" t="str">
            <v>SARLAPOLY</v>
          </cell>
          <cell r="E3641" t="str">
            <v>Textiles</v>
          </cell>
        </row>
        <row r="3642">
          <cell r="B3642" t="str">
            <v>SARTHAK GLOBAL LTD</v>
          </cell>
          <cell r="C3642">
            <v>530993</v>
          </cell>
          <cell r="D3642" t="str">
            <v>Not Listed</v>
          </cell>
          <cell r="E3642" t="str">
            <v>Comm.Trading  &amp; Distribution</v>
          </cell>
        </row>
        <row r="3643">
          <cell r="B3643" t="str">
            <v>SARTHAK INDUSTRIES LTD</v>
          </cell>
          <cell r="C3643">
            <v>531930</v>
          </cell>
          <cell r="D3643" t="str">
            <v>Not Listed</v>
          </cell>
          <cell r="E3643" t="str">
            <v>Other Industrial Products</v>
          </cell>
        </row>
        <row r="3644">
          <cell r="B3644" t="str">
            <v>SARTHAK METALS LTD</v>
          </cell>
          <cell r="C3644">
            <v>540393</v>
          </cell>
          <cell r="D3644" t="str">
            <v>Not Listed</v>
          </cell>
          <cell r="E3644" t="str">
            <v>Iron &amp; Steel Products</v>
          </cell>
        </row>
        <row r="3645">
          <cell r="B3645" t="str">
            <v>SARUP INDUSTRIES LTD</v>
          </cell>
          <cell r="C3645">
            <v>514412</v>
          </cell>
          <cell r="D3645" t="str">
            <v>Not Listed</v>
          </cell>
          <cell r="E3645" t="str">
            <v>Other Apparels &amp; Accessories</v>
          </cell>
        </row>
        <row r="3646">
          <cell r="B3646" t="str">
            <v>SARVAMANGAL MERCANTILE CO LTD</v>
          </cell>
          <cell r="C3646">
            <v>506190</v>
          </cell>
          <cell r="D3646" t="str">
            <v>Not Listed</v>
          </cell>
          <cell r="E3646" t="str">
            <v>Misc.Commercial Services</v>
          </cell>
        </row>
        <row r="3647">
          <cell r="B3647" t="str">
            <v>SARVESHWAR FOODS LTD</v>
          </cell>
          <cell r="C3647" t="str">
            <v>Not Listed</v>
          </cell>
          <cell r="D3647" t="str">
            <v>SARVESHWAR</v>
          </cell>
          <cell r="E3647" t="str">
            <v>SME</v>
          </cell>
        </row>
        <row r="3648">
          <cell r="B3648" t="str">
            <v>SARVOTTAM FINVEST LTD</v>
          </cell>
          <cell r="C3648">
            <v>539124</v>
          </cell>
          <cell r="D3648" t="str">
            <v>Not Listed</v>
          </cell>
          <cell r="E3648" t="str">
            <v>Finance (including NBFCs)</v>
          </cell>
        </row>
        <row r="3649">
          <cell r="B3649" t="str">
            <v>SASHWAT TECHNOCRATS LTD</v>
          </cell>
          <cell r="C3649">
            <v>506313</v>
          </cell>
          <cell r="D3649" t="str">
            <v>Not Listed</v>
          </cell>
          <cell r="E3649" t="str">
            <v>Construction Materials</v>
          </cell>
        </row>
        <row r="3650">
          <cell r="B3650" t="str">
            <v>SASKEN TECHNOLOGIES LTD</v>
          </cell>
          <cell r="C3650">
            <v>532663</v>
          </cell>
          <cell r="D3650" t="str">
            <v>SASKEN</v>
          </cell>
          <cell r="E3650" t="str">
            <v>IT Consulting &amp; Software</v>
          </cell>
        </row>
        <row r="3651">
          <cell r="B3651" t="str">
            <v>SASTASUNDAR VENTURES LTD</v>
          </cell>
          <cell r="C3651">
            <v>533259</v>
          </cell>
          <cell r="D3651" t="str">
            <v>SASTASUNDR</v>
          </cell>
          <cell r="E3651" t="str">
            <v>Healthcare Services</v>
          </cell>
        </row>
        <row r="3652">
          <cell r="B3652" t="str">
            <v>SAT INDUSTRIES LTD</v>
          </cell>
          <cell r="C3652">
            <v>511076</v>
          </cell>
          <cell r="D3652" t="str">
            <v>Not Listed</v>
          </cell>
          <cell r="E3652" t="str">
            <v>Comm.Trading  &amp; Distribution</v>
          </cell>
        </row>
        <row r="3653">
          <cell r="B3653" t="str">
            <v>SATHAVAHANA ISPAT LTD</v>
          </cell>
          <cell r="C3653">
            <v>526093</v>
          </cell>
          <cell r="D3653" t="str">
            <v>SATHAISPAT</v>
          </cell>
          <cell r="E3653" t="str">
            <v>Iron &amp; Steel/Interm.Products</v>
          </cell>
        </row>
        <row r="3654">
          <cell r="B3654" t="str">
            <v>SATIA INDUSTRIES LTD</v>
          </cell>
          <cell r="C3654">
            <v>539201</v>
          </cell>
          <cell r="D3654" t="str">
            <v>Not Listed</v>
          </cell>
          <cell r="E3654" t="str">
            <v>Paper &amp; Paper Products</v>
          </cell>
        </row>
        <row r="3655">
          <cell r="B3655" t="str">
            <v>SATIN CREDITCARE NETWORK LTD</v>
          </cell>
          <cell r="C3655">
            <v>539404</v>
          </cell>
          <cell r="D3655" t="str">
            <v>SATIN</v>
          </cell>
          <cell r="E3655" t="str">
            <v>Finance (including NBFCs)</v>
          </cell>
        </row>
        <row r="3656">
          <cell r="B3656" t="str">
            <v>SATKAR FINLEASE LTD</v>
          </cell>
          <cell r="C3656">
            <v>536592</v>
          </cell>
          <cell r="D3656" t="str">
            <v>Not Listed</v>
          </cell>
          <cell r="E3656" t="str">
            <v>Finance (including NBFCs)</v>
          </cell>
        </row>
        <row r="3657">
          <cell r="B3657" t="str">
            <v>SATRA PROPERTIES (INDIA) LTD.</v>
          </cell>
          <cell r="C3657">
            <v>508996</v>
          </cell>
          <cell r="D3657" t="str">
            <v>SATRAPROP</v>
          </cell>
          <cell r="E3657" t="str">
            <v>Realty</v>
          </cell>
        </row>
        <row r="3658">
          <cell r="B3658" t="str">
            <v>SATYAM SILK MILLS LTD</v>
          </cell>
          <cell r="C3658">
            <v>503893</v>
          </cell>
          <cell r="D3658" t="str">
            <v>Not Listed</v>
          </cell>
          <cell r="E3658" t="str">
            <v>Other Financial Services</v>
          </cell>
        </row>
        <row r="3659">
          <cell r="B3659" t="str">
            <v>SAUMYA CONSULTANTS LTD</v>
          </cell>
          <cell r="C3659">
            <v>539218</v>
          </cell>
          <cell r="D3659" t="str">
            <v>Not Listed</v>
          </cell>
          <cell r="E3659" t="str">
            <v>Finance (including NBFCs)</v>
          </cell>
        </row>
        <row r="3660">
          <cell r="B3660" t="str">
            <v>SAURASHTRA CEMENT LTD</v>
          </cell>
          <cell r="C3660">
            <v>502175</v>
          </cell>
          <cell r="D3660" t="str">
            <v>Not Listed</v>
          </cell>
          <cell r="E3660" t="str">
            <v>Cement &amp; Cement Products</v>
          </cell>
        </row>
        <row r="3661">
          <cell r="B3661" t="str">
            <v>SAVANI FINANCIALS LTD</v>
          </cell>
          <cell r="C3661">
            <v>511577</v>
          </cell>
          <cell r="D3661" t="str">
            <v>Not Listed</v>
          </cell>
          <cell r="E3661" t="str">
            <v>Finance (including NBFCs)</v>
          </cell>
        </row>
        <row r="3662">
          <cell r="B3662" t="str">
            <v>SAVANT INFOCOMM LTD</v>
          </cell>
          <cell r="C3662">
            <v>517320</v>
          </cell>
          <cell r="D3662" t="str">
            <v>Not Listed</v>
          </cell>
          <cell r="E3662" t="str">
            <v>Other Elect.Equip./ Prod.</v>
          </cell>
        </row>
        <row r="3663">
          <cell r="B3663" t="str">
            <v>SAVEN TECHNOLOGIES LTD</v>
          </cell>
          <cell r="C3663">
            <v>532404</v>
          </cell>
          <cell r="D3663" t="str">
            <v>Not Listed</v>
          </cell>
          <cell r="E3663" t="str">
            <v>IT Software Products</v>
          </cell>
        </row>
        <row r="3664">
          <cell r="B3664" t="str">
            <v>SAVERA INDUSTRIES LTD</v>
          </cell>
          <cell r="C3664">
            <v>512634</v>
          </cell>
          <cell r="D3664" t="str">
            <v>Not Listed</v>
          </cell>
          <cell r="E3664" t="str">
            <v>Hotels</v>
          </cell>
        </row>
        <row r="3665">
          <cell r="B3665" t="str">
            <v>SAVITA OIL TECHNOLOGIES LTD</v>
          </cell>
          <cell r="C3665">
            <v>524667</v>
          </cell>
          <cell r="D3665" t="str">
            <v>SOTL</v>
          </cell>
          <cell r="E3665" t="str">
            <v>Refineries/ Petro-Products</v>
          </cell>
        </row>
        <row r="3666">
          <cell r="B3666" t="str">
            <v>SAWACA BUSINESS MACHINES LTD</v>
          </cell>
          <cell r="C3666">
            <v>531893</v>
          </cell>
          <cell r="D3666" t="str">
            <v>Not Listed</v>
          </cell>
          <cell r="E3666" t="str">
            <v>Misc.Commercial Services</v>
          </cell>
        </row>
        <row r="3667">
          <cell r="B3667" t="str">
            <v>SAYAJI HOTELS LTD</v>
          </cell>
          <cell r="C3667">
            <v>523710</v>
          </cell>
          <cell r="D3667" t="str">
            <v>Not Listed</v>
          </cell>
          <cell r="E3667" t="str">
            <v>Hotels</v>
          </cell>
        </row>
        <row r="3668">
          <cell r="B3668" t="str">
            <v>SAYAJI INDUSTRIES LTD</v>
          </cell>
          <cell r="C3668">
            <v>540728</v>
          </cell>
          <cell r="D3668" t="str">
            <v>Not Listed</v>
          </cell>
          <cell r="E3668" t="str">
            <v>Diversified</v>
          </cell>
        </row>
        <row r="3669">
          <cell r="B3669" t="str">
            <v>SBEC SUGAR LTD</v>
          </cell>
          <cell r="C3669">
            <v>532102</v>
          </cell>
          <cell r="D3669" t="str">
            <v>Not Listed</v>
          </cell>
          <cell r="E3669" t="str">
            <v>Sugar</v>
          </cell>
        </row>
        <row r="3670">
          <cell r="B3670" t="str">
            <v>SBI LIFE INSURANCE COMPANY LTD</v>
          </cell>
          <cell r="C3670">
            <v>540719</v>
          </cell>
          <cell r="D3670" t="str">
            <v>SBILIFE</v>
          </cell>
          <cell r="E3670" t="str">
            <v>Life Insurance</v>
          </cell>
        </row>
        <row r="3671">
          <cell r="B3671" t="str">
            <v>SBI MUTUAL FUND - SBI GOLD EXCHANGE TRADED SCHEME - GROWTH OPTION</v>
          </cell>
          <cell r="C3671">
            <v>590098</v>
          </cell>
          <cell r="D3671" t="str">
            <v>SBIGETS</v>
          </cell>
          <cell r="E3671" t="str">
            <v>Other Financial Services</v>
          </cell>
        </row>
        <row r="3672">
          <cell r="B3672" t="str">
            <v>SC Agrotech Ltd</v>
          </cell>
          <cell r="C3672">
            <v>526081</v>
          </cell>
          <cell r="D3672" t="str">
            <v>SCAGRO</v>
          </cell>
          <cell r="E3672" t="str">
            <v>Packaged Foods</v>
          </cell>
        </row>
        <row r="3673">
          <cell r="B3673" t="str">
            <v>SCAN PROJECTS LTD</v>
          </cell>
          <cell r="C3673">
            <v>531797</v>
          </cell>
          <cell r="D3673" t="str">
            <v>Not Listed</v>
          </cell>
          <cell r="E3673" t="str">
            <v>Cement &amp; Cement Products</v>
          </cell>
        </row>
        <row r="3674">
          <cell r="B3674" t="str">
            <v>SCAN STEELS LTD</v>
          </cell>
          <cell r="C3674">
            <v>511672</v>
          </cell>
          <cell r="D3674" t="str">
            <v>Not Listed</v>
          </cell>
          <cell r="E3674" t="str">
            <v>Iron &amp; Steel/Interm.Products</v>
          </cell>
        </row>
        <row r="3675">
          <cell r="B3675" t="str">
            <v>Scandent Imaging LTD</v>
          </cell>
          <cell r="C3675">
            <v>516110</v>
          </cell>
          <cell r="D3675" t="str">
            <v>SCANDENT</v>
          </cell>
          <cell r="E3675" t="str">
            <v>Healthcare Services</v>
          </cell>
        </row>
        <row r="3676">
          <cell r="B3676" t="str">
            <v>SCANPOINT GEOMATICS LTD</v>
          </cell>
          <cell r="C3676">
            <v>526544</v>
          </cell>
          <cell r="D3676" t="str">
            <v>Not Listed</v>
          </cell>
          <cell r="E3676" t="str">
            <v>Internet Software &amp; Services</v>
          </cell>
        </row>
        <row r="3677">
          <cell r="B3677" t="str">
            <v>SCHABLONA (INDIA) LTD</v>
          </cell>
          <cell r="C3677">
            <v>507894</v>
          </cell>
          <cell r="D3677" t="str">
            <v>Not Listed</v>
          </cell>
          <cell r="E3677" t="str">
            <v>Furniture-Furnishing-Paints</v>
          </cell>
        </row>
        <row r="3678">
          <cell r="B3678" t="str">
            <v>SCHABLONA INDIA LTD</v>
          </cell>
          <cell r="C3678">
            <v>507894</v>
          </cell>
          <cell r="D3678" t="str">
            <v>Not Listed</v>
          </cell>
          <cell r="E3678" t="str">
            <v>Furniture-Furnishing-Paints</v>
          </cell>
        </row>
        <row r="3679">
          <cell r="B3679" t="str">
            <v>SCHAEFFLER (INDIA) LTD</v>
          </cell>
          <cell r="C3679">
            <v>505790</v>
          </cell>
          <cell r="D3679" t="str">
            <v>SCHAEFFLER</v>
          </cell>
          <cell r="E3679" t="str">
            <v>Industrial Machinery</v>
          </cell>
        </row>
        <row r="3680">
          <cell r="B3680" t="str">
            <v>SCHAEFFLER INDIA LTD</v>
          </cell>
          <cell r="C3680">
            <v>505790</v>
          </cell>
          <cell r="D3680" t="str">
            <v>SCHAEFFLER</v>
          </cell>
          <cell r="E3680" t="str">
            <v>Industrial Machinery</v>
          </cell>
        </row>
        <row r="3681">
          <cell r="B3681" t="str">
            <v>SCHNEIDER ELECTRIC INFRASTRUCTURE LTD</v>
          </cell>
          <cell r="C3681">
            <v>534139</v>
          </cell>
          <cell r="D3681" t="str">
            <v>SCHNEIDER</v>
          </cell>
          <cell r="E3681" t="str">
            <v>Heavy Electrical Equipment</v>
          </cell>
        </row>
        <row r="3682">
          <cell r="B3682" t="str">
            <v>SCINTILLA COMMERCIAL &amp; CREDIT LTD</v>
          </cell>
          <cell r="C3682">
            <v>538857</v>
          </cell>
          <cell r="D3682" t="str">
            <v>Not Listed</v>
          </cell>
          <cell r="E3682" t="str">
            <v>Finance (including NBFCs)</v>
          </cell>
        </row>
        <row r="3683">
          <cell r="B3683" t="str">
            <v>SCOOTERS (INDIA) LTD</v>
          </cell>
          <cell r="C3683">
            <v>505141</v>
          </cell>
          <cell r="D3683" t="str">
            <v>Not Listed</v>
          </cell>
          <cell r="E3683" t="str">
            <v>2/3 Wheelers</v>
          </cell>
        </row>
        <row r="3684">
          <cell r="B3684" t="str">
            <v>SCOOTERS INDIA LTD</v>
          </cell>
          <cell r="C3684">
            <v>505141</v>
          </cell>
          <cell r="D3684" t="str">
            <v>Not Listed</v>
          </cell>
          <cell r="E3684" t="str">
            <v>2/3 Wheelers</v>
          </cell>
        </row>
        <row r="3685">
          <cell r="B3685" t="str">
            <v>SEA GOLD AQUA FARMS LTD</v>
          </cell>
          <cell r="C3685">
            <v>530361</v>
          </cell>
          <cell r="D3685" t="str">
            <v>Not Listed</v>
          </cell>
          <cell r="E3685" t="str">
            <v>Packaged Foods</v>
          </cell>
        </row>
        <row r="3686">
          <cell r="B3686" t="str">
            <v>SEA TV NETWORK LTD</v>
          </cell>
          <cell r="C3686">
            <v>533268</v>
          </cell>
          <cell r="D3686" t="str">
            <v>Not Listed</v>
          </cell>
          <cell r="E3686" t="str">
            <v>Broadcasting &amp; Cable TV</v>
          </cell>
        </row>
        <row r="3687">
          <cell r="B3687" t="str">
            <v>SEAMEC LTD</v>
          </cell>
          <cell r="C3687">
            <v>526807</v>
          </cell>
          <cell r="D3687" t="str">
            <v>SEAMECLTD</v>
          </cell>
          <cell r="E3687" t="str">
            <v>Shipping</v>
          </cell>
        </row>
        <row r="3688">
          <cell r="B3688" t="str">
            <v>SEASONS FURNISHINGS LTD</v>
          </cell>
          <cell r="C3688">
            <v>521182</v>
          </cell>
          <cell r="D3688" t="str">
            <v>Not Listed</v>
          </cell>
          <cell r="E3688" t="str">
            <v>Comm.Trading  &amp; Distribution</v>
          </cell>
        </row>
        <row r="3689">
          <cell r="B3689" t="str">
            <v>SEASONS TEXTILES LTD</v>
          </cell>
          <cell r="C3689">
            <v>514264</v>
          </cell>
          <cell r="D3689" t="str">
            <v>Not Listed</v>
          </cell>
          <cell r="E3689" t="str">
            <v>Textiles</v>
          </cell>
        </row>
        <row r="3690">
          <cell r="B3690" t="str">
            <v>SECUR CREDENTIALS LTD</v>
          </cell>
          <cell r="C3690" t="str">
            <v>Not Listed</v>
          </cell>
          <cell r="D3690" t="str">
            <v>SECURCRED</v>
          </cell>
          <cell r="E3690" t="str">
            <v>SME</v>
          </cell>
        </row>
        <row r="3691">
          <cell r="B3691" t="str">
            <v>SECURITY AND INTELLIGENCE SERVICES (INDIA) LTD</v>
          </cell>
          <cell r="C3691">
            <v>540673</v>
          </cell>
          <cell r="D3691" t="str">
            <v>SIS</v>
          </cell>
          <cell r="E3691" t="str">
            <v>Sp.Consumer Services</v>
          </cell>
        </row>
        <row r="3692">
          <cell r="B3692" t="str">
            <v>SECURITY AND INTELLIGENCE SERVICES INDIA LTD</v>
          </cell>
          <cell r="C3692">
            <v>540673</v>
          </cell>
          <cell r="D3692" t="str">
            <v>SIS</v>
          </cell>
          <cell r="E3692" t="str">
            <v>Sp.Consumer Services</v>
          </cell>
        </row>
        <row r="3693">
          <cell r="B3693" t="str">
            <v>SEL MANUFACTURING COMPANY LTD</v>
          </cell>
          <cell r="C3693">
            <v>532886</v>
          </cell>
          <cell r="D3693" t="str">
            <v>SELMCL</v>
          </cell>
          <cell r="E3693" t="str">
            <v>Textiles</v>
          </cell>
        </row>
        <row r="3694">
          <cell r="B3694" t="str">
            <v>SELAN EXPLORATION TECHNOLOGY LTD</v>
          </cell>
          <cell r="C3694">
            <v>530075</v>
          </cell>
          <cell r="D3694" t="str">
            <v>SELAN</v>
          </cell>
          <cell r="E3694" t="str">
            <v>Exploration &amp; Production</v>
          </cell>
        </row>
        <row r="3695">
          <cell r="B3695" t="str">
            <v>SELLWIN TRADERS LTD</v>
          </cell>
          <cell r="C3695">
            <v>538875</v>
          </cell>
          <cell r="D3695" t="str">
            <v>Not Listed</v>
          </cell>
          <cell r="E3695" t="str">
            <v>Misc.Commercial Services</v>
          </cell>
        </row>
        <row r="3696">
          <cell r="B3696" t="str">
            <v>SENBO INDUSTRIES LTD</v>
          </cell>
          <cell r="C3696">
            <v>532021</v>
          </cell>
          <cell r="D3696" t="str">
            <v>Not Listed</v>
          </cell>
          <cell r="E3696" t="str">
            <v>Pharmaceuticals</v>
          </cell>
        </row>
        <row r="3697">
          <cell r="B3697" t="str">
            <v>SENTHIL INFOTEK LTD</v>
          </cell>
          <cell r="C3697">
            <v>531980</v>
          </cell>
          <cell r="D3697" t="str">
            <v>Not Listed</v>
          </cell>
          <cell r="E3697" t="str">
            <v>IT Consulting &amp; Software</v>
          </cell>
        </row>
        <row r="3698">
          <cell r="B3698" t="str">
            <v>SEQUENT SCIENTIFIC LTD</v>
          </cell>
          <cell r="C3698">
            <v>512529</v>
          </cell>
          <cell r="D3698" t="str">
            <v>SEQUENT</v>
          </cell>
          <cell r="E3698" t="str">
            <v>Pharmaceuticals</v>
          </cell>
        </row>
        <row r="3699">
          <cell r="B3699" t="str">
            <v>SERVOTECH POWER SYSTEMS LTD</v>
          </cell>
          <cell r="C3699" t="str">
            <v>Not Listed</v>
          </cell>
          <cell r="D3699" t="str">
            <v>SERVOTECH</v>
          </cell>
          <cell r="E3699" t="str">
            <v>SME</v>
          </cell>
        </row>
        <row r="3700">
          <cell r="B3700" t="str">
            <v>SESHASAYEE PAPER AND BOARDS LTD</v>
          </cell>
          <cell r="C3700">
            <v>502450</v>
          </cell>
          <cell r="D3700" t="str">
            <v>SESHAPAPER</v>
          </cell>
          <cell r="E3700" t="str">
            <v>Paper &amp; Paper Products</v>
          </cell>
        </row>
        <row r="3701">
          <cell r="B3701" t="str">
            <v>SETCO AUTOMOTIVE LTD</v>
          </cell>
          <cell r="C3701">
            <v>505075</v>
          </cell>
          <cell r="D3701" t="str">
            <v>SETCO</v>
          </cell>
          <cell r="E3701" t="str">
            <v>Auto Parts &amp; Equipment</v>
          </cell>
        </row>
        <row r="3702">
          <cell r="B3702" t="str">
            <v>SEVEN HILL INDUSTRIES LTD</v>
          </cell>
          <cell r="C3702">
            <v>511760</v>
          </cell>
          <cell r="D3702" t="str">
            <v>Not Listed</v>
          </cell>
          <cell r="E3702" t="str">
            <v>Finance (including NBFCs)</v>
          </cell>
        </row>
        <row r="3703">
          <cell r="B3703" t="str">
            <v>SEYA INDUSTRIES LTD</v>
          </cell>
          <cell r="C3703">
            <v>524324</v>
          </cell>
          <cell r="D3703" t="str">
            <v>Not Listed</v>
          </cell>
          <cell r="E3703" t="str">
            <v>Specialty Chemicals</v>
          </cell>
        </row>
        <row r="3704">
          <cell r="B3704" t="str">
            <v>SEZAL GLASS LTD</v>
          </cell>
          <cell r="C3704">
            <v>532993</v>
          </cell>
          <cell r="D3704" t="str">
            <v>SEZAL</v>
          </cell>
          <cell r="E3704" t="str">
            <v>Construction Materials</v>
          </cell>
        </row>
        <row r="3705">
          <cell r="B3705" t="str">
            <v>SFL INTERNATIONAL LTD</v>
          </cell>
          <cell r="C3705">
            <v>530867</v>
          </cell>
          <cell r="D3705" t="str">
            <v>Not Listed</v>
          </cell>
          <cell r="E3705" t="str">
            <v>Other Financial Services</v>
          </cell>
        </row>
        <row r="3706">
          <cell r="B3706" t="str">
            <v>SHABA CHEMICALS LTD</v>
          </cell>
          <cell r="C3706">
            <v>524546</v>
          </cell>
          <cell r="D3706" t="str">
            <v>Not Listed</v>
          </cell>
          <cell r="E3706" t="str">
            <v>Pharmaceuticals</v>
          </cell>
        </row>
        <row r="3707">
          <cell r="B3707" t="str">
            <v>SHAH ALLOYS LTD</v>
          </cell>
          <cell r="C3707">
            <v>513436</v>
          </cell>
          <cell r="D3707" t="str">
            <v>SHAHALLOYS</v>
          </cell>
          <cell r="E3707" t="str">
            <v>Iron &amp; Steel/Interm.Products</v>
          </cell>
        </row>
        <row r="3708">
          <cell r="B3708" t="str">
            <v>SHAH CONSTRUCTION CO LTD</v>
          </cell>
          <cell r="C3708">
            <v>509870</v>
          </cell>
          <cell r="D3708" t="str">
            <v>Not Listed</v>
          </cell>
          <cell r="E3708" t="str">
            <v>Realty</v>
          </cell>
        </row>
        <row r="3709">
          <cell r="B3709" t="str">
            <v>SHAH FOODS LTD</v>
          </cell>
          <cell r="C3709">
            <v>519031</v>
          </cell>
          <cell r="D3709" t="str">
            <v>Not Listed</v>
          </cell>
          <cell r="E3709" t="str">
            <v>Packaged Foods</v>
          </cell>
        </row>
        <row r="3710">
          <cell r="B3710" t="str">
            <v>SHAHI SHIPPING LTD</v>
          </cell>
          <cell r="C3710">
            <v>526508</v>
          </cell>
          <cell r="D3710" t="str">
            <v>Not Listed</v>
          </cell>
          <cell r="E3710" t="str">
            <v>Shipping</v>
          </cell>
        </row>
        <row r="3711">
          <cell r="B3711" t="str">
            <v>SHAILJA COMMERCIAL TRADE FRENZY LTD</v>
          </cell>
          <cell r="C3711">
            <v>539520</v>
          </cell>
          <cell r="D3711" t="str">
            <v>Not Listed</v>
          </cell>
          <cell r="E3711" t="str">
            <v>Comm.Trading  &amp; Distribution</v>
          </cell>
        </row>
        <row r="3712">
          <cell r="B3712" t="str">
            <v>SHAILY ENGINEERING PLASTICS LTD</v>
          </cell>
          <cell r="C3712">
            <v>501423</v>
          </cell>
          <cell r="D3712" t="str">
            <v>Not Listed</v>
          </cell>
          <cell r="E3712" t="str">
            <v>Plastic Products</v>
          </cell>
        </row>
        <row r="3713">
          <cell r="B3713" t="str">
            <v>SHAIVAL REALITY LTD</v>
          </cell>
          <cell r="C3713" t="str">
            <v>Not Listed</v>
          </cell>
          <cell r="D3713" t="str">
            <v>SHAIVAL</v>
          </cell>
          <cell r="E3713" t="str">
            <v>SME</v>
          </cell>
        </row>
        <row r="3714">
          <cell r="B3714" t="str">
            <v>SHAKTI PUMPS (INDIA) LTD</v>
          </cell>
          <cell r="C3714">
            <v>531431</v>
          </cell>
          <cell r="D3714" t="str">
            <v>SHAKTIPUMP</v>
          </cell>
          <cell r="E3714" t="str">
            <v>Industrial Machinery</v>
          </cell>
        </row>
        <row r="3715">
          <cell r="B3715" t="str">
            <v>SHAKTI PUMPS INDIA LTD</v>
          </cell>
          <cell r="C3715">
            <v>531431</v>
          </cell>
          <cell r="D3715" t="str">
            <v>SHAKTIPUMP</v>
          </cell>
          <cell r="E3715" t="str">
            <v>Industrial Machinery</v>
          </cell>
        </row>
        <row r="3716">
          <cell r="B3716" t="str">
            <v>SHALBY LTD</v>
          </cell>
          <cell r="C3716">
            <v>540797</v>
          </cell>
          <cell r="D3716" t="str">
            <v>SHALBY</v>
          </cell>
          <cell r="E3716" t="str">
            <v>Healthcare Facilities</v>
          </cell>
        </row>
        <row r="3717">
          <cell r="B3717" t="str">
            <v>SHALIBHADRA FINANCE LTD</v>
          </cell>
          <cell r="C3717">
            <v>511754</v>
          </cell>
          <cell r="D3717" t="str">
            <v>Not Listed</v>
          </cell>
          <cell r="E3717" t="str">
            <v>Finance (including NBFCs)</v>
          </cell>
        </row>
        <row r="3718">
          <cell r="B3718" t="str">
            <v>SHALIMAR AGENCIES LTD</v>
          </cell>
          <cell r="C3718">
            <v>539895</v>
          </cell>
          <cell r="D3718" t="str">
            <v>Not Listed</v>
          </cell>
          <cell r="E3718" t="str">
            <v>Other Financial Services</v>
          </cell>
        </row>
        <row r="3719">
          <cell r="B3719" t="str">
            <v>SHALIMAR PAINTS LTD</v>
          </cell>
          <cell r="C3719">
            <v>509874</v>
          </cell>
          <cell r="D3719" t="str">
            <v>SHALPAINTS</v>
          </cell>
          <cell r="E3719" t="str">
            <v>Furniture-Furnishing-Paints</v>
          </cell>
        </row>
        <row r="3720">
          <cell r="B3720" t="str">
            <v>SHALIMAR PRODUCTIONS LTD</v>
          </cell>
          <cell r="C3720">
            <v>512499</v>
          </cell>
          <cell r="D3720" t="str">
            <v>Not Listed</v>
          </cell>
          <cell r="E3720" t="str">
            <v>Other Financial Services</v>
          </cell>
        </row>
        <row r="3721">
          <cell r="B3721" t="str">
            <v>SHALIMAR WIRES INDUSTRIES LTD</v>
          </cell>
          <cell r="C3721">
            <v>532455</v>
          </cell>
          <cell r="D3721" t="str">
            <v>Not Listed</v>
          </cell>
          <cell r="E3721" t="str">
            <v>Copper</v>
          </cell>
        </row>
        <row r="3722">
          <cell r="B3722" t="str">
            <v>SHANGAR DECOR LTD</v>
          </cell>
          <cell r="C3722">
            <v>540259</v>
          </cell>
          <cell r="D3722" t="str">
            <v>Not Listed</v>
          </cell>
          <cell r="E3722" t="str">
            <v>Sp.Consumer Services</v>
          </cell>
        </row>
        <row r="3723">
          <cell r="B3723" t="str">
            <v>Shankar Lal Rampal Dye-Chem Ltd</v>
          </cell>
          <cell r="C3723">
            <v>542232</v>
          </cell>
          <cell r="D3723" t="str">
            <v>SRD</v>
          </cell>
          <cell r="E3723" t="str">
            <v>Comm.Trading  &amp;amp; Distribution</v>
          </cell>
        </row>
        <row r="3724">
          <cell r="B3724" t="str">
            <v>SHANKARA BUILDING PRODUCTS LTD</v>
          </cell>
          <cell r="C3724">
            <v>540425</v>
          </cell>
          <cell r="D3724" t="str">
            <v>SHANKARA</v>
          </cell>
          <cell r="E3724" t="str">
            <v>Iron &amp; Steel Products</v>
          </cell>
        </row>
        <row r="3725">
          <cell r="B3725" t="str">
            <v>SHANTAI INDUSTRIES LTD</v>
          </cell>
          <cell r="C3725">
            <v>512297</v>
          </cell>
          <cell r="D3725" t="str">
            <v>Not Listed</v>
          </cell>
          <cell r="E3725" t="str">
            <v>Industrial Machinery</v>
          </cell>
        </row>
        <row r="3726">
          <cell r="B3726" t="str">
            <v>SHANTANU SHEOREY AQUAKULT LTD</v>
          </cell>
          <cell r="C3726">
            <v>531925</v>
          </cell>
          <cell r="D3726" t="str">
            <v>Not Listed</v>
          </cell>
          <cell r="E3726" t="str">
            <v>Packaged Foods</v>
          </cell>
        </row>
        <row r="3727">
          <cell r="B3727" t="str">
            <v>SHANTHI GEARS LTD</v>
          </cell>
          <cell r="C3727">
            <v>522034</v>
          </cell>
          <cell r="D3727" t="str">
            <v>SHANTIGEAR</v>
          </cell>
          <cell r="E3727" t="str">
            <v>Auto Parts &amp; Equipment</v>
          </cell>
        </row>
        <row r="3728">
          <cell r="B3728" t="str">
            <v>SHANTI EDUCATIONAL INITIATIVES LTD</v>
          </cell>
          <cell r="C3728">
            <v>539921</v>
          </cell>
          <cell r="D3728" t="str">
            <v>Not Listed</v>
          </cell>
          <cell r="E3728" t="str">
            <v>Education</v>
          </cell>
        </row>
        <row r="3729">
          <cell r="B3729" t="str">
            <v>SHANTI OVERSEAS (INDIA) LTD</v>
          </cell>
          <cell r="C3729" t="str">
            <v>Not Listed</v>
          </cell>
          <cell r="D3729" t="str">
            <v>SHANTI</v>
          </cell>
          <cell r="E3729" t="str">
            <v>SME</v>
          </cell>
        </row>
        <row r="3730">
          <cell r="B3730" t="str">
            <v>SHANTI OVERSEAS INDIA LTD</v>
          </cell>
          <cell r="C3730" t="str">
            <v>Not Listed</v>
          </cell>
          <cell r="D3730" t="str">
            <v>SHANTI</v>
          </cell>
          <cell r="E3730" t="str">
            <v>SME</v>
          </cell>
        </row>
        <row r="3731">
          <cell r="B3731" t="str">
            <v>SHARAD FIBRES &amp; YARN PROCESSORS LTD</v>
          </cell>
          <cell r="C3731">
            <v>514402</v>
          </cell>
          <cell r="D3731" t="str">
            <v>Not Listed</v>
          </cell>
          <cell r="E3731" t="str">
            <v>Textiles</v>
          </cell>
        </row>
        <row r="3732">
          <cell r="B3732" t="str">
            <v>SHARANAM INFRAPROJECT AND TRADING LTD</v>
          </cell>
          <cell r="C3732">
            <v>539584</v>
          </cell>
          <cell r="D3732" t="str">
            <v>Not Listed</v>
          </cell>
          <cell r="E3732" t="str">
            <v>Comm.Trading  &amp; Distribution</v>
          </cell>
        </row>
        <row r="3733">
          <cell r="B3733" t="str">
            <v>SHARDA CROPCHEM LTD</v>
          </cell>
          <cell r="C3733">
            <v>538666</v>
          </cell>
          <cell r="D3733" t="str">
            <v>SHARDACROP</v>
          </cell>
          <cell r="E3733" t="str">
            <v>Agrochemicals</v>
          </cell>
        </row>
        <row r="3734">
          <cell r="B3734" t="str">
            <v>SHARDA ISPAT LTD</v>
          </cell>
          <cell r="C3734">
            <v>513548</v>
          </cell>
          <cell r="D3734" t="str">
            <v>Not Listed</v>
          </cell>
          <cell r="E3734" t="str">
            <v>Iron &amp; Steel/Interm.Products</v>
          </cell>
        </row>
        <row r="3735">
          <cell r="B3735" t="str">
            <v>SHARDA MOTOR INDUSTRIES LTD</v>
          </cell>
          <cell r="C3735">
            <v>535602</v>
          </cell>
          <cell r="D3735" t="str">
            <v>SHARDAMOTR</v>
          </cell>
          <cell r="E3735" t="str">
            <v>Auto Parts &amp; Equipment</v>
          </cell>
        </row>
        <row r="3736">
          <cell r="B3736" t="str">
            <v>SHARDUL SECURITIES LTD</v>
          </cell>
          <cell r="C3736">
            <v>512393</v>
          </cell>
          <cell r="D3736" t="str">
            <v>Not Listed</v>
          </cell>
          <cell r="E3736" t="str">
            <v>Other Financial Services</v>
          </cell>
        </row>
        <row r="3737">
          <cell r="B3737" t="str">
            <v>SHARE INDIA SECURITIES LTD</v>
          </cell>
          <cell r="C3737">
            <v>540725</v>
          </cell>
          <cell r="D3737" t="str">
            <v>Not Listed</v>
          </cell>
          <cell r="E3737" t="str">
            <v>Other Financial Services</v>
          </cell>
        </row>
        <row r="3738">
          <cell r="B3738" t="str">
            <v>SHARIKA ENTERPRISES LTD</v>
          </cell>
          <cell r="C3738">
            <v>540786</v>
          </cell>
          <cell r="D3738" t="str">
            <v>Not Listed</v>
          </cell>
          <cell r="E3738" t="str">
            <v>Other Elect.Equip./ Prod.</v>
          </cell>
        </row>
        <row r="3739">
          <cell r="B3739" t="str">
            <v>SHARON BIO-MEDICINE LTD</v>
          </cell>
          <cell r="C3739">
            <v>532908</v>
          </cell>
          <cell r="D3739" t="str">
            <v>SHARONBIO</v>
          </cell>
          <cell r="E3739" t="str">
            <v>Pharmaceuticals</v>
          </cell>
        </row>
        <row r="3740">
          <cell r="B3740" t="str">
            <v>SHARP (INDIA) LTD</v>
          </cell>
          <cell r="C3740">
            <v>523449</v>
          </cell>
          <cell r="D3740" t="str">
            <v>Not Listed</v>
          </cell>
          <cell r="E3740" t="str">
            <v>Consumer Electronics</v>
          </cell>
        </row>
        <row r="3741">
          <cell r="B3741" t="str">
            <v>SHARP INDIA LTD</v>
          </cell>
          <cell r="C3741">
            <v>523449</v>
          </cell>
          <cell r="D3741" t="str">
            <v>Not Listed</v>
          </cell>
          <cell r="E3741" t="str">
            <v>Consumer Electronics</v>
          </cell>
        </row>
        <row r="3742">
          <cell r="B3742" t="str">
            <v>SHARP INVESTMENTS LTD</v>
          </cell>
          <cell r="C3742">
            <v>538212</v>
          </cell>
          <cell r="D3742" t="str">
            <v>Not Listed</v>
          </cell>
          <cell r="E3742" t="str">
            <v>Finance (including NBFCs)</v>
          </cell>
        </row>
        <row r="3743">
          <cell r="B3743" t="str">
            <v>SHASHANK TRADERS LTD</v>
          </cell>
          <cell r="C3743">
            <v>540221</v>
          </cell>
          <cell r="D3743" t="str">
            <v>Not Listed</v>
          </cell>
          <cell r="E3743" t="str">
            <v>Comm.Trading  &amp; Distribution</v>
          </cell>
        </row>
        <row r="3744">
          <cell r="B3744" t="str">
            <v>SHASHIJIT INFRAPROJECTS LTD</v>
          </cell>
          <cell r="C3744">
            <v>540147</v>
          </cell>
          <cell r="D3744" t="str">
            <v>Not Listed</v>
          </cell>
          <cell r="E3744" t="str">
            <v>Construction &amp; Engineering</v>
          </cell>
        </row>
        <row r="3745">
          <cell r="B3745" t="str">
            <v>SHEELA FOAM LTD</v>
          </cell>
          <cell r="C3745">
            <v>540203</v>
          </cell>
          <cell r="D3745" t="str">
            <v>SFL</v>
          </cell>
          <cell r="E3745" t="str">
            <v>Furniture-Furnishing-Paints</v>
          </cell>
        </row>
        <row r="3746">
          <cell r="B3746" t="str">
            <v>SHEETAL COOL PRODUCTS LTD</v>
          </cell>
          <cell r="C3746">
            <v>540757</v>
          </cell>
          <cell r="D3746" t="str">
            <v>Not Listed</v>
          </cell>
          <cell r="E3746" t="str">
            <v>Packaged Foods</v>
          </cell>
        </row>
        <row r="3747">
          <cell r="B3747" t="str">
            <v>SHEETAL DIAMONDS LTD</v>
          </cell>
          <cell r="C3747">
            <v>530525</v>
          </cell>
          <cell r="D3747" t="str">
            <v>Not Listed</v>
          </cell>
          <cell r="E3747" t="str">
            <v>Other Apparels &amp; Accessories</v>
          </cell>
        </row>
        <row r="3748">
          <cell r="B3748" t="str">
            <v>SHEKHAWATI POLY-YARN LTD</v>
          </cell>
          <cell r="C3748">
            <v>533301</v>
          </cell>
          <cell r="D3748" t="str">
            <v>SPYL</v>
          </cell>
          <cell r="E3748" t="str">
            <v>Textiles</v>
          </cell>
        </row>
        <row r="3749">
          <cell r="B3749" t="str">
            <v>SHELTER INFRA PROJECTS LTD</v>
          </cell>
          <cell r="C3749">
            <v>526839</v>
          </cell>
          <cell r="D3749" t="str">
            <v>Not Listed</v>
          </cell>
          <cell r="E3749" t="str">
            <v>Construction &amp; Engineering</v>
          </cell>
        </row>
        <row r="3750">
          <cell r="B3750" t="str">
            <v>SHEMAROO ENTERTAINMENT LTD</v>
          </cell>
          <cell r="C3750">
            <v>538685</v>
          </cell>
          <cell r="D3750" t="str">
            <v>SHEMAROO</v>
          </cell>
          <cell r="E3750" t="str">
            <v>Movies &amp; Entertainment</v>
          </cell>
        </row>
        <row r="3751">
          <cell r="B3751" t="str">
            <v>SHERATON PROPERTIES &amp; FINANCE LTD</v>
          </cell>
          <cell r="C3751">
            <v>512367</v>
          </cell>
          <cell r="D3751" t="str">
            <v>Not Listed</v>
          </cell>
          <cell r="E3751" t="str">
            <v>Other Financial Services</v>
          </cell>
        </row>
        <row r="3752">
          <cell r="B3752" t="str">
            <v>SHERVANI INDUSTRIAL SYNDICATE LTD</v>
          </cell>
          <cell r="C3752">
            <v>526117</v>
          </cell>
          <cell r="D3752" t="str">
            <v>Not Listed</v>
          </cell>
          <cell r="E3752" t="str">
            <v>Non-Durable Household Prod.</v>
          </cell>
        </row>
        <row r="3753">
          <cell r="B3753" t="str">
            <v>SHESHADRI INDUSTRIES LTD</v>
          </cell>
          <cell r="C3753">
            <v>539111</v>
          </cell>
          <cell r="D3753" t="str">
            <v>Not Listed</v>
          </cell>
          <cell r="E3753" t="str">
            <v>Textiles</v>
          </cell>
        </row>
        <row r="3754">
          <cell r="B3754" t="str">
            <v>SHETRON LTD</v>
          </cell>
          <cell r="C3754">
            <v>526137</v>
          </cell>
          <cell r="D3754" t="str">
            <v>Not Listed</v>
          </cell>
          <cell r="E3754" t="str">
            <v>Containers &amp; Packaging</v>
          </cell>
        </row>
        <row r="3755">
          <cell r="B3755" t="str">
            <v>SHIKHAR LEASING &amp; TRADING LTD</v>
          </cell>
          <cell r="C3755">
            <v>507952</v>
          </cell>
          <cell r="D3755" t="str">
            <v>Not Listed</v>
          </cell>
          <cell r="E3755" t="str">
            <v>Finance (including NBFCs)</v>
          </cell>
        </row>
        <row r="3756">
          <cell r="B3756" t="str">
            <v>SHILCHAR TECHNOLOGIES LTD</v>
          </cell>
          <cell r="C3756">
            <v>531201</v>
          </cell>
          <cell r="D3756" t="str">
            <v>Not Listed</v>
          </cell>
          <cell r="E3756" t="str">
            <v>Other Elect.Equip./ Prod.</v>
          </cell>
        </row>
        <row r="3757">
          <cell r="B3757" t="str">
            <v>SHILP GRAVURES LTD</v>
          </cell>
          <cell r="C3757">
            <v>513709</v>
          </cell>
          <cell r="D3757" t="str">
            <v>Not Listed</v>
          </cell>
          <cell r="E3757" t="str">
            <v>Industrial Machinery</v>
          </cell>
        </row>
        <row r="3758">
          <cell r="B3758" t="str">
            <v>SHILPA MEDICARE LTD</v>
          </cell>
          <cell r="C3758">
            <v>530549</v>
          </cell>
          <cell r="D3758" t="str">
            <v>SHILPAMED</v>
          </cell>
          <cell r="E3758" t="str">
            <v>Pharmaceuticals</v>
          </cell>
        </row>
        <row r="3759">
          <cell r="B3759" t="str">
            <v>SHILPI CABLE TECHNOLOGIES LTD</v>
          </cell>
          <cell r="C3759">
            <v>533389</v>
          </cell>
          <cell r="D3759" t="str">
            <v>SHILPI</v>
          </cell>
          <cell r="E3759" t="str">
            <v>Other Elect.Equip./ Prod.</v>
          </cell>
        </row>
        <row r="3760">
          <cell r="B3760" t="str">
            <v>SHIPPING CORPORATION OF (INDIA) LTD</v>
          </cell>
          <cell r="C3760">
            <v>523598</v>
          </cell>
          <cell r="D3760" t="str">
            <v>SCI</v>
          </cell>
          <cell r="E3760" t="str">
            <v>Shipping</v>
          </cell>
        </row>
        <row r="3761">
          <cell r="B3761" t="str">
            <v>SHIPPING CORPORATION OF INDIA LTD</v>
          </cell>
          <cell r="C3761">
            <v>523598</v>
          </cell>
          <cell r="D3761" t="str">
            <v>SCI</v>
          </cell>
          <cell r="E3761" t="str">
            <v>Shipping</v>
          </cell>
        </row>
        <row r="3762">
          <cell r="B3762" t="str">
            <v>SHIRPUR GOLD REFINERY LTD</v>
          </cell>
          <cell r="C3762">
            <v>512289</v>
          </cell>
          <cell r="D3762" t="str">
            <v>SHIRPUR-G</v>
          </cell>
          <cell r="E3762" t="str">
            <v>Other Non-Ferrous Metals</v>
          </cell>
        </row>
        <row r="3763">
          <cell r="B3763" t="str">
            <v>SHISH INDUSTRIES LTD</v>
          </cell>
          <cell r="C3763">
            <v>540693</v>
          </cell>
          <cell r="D3763" t="str">
            <v>Not Listed</v>
          </cell>
          <cell r="E3763" t="str">
            <v>Plastic Products</v>
          </cell>
        </row>
        <row r="3764">
          <cell r="B3764" t="str">
            <v>SHIVA CEMENT LTD</v>
          </cell>
          <cell r="C3764">
            <v>532323</v>
          </cell>
          <cell r="D3764" t="str">
            <v>Not Listed</v>
          </cell>
          <cell r="E3764" t="str">
            <v>Cement &amp; Cement Products</v>
          </cell>
        </row>
        <row r="3765">
          <cell r="B3765" t="str">
            <v>SHIVA GLOBAL AGRO INDUSTRIES LTD</v>
          </cell>
          <cell r="C3765">
            <v>530433</v>
          </cell>
          <cell r="D3765" t="str">
            <v>Not Listed</v>
          </cell>
          <cell r="E3765" t="str">
            <v>Fertilizers</v>
          </cell>
        </row>
        <row r="3766">
          <cell r="B3766" t="str">
            <v>SHIVA GRANITO EXPORT LTD</v>
          </cell>
          <cell r="C3766">
            <v>540072</v>
          </cell>
          <cell r="D3766" t="str">
            <v>Not Listed</v>
          </cell>
          <cell r="E3766" t="str">
            <v>Construction Materials</v>
          </cell>
        </row>
        <row r="3767">
          <cell r="B3767" t="str">
            <v>SHIVA MEDICARE LTD.</v>
          </cell>
          <cell r="C3767">
            <v>524602</v>
          </cell>
          <cell r="D3767" t="str">
            <v>SHIVMED</v>
          </cell>
          <cell r="E3767" t="str">
            <v>Healthcare Services</v>
          </cell>
        </row>
        <row r="3768">
          <cell r="B3768" t="str">
            <v>SHIVA MILLS LTD</v>
          </cell>
          <cell r="C3768">
            <v>540961</v>
          </cell>
          <cell r="D3768" t="str">
            <v>SHIVAMILLS</v>
          </cell>
          <cell r="E3768" t="str">
            <v>Textiles</v>
          </cell>
        </row>
        <row r="3769">
          <cell r="B3769" t="str">
            <v>SHIVA SUITINGS LTD</v>
          </cell>
          <cell r="C3769">
            <v>521003</v>
          </cell>
          <cell r="D3769" t="str">
            <v>Not Listed</v>
          </cell>
          <cell r="E3769" t="str">
            <v>Comm.Trading  &amp; Distribution</v>
          </cell>
        </row>
        <row r="3770">
          <cell r="B3770" t="str">
            <v>SHIVA TEXYARN LTD</v>
          </cell>
          <cell r="C3770">
            <v>511108</v>
          </cell>
          <cell r="D3770" t="str">
            <v>SHIVATEX</v>
          </cell>
          <cell r="E3770" t="str">
            <v>Textiles</v>
          </cell>
        </row>
        <row r="3771">
          <cell r="B3771" t="str">
            <v>SHIVAGRICO IMPLEMENTS LTD</v>
          </cell>
          <cell r="C3771">
            <v>522237</v>
          </cell>
          <cell r="D3771" t="str">
            <v>Not Listed</v>
          </cell>
          <cell r="E3771" t="str">
            <v>Industrial Machinery</v>
          </cell>
        </row>
        <row r="3772">
          <cell r="B3772" t="str">
            <v>SHIVALIK BIMETAL CONTROLS LTD</v>
          </cell>
          <cell r="C3772">
            <v>513097</v>
          </cell>
          <cell r="D3772" t="str">
            <v>Not Listed</v>
          </cell>
          <cell r="E3772" t="str">
            <v>Electronic Components</v>
          </cell>
        </row>
        <row r="3773">
          <cell r="B3773" t="str">
            <v>SHIVALIK RASAYAN LTD</v>
          </cell>
          <cell r="C3773">
            <v>539148</v>
          </cell>
          <cell r="D3773" t="str">
            <v>Not Listed</v>
          </cell>
          <cell r="E3773" t="str">
            <v>Agrochemicals</v>
          </cell>
        </row>
        <row r="3774">
          <cell r="B3774" t="str">
            <v>SHIVAM AUTOTECH LTD</v>
          </cell>
          <cell r="C3774">
            <v>532776</v>
          </cell>
          <cell r="D3774" t="str">
            <v>SHIVAMAUTO</v>
          </cell>
          <cell r="E3774" t="str">
            <v>Auto Parts &amp; Equipment</v>
          </cell>
        </row>
        <row r="3775">
          <cell r="B3775" t="str">
            <v>SHIVANSH FINSERVE LTD</v>
          </cell>
          <cell r="C3775">
            <v>539593</v>
          </cell>
          <cell r="D3775" t="str">
            <v>Not Listed</v>
          </cell>
          <cell r="E3775" t="str">
            <v>Other Financial Services</v>
          </cell>
        </row>
        <row r="3776">
          <cell r="B3776" t="str">
            <v>SHIVKAMAL IMPEX LTD</v>
          </cell>
          <cell r="C3776">
            <v>539683</v>
          </cell>
          <cell r="D3776" t="str">
            <v>Not Listed</v>
          </cell>
          <cell r="E3776" t="str">
            <v>Finance (including NBFCs)</v>
          </cell>
        </row>
        <row r="3777">
          <cell r="B3777" t="str">
            <v>SHIVOM INVESTMENT &amp; CONSULTANCY LTD</v>
          </cell>
          <cell r="C3777">
            <v>539833</v>
          </cell>
          <cell r="D3777" t="str">
            <v>Not Listed</v>
          </cell>
          <cell r="E3777" t="str">
            <v>Finance (including NBFCs)</v>
          </cell>
        </row>
        <row r="3778">
          <cell r="B3778" t="str">
            <v>SHOPPERS STOP LTD</v>
          </cell>
          <cell r="C3778">
            <v>532638</v>
          </cell>
          <cell r="D3778" t="str">
            <v>SHOPERSTOP</v>
          </cell>
          <cell r="E3778" t="str">
            <v>Department Stores</v>
          </cell>
        </row>
        <row r="3779">
          <cell r="B3779" t="str">
            <v>SHRADHA INFRAPROJECTS NAGPUR LTD</v>
          </cell>
          <cell r="C3779" t="str">
            <v>Not Listed</v>
          </cell>
          <cell r="D3779" t="str">
            <v>SHRADHA</v>
          </cell>
          <cell r="E3779" t="str">
            <v>SME</v>
          </cell>
        </row>
        <row r="3780">
          <cell r="B3780" t="str">
            <v>SHREE AJIT PULP AND PAPER LTD</v>
          </cell>
          <cell r="C3780">
            <v>538795</v>
          </cell>
          <cell r="D3780" t="str">
            <v>Not Listed</v>
          </cell>
          <cell r="E3780" t="str">
            <v>Paper &amp; Paper Products</v>
          </cell>
        </row>
        <row r="3781">
          <cell r="B3781" t="str">
            <v>SHREE BHAVYA FABRICS LTD</v>
          </cell>
          <cell r="C3781">
            <v>521131</v>
          </cell>
          <cell r="D3781" t="str">
            <v>Not Listed</v>
          </cell>
          <cell r="E3781" t="str">
            <v>Textiles</v>
          </cell>
        </row>
        <row r="3782">
          <cell r="B3782" t="str">
            <v>SHREE BHAWANI PAPER MILLS LTD</v>
          </cell>
          <cell r="C3782">
            <v>502563</v>
          </cell>
          <cell r="D3782" t="str">
            <v>Not Listed</v>
          </cell>
          <cell r="E3782" t="str">
            <v>Paper &amp; Paper Products</v>
          </cell>
        </row>
        <row r="3783">
          <cell r="B3783" t="str">
            <v>SHREE CEMENT LTD</v>
          </cell>
          <cell r="C3783">
            <v>500387</v>
          </cell>
          <cell r="D3783" t="str">
            <v>SHREECEM</v>
          </cell>
          <cell r="E3783" t="str">
            <v>Cement &amp; Cement Products</v>
          </cell>
        </row>
        <row r="3784">
          <cell r="B3784" t="str">
            <v>SHREE DIGVIJAY CEMENT CO LTD</v>
          </cell>
          <cell r="C3784">
            <v>502180</v>
          </cell>
          <cell r="D3784" t="str">
            <v>Not Listed</v>
          </cell>
          <cell r="E3784" t="str">
            <v>Cement &amp; Cement Products</v>
          </cell>
        </row>
        <row r="3785">
          <cell r="B3785" t="str">
            <v>SHREE GANESH BIOTECH (INDIA) LTD</v>
          </cell>
          <cell r="C3785">
            <v>539470</v>
          </cell>
          <cell r="D3785" t="str">
            <v>Not Listed</v>
          </cell>
          <cell r="E3785" t="str">
            <v>Biotechnology</v>
          </cell>
        </row>
        <row r="3786">
          <cell r="B3786" t="str">
            <v>SHREE GANESH BIOTECH INDIA LTD</v>
          </cell>
          <cell r="C3786">
            <v>539470</v>
          </cell>
          <cell r="D3786" t="str">
            <v>Not Listed</v>
          </cell>
          <cell r="E3786" t="str">
            <v>Biotechnology</v>
          </cell>
        </row>
        <row r="3787">
          <cell r="B3787" t="str">
            <v>SHREE GANESH ELASTOPLAST LTD</v>
          </cell>
          <cell r="C3787">
            <v>530797</v>
          </cell>
          <cell r="D3787" t="str">
            <v>Not Listed</v>
          </cell>
          <cell r="E3787" t="str">
            <v>Comm.Trading  &amp; Distribution</v>
          </cell>
        </row>
        <row r="3788">
          <cell r="B3788" t="str">
            <v>SHREE GANESH FORGINGS LTD</v>
          </cell>
          <cell r="C3788">
            <v>532643</v>
          </cell>
          <cell r="D3788" t="str">
            <v>SGFL</v>
          </cell>
          <cell r="E3788" t="str">
            <v>Other Industrial Products</v>
          </cell>
        </row>
        <row r="3789">
          <cell r="B3789" t="str">
            <v>SHREE GANESH REMEDIES LTD</v>
          </cell>
          <cell r="C3789">
            <v>540737</v>
          </cell>
          <cell r="D3789" t="str">
            <v>Not Listed</v>
          </cell>
          <cell r="E3789" t="str">
            <v>Pharmaceuticals</v>
          </cell>
        </row>
        <row r="3790">
          <cell r="B3790" t="str">
            <v>SHREE GLOBAL TRADEFIN LTD</v>
          </cell>
          <cell r="C3790">
            <v>512463</v>
          </cell>
          <cell r="D3790" t="str">
            <v>Not Listed</v>
          </cell>
          <cell r="E3790" t="str">
            <v>Finance (including NBFCs)</v>
          </cell>
        </row>
        <row r="3791">
          <cell r="B3791" t="str">
            <v>SHREE HARI CHEMICALS EXPORT LTD</v>
          </cell>
          <cell r="C3791">
            <v>524336</v>
          </cell>
          <cell r="D3791" t="str">
            <v>Not Listed</v>
          </cell>
          <cell r="E3791" t="str">
            <v>Commodity Chemicals</v>
          </cell>
        </row>
        <row r="3792">
          <cell r="B3792" t="str">
            <v>SHREE KARTHIK PAPERS LTD</v>
          </cell>
          <cell r="C3792">
            <v>516106</v>
          </cell>
          <cell r="D3792" t="str">
            <v>Not Listed</v>
          </cell>
          <cell r="E3792" t="str">
            <v>Paper &amp; Paper Products</v>
          </cell>
        </row>
        <row r="3793">
          <cell r="B3793" t="str">
            <v>SHREE KRISHNA INFRASTRUCTURE LTD</v>
          </cell>
          <cell r="C3793">
            <v>542146</v>
          </cell>
          <cell r="D3793" t="str">
            <v>Not Listed</v>
          </cell>
          <cell r="E3793" t="str">
            <v>Realty</v>
          </cell>
        </row>
        <row r="3794">
          <cell r="B3794" t="str">
            <v>SHREE KRISHNA PAPER MILLS &amp; INDUSTRIES LTD</v>
          </cell>
          <cell r="C3794">
            <v>500388</v>
          </cell>
          <cell r="D3794" t="str">
            <v>Not Listed</v>
          </cell>
          <cell r="E3794" t="str">
            <v>Paper &amp; Paper Products</v>
          </cell>
        </row>
        <row r="3795">
          <cell r="B3795" t="str">
            <v>SHREE MANUFACTURING CO LTD</v>
          </cell>
          <cell r="C3795">
            <v>503863</v>
          </cell>
          <cell r="D3795" t="str">
            <v>Not Listed</v>
          </cell>
          <cell r="E3795" t="str">
            <v>Textiles</v>
          </cell>
        </row>
        <row r="3796">
          <cell r="B3796" t="str">
            <v>SHREE METALLOYS LTD</v>
          </cell>
          <cell r="C3796">
            <v>531962</v>
          </cell>
          <cell r="D3796" t="str">
            <v>Not Listed</v>
          </cell>
          <cell r="E3796" t="str">
            <v>Finance (including NBFCs)</v>
          </cell>
        </row>
        <row r="3797">
          <cell r="B3797" t="str">
            <v>SHREE NIDHI TRADING CO  LTD</v>
          </cell>
          <cell r="C3797">
            <v>540253</v>
          </cell>
          <cell r="D3797" t="str">
            <v>Not Listed</v>
          </cell>
          <cell r="E3797" t="str">
            <v>Other Financial Services</v>
          </cell>
        </row>
        <row r="3798">
          <cell r="B3798" t="str">
            <v>SHREE OM TRADES LTD</v>
          </cell>
          <cell r="C3798">
            <v>506180</v>
          </cell>
          <cell r="D3798" t="str">
            <v>Not Listed</v>
          </cell>
          <cell r="E3798" t="str">
            <v>Comm.Trading  &amp; Distribution</v>
          </cell>
        </row>
        <row r="3799">
          <cell r="B3799" t="str">
            <v>SHREE PACETRONIX LTD</v>
          </cell>
          <cell r="C3799">
            <v>527005</v>
          </cell>
          <cell r="D3799" t="str">
            <v>Not Listed</v>
          </cell>
          <cell r="E3799" t="str">
            <v>Healthcare Supplies</v>
          </cell>
        </row>
        <row r="3800">
          <cell r="B3800" t="str">
            <v>SHREE PRECOATED STEELS LTD</v>
          </cell>
          <cell r="C3800">
            <v>533110</v>
          </cell>
          <cell r="D3800" t="str">
            <v>Not Listed</v>
          </cell>
          <cell r="E3800" t="str">
            <v>Iron &amp; Steel Products</v>
          </cell>
        </row>
        <row r="3801">
          <cell r="B3801" t="str">
            <v>SHREE PUSHKAR CHEMICALS &amp; FERTILISERS LTD</v>
          </cell>
          <cell r="C3801">
            <v>539334</v>
          </cell>
          <cell r="D3801" t="str">
            <v>SHREEPUSHK</v>
          </cell>
          <cell r="E3801" t="str">
            <v>Specialty Chemicals</v>
          </cell>
        </row>
        <row r="3802">
          <cell r="B3802" t="str">
            <v>SHREE RAJASTHAN SYNTEX LTD</v>
          </cell>
          <cell r="C3802">
            <v>503837</v>
          </cell>
          <cell r="D3802" t="str">
            <v>Not Listed</v>
          </cell>
          <cell r="E3802" t="str">
            <v>Textiles</v>
          </cell>
        </row>
        <row r="3803">
          <cell r="B3803" t="str">
            <v>SHREE RAJESHWARANAND PAPER MILLS LTD</v>
          </cell>
          <cell r="C3803">
            <v>516086</v>
          </cell>
          <cell r="D3803" t="str">
            <v>Not Listed</v>
          </cell>
          <cell r="E3803" t="str">
            <v>Paper &amp; Paper Products</v>
          </cell>
        </row>
        <row r="3804">
          <cell r="B3804" t="str">
            <v>SHREE RAM PROTEINS LTD</v>
          </cell>
          <cell r="C3804" t="str">
            <v>Not Listed</v>
          </cell>
          <cell r="D3804" t="str">
            <v>SRPL</v>
          </cell>
          <cell r="E3804" t="str">
            <v>SME</v>
          </cell>
        </row>
        <row r="3805">
          <cell r="B3805" t="str">
            <v>SHREE RAMA MULTI-TECH LTD</v>
          </cell>
          <cell r="C3805">
            <v>532310</v>
          </cell>
          <cell r="D3805" t="str">
            <v>SHREERAMA</v>
          </cell>
          <cell r="E3805" t="str">
            <v>Containers &amp; Packaging</v>
          </cell>
        </row>
        <row r="3806">
          <cell r="B3806" t="str">
            <v>SHREE RAMA NEWSPRINT LTD</v>
          </cell>
          <cell r="C3806">
            <v>500356</v>
          </cell>
          <cell r="D3806" t="str">
            <v>RAMANEWS</v>
          </cell>
          <cell r="E3806" t="str">
            <v>Paper &amp; Paper Products</v>
          </cell>
        </row>
        <row r="3807">
          <cell r="B3807" t="str">
            <v>SHREE RENUKA SUGARS LTD</v>
          </cell>
          <cell r="C3807">
            <v>532670</v>
          </cell>
          <cell r="D3807" t="str">
            <v>RENUKA</v>
          </cell>
          <cell r="E3807" t="str">
            <v>Sugar</v>
          </cell>
        </row>
        <row r="3808">
          <cell r="B3808" t="str">
            <v>SHREE SALASAR INVESTMENT LTD</v>
          </cell>
          <cell r="C3808">
            <v>503635</v>
          </cell>
          <cell r="D3808" t="str">
            <v>Not Listed</v>
          </cell>
          <cell r="E3808" t="str">
            <v>Other Financial Services</v>
          </cell>
        </row>
        <row r="3809">
          <cell r="B3809" t="str">
            <v>SHREE SECURITIES LTD</v>
          </cell>
          <cell r="C3809">
            <v>538975</v>
          </cell>
          <cell r="D3809" t="str">
            <v>Not Listed</v>
          </cell>
          <cell r="E3809" t="str">
            <v>Finance (including NBFCs)</v>
          </cell>
        </row>
        <row r="3810">
          <cell r="B3810" t="str">
            <v>SHREE STEEL WIRE ROPES LTD</v>
          </cell>
          <cell r="C3810">
            <v>513488</v>
          </cell>
          <cell r="D3810" t="str">
            <v>Not Listed</v>
          </cell>
          <cell r="E3810" t="str">
            <v>Iron &amp; Steel Products</v>
          </cell>
        </row>
        <row r="3811">
          <cell r="B3811" t="str">
            <v>SHREE SURGOVIND TRADELINK LTD</v>
          </cell>
          <cell r="C3811">
            <v>531667</v>
          </cell>
          <cell r="D3811" t="str">
            <v>Not Listed</v>
          </cell>
          <cell r="E3811" t="str">
            <v>Comm.Trading  &amp; Distribution</v>
          </cell>
        </row>
        <row r="3812">
          <cell r="B3812" t="str">
            <v>SHREE TIRUPATI BALAJEE FIBC LTD</v>
          </cell>
          <cell r="C3812" t="str">
            <v>Not Listed</v>
          </cell>
          <cell r="D3812" t="str">
            <v>TIRUPATI</v>
          </cell>
          <cell r="E3812" t="str">
            <v>SME</v>
          </cell>
        </row>
        <row r="3813">
          <cell r="B3813" t="str">
            <v>SHREE TULSI ONLINE COM LTD</v>
          </cell>
          <cell r="C3813">
            <v>590128</v>
          </cell>
          <cell r="D3813" t="str">
            <v>Not Listed</v>
          </cell>
          <cell r="E3813" t="str">
            <v>IT Consulting &amp; Software</v>
          </cell>
        </row>
        <row r="3814">
          <cell r="B3814" t="str">
            <v>SHREE VASU LOGISTICS LTD</v>
          </cell>
          <cell r="C3814" t="str">
            <v>Not Listed</v>
          </cell>
          <cell r="D3814" t="str">
            <v>SVLL</v>
          </cell>
          <cell r="E3814" t="str">
            <v>SME</v>
          </cell>
        </row>
        <row r="3815">
          <cell r="B3815" t="str">
            <v>SHREE WORSTEX LTD</v>
          </cell>
          <cell r="C3815">
            <v>541358</v>
          </cell>
          <cell r="D3815" t="str">
            <v>Not Listed</v>
          </cell>
          <cell r="E3815" t="str">
            <v>Finance (including NBFCs)</v>
          </cell>
        </row>
        <row r="3816">
          <cell r="B3816" t="str">
            <v>SHREEJI TRANSLOGISTICS LTD</v>
          </cell>
          <cell r="C3816">
            <v>540738</v>
          </cell>
          <cell r="D3816" t="str">
            <v>Not Listed</v>
          </cell>
          <cell r="E3816" t="str">
            <v>Transportation - Logistics</v>
          </cell>
        </row>
        <row r="3817">
          <cell r="B3817" t="str">
            <v>SHREENATH INVESTMENTS CO LTD</v>
          </cell>
          <cell r="C3817">
            <v>503696</v>
          </cell>
          <cell r="D3817" t="str">
            <v>Not Listed</v>
          </cell>
          <cell r="E3817" t="str">
            <v>Misc.Commercial Services</v>
          </cell>
        </row>
        <row r="3818">
          <cell r="B3818" t="str">
            <v>SHREEOSWAL SEEDS AND CHEMICALS LTD</v>
          </cell>
          <cell r="C3818" t="str">
            <v>Not Listed</v>
          </cell>
          <cell r="D3818" t="str">
            <v>OSWALSEEDS</v>
          </cell>
          <cell r="E3818" t="str">
            <v>SME</v>
          </cell>
        </row>
        <row r="3819">
          <cell r="B3819" t="str">
            <v>SHREESHAY ENGINEERS LTD</v>
          </cell>
          <cell r="C3819">
            <v>541112</v>
          </cell>
          <cell r="D3819" t="str">
            <v>Not Listed</v>
          </cell>
          <cell r="E3819" t="str">
            <v>Construction &amp; Engineering</v>
          </cell>
        </row>
        <row r="3820">
          <cell r="B3820" t="str">
            <v>SHREEVATSAA FINANCE &amp; LEASING LTD</v>
          </cell>
          <cell r="C3820">
            <v>532007</v>
          </cell>
          <cell r="D3820" t="str">
            <v>Not Listed</v>
          </cell>
          <cell r="E3820" t="str">
            <v>Misc.Commercial Services</v>
          </cell>
        </row>
        <row r="3821">
          <cell r="B3821" t="str">
            <v>SHRENIK LTD</v>
          </cell>
          <cell r="C3821" t="str">
            <v>Not Listed</v>
          </cell>
          <cell r="D3821" t="str">
            <v>SHRENIK</v>
          </cell>
          <cell r="E3821" t="str">
            <v>SME</v>
          </cell>
        </row>
        <row r="3822">
          <cell r="B3822" t="str">
            <v>SHREYANS INDUSTRIES LTD</v>
          </cell>
          <cell r="C3822">
            <v>516016</v>
          </cell>
          <cell r="D3822" t="str">
            <v>SHREYANIND</v>
          </cell>
          <cell r="E3822" t="str">
            <v>Paper &amp; Paper Products</v>
          </cell>
        </row>
        <row r="3823">
          <cell r="B3823" t="str">
            <v>SHREYAS INTERMEDIATES LTD</v>
          </cell>
          <cell r="C3823">
            <v>526335</v>
          </cell>
          <cell r="D3823" t="str">
            <v>Not Listed</v>
          </cell>
          <cell r="E3823" t="str">
            <v>Commodity Chemicals</v>
          </cell>
        </row>
        <row r="3824">
          <cell r="B3824" t="str">
            <v>SHREYAS SHIPPING &amp; LOGISTICS LTD</v>
          </cell>
          <cell r="C3824">
            <v>520151</v>
          </cell>
          <cell r="D3824" t="str">
            <v>SHREYAS</v>
          </cell>
          <cell r="E3824" t="str">
            <v>Shipping</v>
          </cell>
        </row>
        <row r="3825">
          <cell r="B3825" t="str">
            <v>SHRI BAJRANG ALLOYS LTD</v>
          </cell>
          <cell r="C3825">
            <v>526981</v>
          </cell>
          <cell r="D3825" t="str">
            <v>Not Listed</v>
          </cell>
          <cell r="E3825" t="str">
            <v>Iron &amp; Steel Products</v>
          </cell>
        </row>
        <row r="3826">
          <cell r="B3826" t="str">
            <v>SHRI BHOLANATH CARPETS LTD</v>
          </cell>
          <cell r="C3826">
            <v>530841</v>
          </cell>
          <cell r="D3826" t="str">
            <v>Not Listed</v>
          </cell>
          <cell r="E3826" t="str">
            <v>Furniture-Furnishing-Paints</v>
          </cell>
        </row>
        <row r="3827">
          <cell r="B3827" t="str">
            <v>SHRI DINESH MILLS LTD</v>
          </cell>
          <cell r="C3827">
            <v>503804</v>
          </cell>
          <cell r="D3827" t="str">
            <v>Not Listed</v>
          </cell>
          <cell r="E3827" t="str">
            <v>Textiles</v>
          </cell>
        </row>
        <row r="3828">
          <cell r="B3828" t="str">
            <v>SHRI JAGDAMBA POLYMERS LTD</v>
          </cell>
          <cell r="C3828">
            <v>512453</v>
          </cell>
          <cell r="D3828" t="str">
            <v>Not Listed</v>
          </cell>
          <cell r="E3828" t="str">
            <v>Containers &amp; Packaging</v>
          </cell>
        </row>
        <row r="3829">
          <cell r="B3829" t="str">
            <v>SHRI KALYAN HOLDINGS LTD</v>
          </cell>
          <cell r="C3829">
            <v>532083</v>
          </cell>
          <cell r="D3829" t="str">
            <v>Not Listed</v>
          </cell>
          <cell r="E3829" t="str">
            <v>Misc.Commercial Services</v>
          </cell>
        </row>
        <row r="3830">
          <cell r="B3830" t="str">
            <v>SHRI KESHAV CEMENTS AND INFRA LTD</v>
          </cell>
          <cell r="C3830">
            <v>530977</v>
          </cell>
          <cell r="D3830" t="str">
            <v>Not Listed</v>
          </cell>
          <cell r="E3830" t="str">
            <v>Cement &amp; Cement Products</v>
          </cell>
        </row>
        <row r="3831">
          <cell r="B3831" t="str">
            <v>SHRI KRISHNA DEVCON LTD</v>
          </cell>
          <cell r="C3831">
            <v>531080</v>
          </cell>
          <cell r="D3831" t="str">
            <v>Not Listed</v>
          </cell>
          <cell r="E3831" t="str">
            <v>Realty</v>
          </cell>
        </row>
        <row r="3832">
          <cell r="B3832" t="str">
            <v>SHRI NIWAS LEASING AND FINANCE LTD</v>
          </cell>
          <cell r="C3832">
            <v>538897</v>
          </cell>
          <cell r="D3832" t="str">
            <v>Not Listed</v>
          </cell>
          <cell r="E3832" t="str">
            <v>Finance (including NBFCs)</v>
          </cell>
        </row>
        <row r="3833">
          <cell r="B3833" t="str">
            <v>SHRI RAM SWITCHGEARS LTD</v>
          </cell>
          <cell r="C3833" t="str">
            <v>Not Listed</v>
          </cell>
          <cell r="D3833" t="str">
            <v>SRIRAM</v>
          </cell>
          <cell r="E3833" t="str">
            <v>SME</v>
          </cell>
        </row>
        <row r="3834">
          <cell r="B3834" t="str">
            <v>SHRICON INDUSTRIES LTD</v>
          </cell>
          <cell r="C3834">
            <v>508961</v>
          </cell>
          <cell r="D3834" t="str">
            <v>Not Listed</v>
          </cell>
          <cell r="E3834" t="str">
            <v>Finance (including NBFCs)</v>
          </cell>
        </row>
        <row r="3835">
          <cell r="B3835" t="str">
            <v>SHRIRAM ASSET MANAGEMENT CO LTD</v>
          </cell>
          <cell r="C3835">
            <v>531359</v>
          </cell>
          <cell r="D3835" t="str">
            <v>Not Listed</v>
          </cell>
          <cell r="E3835" t="str">
            <v>Asset Management Cos.</v>
          </cell>
        </row>
        <row r="3836">
          <cell r="B3836" t="str">
            <v>SHRIRAM CITY UNION FINANCE LTD</v>
          </cell>
          <cell r="C3836">
            <v>532498</v>
          </cell>
          <cell r="D3836" t="str">
            <v>SHRIRAMCIT</v>
          </cell>
          <cell r="E3836" t="str">
            <v>Finance (including NBFCs)</v>
          </cell>
        </row>
        <row r="3837">
          <cell r="B3837" t="str">
            <v>SHRIRAM EPC LTD</v>
          </cell>
          <cell r="C3837">
            <v>532945</v>
          </cell>
          <cell r="D3837" t="str">
            <v>SHRIRAMEPC</v>
          </cell>
          <cell r="E3837" t="str">
            <v>Construction &amp; Engineering</v>
          </cell>
        </row>
        <row r="3838">
          <cell r="B3838" t="str">
            <v>SHRIRAM PISTONS &amp; RINGS LTD</v>
          </cell>
          <cell r="C3838" t="str">
            <v>Not Listed</v>
          </cell>
          <cell r="D3838" t="str">
            <v>SHRIPISTON</v>
          </cell>
          <cell r="E3838" t="str">
            <v>Others</v>
          </cell>
        </row>
        <row r="3839">
          <cell r="B3839" t="str">
            <v>SHRIRAM TRANSPORT FINANCE COMPANY LTD</v>
          </cell>
          <cell r="C3839">
            <v>511218</v>
          </cell>
          <cell r="D3839" t="str">
            <v>SRTRANSFIN</v>
          </cell>
          <cell r="E3839" t="str">
            <v>Finance (including NBFCs)</v>
          </cell>
        </row>
        <row r="3840">
          <cell r="B3840" t="str">
            <v>SHRISTI INFRASTRUCTURE DEVELOPMENT CORPORATION LTD</v>
          </cell>
          <cell r="C3840">
            <v>511411</v>
          </cell>
          <cell r="D3840" t="str">
            <v>Not Listed</v>
          </cell>
          <cell r="E3840" t="str">
            <v>Construction &amp; Engineering</v>
          </cell>
        </row>
        <row r="3841">
          <cell r="B3841" t="str">
            <v>SHUBHAM POLYSPIN LTD</v>
          </cell>
          <cell r="C3841">
            <v>542019</v>
          </cell>
          <cell r="D3841" t="str">
            <v>Not Listed</v>
          </cell>
          <cell r="E3841" t="str">
            <v>Textiles</v>
          </cell>
        </row>
        <row r="3842">
          <cell r="B3842" t="str">
            <v>SHUBHLAXMI JEWEL ART LTD</v>
          </cell>
          <cell r="C3842" t="str">
            <v>Not Listed</v>
          </cell>
          <cell r="D3842" t="str">
            <v>SHUBHLAXMI</v>
          </cell>
          <cell r="E3842" t="str">
            <v>SME</v>
          </cell>
        </row>
        <row r="3843">
          <cell r="B3843" t="str">
            <v>SHUKRA BULLIONS LTD.</v>
          </cell>
          <cell r="C3843">
            <v>531506</v>
          </cell>
          <cell r="D3843" t="str">
            <v>SKRABUL</v>
          </cell>
          <cell r="E3843" t="str">
            <v>Misc.Commercial Services</v>
          </cell>
        </row>
        <row r="3844">
          <cell r="B3844" t="str">
            <v>SHUKRA JEWELLERS LTD</v>
          </cell>
          <cell r="C3844">
            <v>523790</v>
          </cell>
          <cell r="D3844" t="str">
            <v>Not Listed</v>
          </cell>
          <cell r="E3844" t="str">
            <v>Other Apparels &amp; Accessories</v>
          </cell>
        </row>
        <row r="3845">
          <cell r="B3845" t="str">
            <v>SHUKRA PHARMACEUTICALS LTD</v>
          </cell>
          <cell r="C3845">
            <v>524632</v>
          </cell>
          <cell r="D3845" t="str">
            <v>Not Listed</v>
          </cell>
          <cell r="E3845" t="str">
            <v>Pharmaceuticals</v>
          </cell>
        </row>
        <row r="3846">
          <cell r="B3846" t="str">
            <v>SHYAM CENTURY FERROUS LTD</v>
          </cell>
          <cell r="C3846">
            <v>539252</v>
          </cell>
          <cell r="D3846" t="str">
            <v>SHYAMCENT</v>
          </cell>
          <cell r="E3846" t="str">
            <v>Iron &amp; Steel/Interm.Products</v>
          </cell>
        </row>
        <row r="3847">
          <cell r="B3847" t="str">
            <v>SHYAM TELECOM LTD</v>
          </cell>
          <cell r="C3847">
            <v>517411</v>
          </cell>
          <cell r="D3847" t="str">
            <v>SHYAMTEL</v>
          </cell>
          <cell r="E3847" t="str">
            <v>Telecom Equipment</v>
          </cell>
        </row>
        <row r="3848">
          <cell r="B3848" t="str">
            <v>SHYAMA INFOSYS LTD</v>
          </cell>
          <cell r="C3848">
            <v>531219</v>
          </cell>
          <cell r="D3848" t="str">
            <v>Not Listed</v>
          </cell>
          <cell r="E3848" t="str">
            <v>Pharmaceuticals</v>
          </cell>
        </row>
        <row r="3849">
          <cell r="B3849" t="str">
            <v>SHYAMKAMAL INVESTMENTS LTD</v>
          </cell>
          <cell r="C3849">
            <v>505515</v>
          </cell>
          <cell r="D3849" t="str">
            <v>Not Listed</v>
          </cell>
          <cell r="E3849" t="str">
            <v>Other Financial Services</v>
          </cell>
        </row>
        <row r="3850">
          <cell r="B3850" t="str">
            <v>SI CAPITAL &amp; FINANCIAL SERVICES LTD</v>
          </cell>
          <cell r="C3850">
            <v>530907</v>
          </cell>
          <cell r="D3850" t="str">
            <v>Not Listed</v>
          </cell>
          <cell r="E3850" t="str">
            <v>Misc.Commercial Services</v>
          </cell>
        </row>
        <row r="3851">
          <cell r="B3851" t="str">
            <v>SIBAR AUTO PARTS LTD</v>
          </cell>
          <cell r="C3851">
            <v>520141</v>
          </cell>
          <cell r="D3851" t="str">
            <v>Not Listed</v>
          </cell>
          <cell r="E3851" t="str">
            <v>Auto Parts &amp; Equipment</v>
          </cell>
        </row>
        <row r="3852">
          <cell r="B3852" t="str">
            <v>SICAGEN (INDIA) LTD</v>
          </cell>
          <cell r="C3852">
            <v>533014</v>
          </cell>
          <cell r="D3852" t="str">
            <v>SICAGEN</v>
          </cell>
          <cell r="E3852" t="str">
            <v>Comm.Trading  &amp; Distribution</v>
          </cell>
        </row>
        <row r="3853">
          <cell r="B3853" t="str">
            <v>SICAGEN INDIA LTD</v>
          </cell>
          <cell r="C3853">
            <v>533014</v>
          </cell>
          <cell r="D3853" t="str">
            <v>SICAGEN</v>
          </cell>
          <cell r="E3853" t="str">
            <v>Comm.Trading  &amp; Distribution</v>
          </cell>
        </row>
        <row r="3854">
          <cell r="B3854" t="str">
            <v>SICAL LOGISTICS LTD</v>
          </cell>
          <cell r="C3854">
            <v>520086</v>
          </cell>
          <cell r="D3854" t="str">
            <v>SICAL</v>
          </cell>
          <cell r="E3854" t="str">
            <v>Transportation - Logistics</v>
          </cell>
        </row>
        <row r="3855">
          <cell r="B3855" t="str">
            <v>SIDDHARTH EDUCATION SERVICES LTD</v>
          </cell>
          <cell r="C3855">
            <v>540736</v>
          </cell>
          <cell r="D3855" t="str">
            <v>Not Listed</v>
          </cell>
          <cell r="E3855" t="str">
            <v>Education</v>
          </cell>
        </row>
        <row r="3856">
          <cell r="B3856" t="str">
            <v>SIDH AUTOMOBILES LTD</v>
          </cell>
          <cell r="C3856">
            <v>539983</v>
          </cell>
          <cell r="D3856" t="str">
            <v>Not Listed</v>
          </cell>
          <cell r="E3856" t="str">
            <v>Other Financial Services</v>
          </cell>
        </row>
        <row r="3857">
          <cell r="B3857" t="str">
            <v>SIEL FINANCIAL SERVICES LTD</v>
          </cell>
          <cell r="C3857">
            <v>532217</v>
          </cell>
          <cell r="D3857" t="str">
            <v>Not Listed</v>
          </cell>
          <cell r="E3857" t="str">
            <v>Other Financial Services</v>
          </cell>
        </row>
        <row r="3858">
          <cell r="B3858" t="str">
            <v>SIEMENS LTD</v>
          </cell>
          <cell r="C3858">
            <v>500550</v>
          </cell>
          <cell r="D3858" t="str">
            <v>SIEMENS</v>
          </cell>
          <cell r="E3858" t="str">
            <v>Heavy Electrical Equipment</v>
          </cell>
        </row>
        <row r="3859">
          <cell r="B3859" t="str">
            <v>SIGNET INDUSTRIES LTD</v>
          </cell>
          <cell r="C3859">
            <v>512131</v>
          </cell>
          <cell r="D3859" t="str">
            <v>SIGIND</v>
          </cell>
          <cell r="E3859" t="str">
            <v>Plastic Products</v>
          </cell>
        </row>
        <row r="3860">
          <cell r="B3860" t="str">
            <v>SIKA INTERPLANT SYSTEMS LTD</v>
          </cell>
          <cell r="C3860">
            <v>523606</v>
          </cell>
          <cell r="D3860" t="str">
            <v>Not Listed</v>
          </cell>
          <cell r="E3860" t="str">
            <v>Defence</v>
          </cell>
        </row>
        <row r="3861">
          <cell r="B3861" t="str">
            <v>SIKKO INDUSTRIES LTD</v>
          </cell>
          <cell r="C3861" t="str">
            <v>Not Listed</v>
          </cell>
          <cell r="D3861" t="str">
            <v>SIKKO</v>
          </cell>
          <cell r="E3861" t="str">
            <v>SME</v>
          </cell>
        </row>
        <row r="3862">
          <cell r="B3862" t="str">
            <v>SIKOZY REALTORS LTD</v>
          </cell>
          <cell r="C3862">
            <v>524642</v>
          </cell>
          <cell r="D3862" t="str">
            <v>Not Listed</v>
          </cell>
          <cell r="E3862" t="str">
            <v>Realty</v>
          </cell>
        </row>
        <row r="3863">
          <cell r="B3863" t="str">
            <v>SIL INVESTMENTS LTD</v>
          </cell>
          <cell r="C3863">
            <v>521194</v>
          </cell>
          <cell r="D3863" t="str">
            <v>SILINV</v>
          </cell>
          <cell r="E3863" t="str">
            <v>Other Financial Services</v>
          </cell>
        </row>
        <row r="3864">
          <cell r="B3864" t="str">
            <v>SILGO RETAIL LTD</v>
          </cell>
          <cell r="C3864" t="str">
            <v>Not Listed</v>
          </cell>
          <cell r="D3864" t="str">
            <v>SILGO</v>
          </cell>
          <cell r="E3864" t="str">
            <v>SME</v>
          </cell>
        </row>
        <row r="3865">
          <cell r="B3865" t="str">
            <v>SILLY MONKS ENTERTAINMENT LTD</v>
          </cell>
          <cell r="C3865" t="str">
            <v>Not Listed</v>
          </cell>
          <cell r="D3865" t="str">
            <v>SILLYMONKS</v>
          </cell>
          <cell r="E3865" t="str">
            <v>SME</v>
          </cell>
        </row>
        <row r="3866">
          <cell r="B3866" t="str">
            <v>SILVER OAK (INDIA) LTD</v>
          </cell>
          <cell r="C3866">
            <v>531635</v>
          </cell>
          <cell r="D3866" t="str">
            <v>Not Listed</v>
          </cell>
          <cell r="E3866" t="str">
            <v>Breweries &amp; Distilleries</v>
          </cell>
        </row>
        <row r="3867">
          <cell r="B3867" t="str">
            <v>SILVER OAK COMMERCIAL LTD</v>
          </cell>
          <cell r="C3867">
            <v>512197</v>
          </cell>
          <cell r="D3867" t="str">
            <v>Not Listed</v>
          </cell>
          <cell r="E3867" t="str">
            <v>Finance (including NBFCs)</v>
          </cell>
        </row>
        <row r="3868">
          <cell r="B3868" t="str">
            <v>SILVER OAK INDIA LTD</v>
          </cell>
          <cell r="C3868">
            <v>531635</v>
          </cell>
          <cell r="D3868" t="str">
            <v>Not Listed</v>
          </cell>
          <cell r="E3868" t="str">
            <v>Breweries &amp; Distilleries</v>
          </cell>
        </row>
        <row r="3869">
          <cell r="B3869" t="str">
            <v>SILVER TOUCH TECHNOLOGIES LTD</v>
          </cell>
          <cell r="C3869" t="str">
            <v>Not Listed</v>
          </cell>
          <cell r="D3869" t="str">
            <v>SILVERTUC</v>
          </cell>
          <cell r="E3869" t="str">
            <v>SME</v>
          </cell>
        </row>
        <row r="3870">
          <cell r="B3870" t="str">
            <v>SILVERPOINT INFRATECH LTD</v>
          </cell>
          <cell r="C3870">
            <v>536073</v>
          </cell>
          <cell r="D3870" t="str">
            <v>Not Listed</v>
          </cell>
          <cell r="E3870" t="str">
            <v>Construction &amp; Engineering</v>
          </cell>
        </row>
        <row r="3871">
          <cell r="B3871" t="str">
            <v>SIMBHAOLI SUGARS LTD</v>
          </cell>
          <cell r="C3871">
            <v>539742</v>
          </cell>
          <cell r="D3871" t="str">
            <v>SIMBHALS</v>
          </cell>
          <cell r="E3871" t="str">
            <v>Sugar</v>
          </cell>
        </row>
        <row r="3872">
          <cell r="B3872" t="str">
            <v>SIMMONDS MARSHALL LTD</v>
          </cell>
          <cell r="C3872">
            <v>507998</v>
          </cell>
          <cell r="D3872" t="str">
            <v>Not Listed</v>
          </cell>
          <cell r="E3872" t="str">
            <v>Auto Parts &amp; Equipment</v>
          </cell>
        </row>
        <row r="3873">
          <cell r="B3873" t="str">
            <v>SIMPLEX CASTINGS LTD</v>
          </cell>
          <cell r="C3873">
            <v>513472</v>
          </cell>
          <cell r="D3873" t="str">
            <v>Not Listed</v>
          </cell>
          <cell r="E3873" t="str">
            <v>Other Industrial Products</v>
          </cell>
        </row>
        <row r="3874">
          <cell r="B3874" t="str">
            <v>SIMPLEX INFRASTRUCTURES LTD</v>
          </cell>
          <cell r="C3874">
            <v>523838</v>
          </cell>
          <cell r="D3874" t="str">
            <v>SIMPLEXINF</v>
          </cell>
          <cell r="E3874" t="str">
            <v>Construction &amp; Engineering</v>
          </cell>
        </row>
        <row r="3875">
          <cell r="B3875" t="str">
            <v>SIMPLEX MILLS COMPANY LTD</v>
          </cell>
          <cell r="C3875">
            <v>533018</v>
          </cell>
          <cell r="D3875" t="str">
            <v>Not Listed</v>
          </cell>
          <cell r="E3875" t="str">
            <v>Textiles</v>
          </cell>
        </row>
        <row r="3876">
          <cell r="B3876" t="str">
            <v>SIMPLEX PAPERS LTD</v>
          </cell>
          <cell r="C3876">
            <v>533019</v>
          </cell>
          <cell r="D3876" t="str">
            <v>Not Listed</v>
          </cell>
          <cell r="E3876" t="str">
            <v>Paper &amp; Paper Products</v>
          </cell>
        </row>
        <row r="3877">
          <cell r="B3877" t="str">
            <v>SIMPLEX REALTY LTD</v>
          </cell>
          <cell r="C3877">
            <v>503229</v>
          </cell>
          <cell r="D3877" t="str">
            <v>Not Listed</v>
          </cell>
          <cell r="E3877" t="str">
            <v>Realty</v>
          </cell>
        </row>
        <row r="3878">
          <cell r="B3878" t="str">
            <v>SIMRAN FARMS LTD</v>
          </cell>
          <cell r="C3878">
            <v>519566</v>
          </cell>
          <cell r="D3878" t="str">
            <v>Not Listed</v>
          </cell>
          <cell r="E3878" t="str">
            <v>Packaged Foods</v>
          </cell>
        </row>
        <row r="3879">
          <cell r="B3879" t="str">
            <v>SINCLAIRS HOTELS LTD</v>
          </cell>
          <cell r="C3879">
            <v>523023</v>
          </cell>
          <cell r="D3879" t="str">
            <v>Not Listed</v>
          </cell>
          <cell r="E3879" t="str">
            <v>Hotels</v>
          </cell>
        </row>
        <row r="3880">
          <cell r="B3880" t="str">
            <v>SINDHU TRADE LINKS LTD</v>
          </cell>
          <cell r="C3880">
            <v>532029</v>
          </cell>
          <cell r="D3880" t="str">
            <v>Not Listed</v>
          </cell>
          <cell r="E3880" t="str">
            <v>Misc.Commercial Services</v>
          </cell>
        </row>
        <row r="3881">
          <cell r="B3881" t="str">
            <v>SINDU VALLEY TECHNOLOGIES LTD</v>
          </cell>
          <cell r="C3881">
            <v>505504</v>
          </cell>
          <cell r="D3881" t="str">
            <v>Not Listed</v>
          </cell>
          <cell r="E3881" t="str">
            <v>IT Consulting &amp; Software</v>
          </cell>
        </row>
        <row r="3882">
          <cell r="B3882" t="str">
            <v>SINGER (INDIA) LTD</v>
          </cell>
          <cell r="C3882">
            <v>505729</v>
          </cell>
          <cell r="D3882" t="str">
            <v>Not Listed</v>
          </cell>
          <cell r="E3882" t="str">
            <v>Industrial Machinery</v>
          </cell>
        </row>
        <row r="3883">
          <cell r="B3883" t="str">
            <v>SINGER INDIA LTD</v>
          </cell>
          <cell r="C3883">
            <v>505729</v>
          </cell>
          <cell r="D3883" t="str">
            <v>Not Listed</v>
          </cell>
          <cell r="E3883" t="str">
            <v>Industrial Machinery</v>
          </cell>
        </row>
        <row r="3884">
          <cell r="B3884" t="str">
            <v>SINNAR BIDI UDYOG LTD</v>
          </cell>
          <cell r="C3884">
            <v>509887</v>
          </cell>
          <cell r="D3884" t="str">
            <v>Not Listed</v>
          </cell>
          <cell r="E3884" t="str">
            <v>Cigarettes-Tobacco Products</v>
          </cell>
        </row>
        <row r="3885">
          <cell r="B3885" t="str">
            <v>SINNER ENERGY (INDIA) LTD</v>
          </cell>
          <cell r="C3885">
            <v>539410</v>
          </cell>
          <cell r="D3885" t="str">
            <v>Not Listed</v>
          </cell>
          <cell r="E3885" t="str">
            <v>Comm.Trading  &amp; Distribution</v>
          </cell>
        </row>
        <row r="3886">
          <cell r="B3886" t="str">
            <v>SINNER ENERGY INDIA LTD</v>
          </cell>
          <cell r="C3886">
            <v>539410</v>
          </cell>
          <cell r="D3886" t="str">
            <v>Not Listed</v>
          </cell>
          <cell r="E3886" t="str">
            <v>Comm.Trading  &amp; Distribution</v>
          </cell>
        </row>
        <row r="3887">
          <cell r="B3887" t="str">
            <v>SINTERCOM (INDIA) LTD</v>
          </cell>
          <cell r="C3887" t="str">
            <v>Not Listed</v>
          </cell>
          <cell r="D3887" t="str">
            <v>SINTERCOM</v>
          </cell>
          <cell r="E3887" t="str">
            <v>SME</v>
          </cell>
        </row>
        <row r="3888">
          <cell r="B3888" t="str">
            <v>SINTERCOM INDIA LTD</v>
          </cell>
          <cell r="C3888" t="str">
            <v>Not Listed</v>
          </cell>
          <cell r="D3888" t="str">
            <v>SINTERCOM</v>
          </cell>
          <cell r="E3888" t="str">
            <v>SME</v>
          </cell>
        </row>
        <row r="3889">
          <cell r="B3889" t="str">
            <v>SINTEX INDUSTRIES LTD</v>
          </cell>
          <cell r="C3889">
            <v>502742</v>
          </cell>
          <cell r="D3889" t="str">
            <v>SINTEX</v>
          </cell>
          <cell r="E3889" t="str">
            <v>Textiles</v>
          </cell>
        </row>
        <row r="3890">
          <cell r="B3890" t="str">
            <v>SINTEX PLASTICS TECHNOLOGY LTD</v>
          </cell>
          <cell r="C3890">
            <v>540653</v>
          </cell>
          <cell r="D3890" t="str">
            <v>SPTL</v>
          </cell>
          <cell r="E3890" t="str">
            <v>Plastic Products</v>
          </cell>
        </row>
        <row r="3891">
          <cell r="B3891" t="str">
            <v>SIP INDUSTRIES LTD</v>
          </cell>
          <cell r="C3891">
            <v>523164</v>
          </cell>
          <cell r="D3891" t="str">
            <v>Not Listed</v>
          </cell>
          <cell r="E3891" t="str">
            <v>Other Agricultural Products</v>
          </cell>
        </row>
        <row r="3892">
          <cell r="B3892" t="str">
            <v>SIR SHADI LAL ENTERPRISES LTD</v>
          </cell>
          <cell r="C3892">
            <v>532879</v>
          </cell>
          <cell r="D3892" t="str">
            <v>Not Listed</v>
          </cell>
          <cell r="E3892" t="str">
            <v>Sugar</v>
          </cell>
        </row>
        <row r="3893">
          <cell r="B3893" t="str">
            <v>SIRCA PAINTS (INDIA) LTD</v>
          </cell>
          <cell r="C3893" t="str">
            <v>Not Listed</v>
          </cell>
          <cell r="D3893" t="str">
            <v>SIRCA</v>
          </cell>
          <cell r="E3893" t="str">
            <v>SME</v>
          </cell>
        </row>
        <row r="3894">
          <cell r="B3894" t="str">
            <v>SIRCA PAINTS INDIA LTD</v>
          </cell>
          <cell r="C3894" t="str">
            <v>Not Listed</v>
          </cell>
          <cell r="D3894" t="str">
            <v>SIRCA</v>
          </cell>
          <cell r="E3894" t="str">
            <v>SME</v>
          </cell>
        </row>
        <row r="3895">
          <cell r="B3895" t="str">
            <v>SIROHIA &amp; SONS LTD</v>
          </cell>
          <cell r="C3895">
            <v>538667</v>
          </cell>
          <cell r="D3895" t="str">
            <v>Not Listed</v>
          </cell>
          <cell r="E3895" t="str">
            <v>Comm.Trading  &amp; Distribution</v>
          </cell>
        </row>
        <row r="3896">
          <cell r="B3896" t="str">
            <v>SITA ENTERPRISES LTD</v>
          </cell>
          <cell r="C3896">
            <v>512589</v>
          </cell>
          <cell r="D3896" t="str">
            <v>Not Listed</v>
          </cell>
          <cell r="E3896" t="str">
            <v>Comm.Trading  &amp; Distribution</v>
          </cell>
        </row>
        <row r="3897">
          <cell r="B3897" t="str">
            <v>SITA SHREE FOOD PRODUCTS LTD</v>
          </cell>
          <cell r="C3897">
            <v>532961</v>
          </cell>
          <cell r="D3897" t="str">
            <v>SITASHREE</v>
          </cell>
          <cell r="E3897" t="str">
            <v>Other Food Products</v>
          </cell>
        </row>
        <row r="3898">
          <cell r="B3898" t="str">
            <v>SITI NETWORKS LTD</v>
          </cell>
          <cell r="C3898">
            <v>532795</v>
          </cell>
          <cell r="D3898" t="str">
            <v>SITINET</v>
          </cell>
          <cell r="E3898" t="str">
            <v>Broadcasting &amp; Cable TV</v>
          </cell>
        </row>
        <row r="3899">
          <cell r="B3899" t="str">
            <v>SIYARAM SILK MILLS LTD</v>
          </cell>
          <cell r="C3899">
            <v>503811</v>
          </cell>
          <cell r="D3899" t="str">
            <v>SIYSIL</v>
          </cell>
          <cell r="E3899" t="str">
            <v>Textiles</v>
          </cell>
        </row>
        <row r="3900">
          <cell r="B3900" t="str">
            <v>SJ CORPORATION LTD</v>
          </cell>
          <cell r="C3900">
            <v>504398</v>
          </cell>
          <cell r="D3900" t="str">
            <v>Not Listed</v>
          </cell>
          <cell r="E3900" t="str">
            <v>Other Apparels &amp; Accessories</v>
          </cell>
        </row>
        <row r="3901">
          <cell r="B3901" t="str">
            <v>SJVN LTD</v>
          </cell>
          <cell r="C3901">
            <v>533206</v>
          </cell>
          <cell r="D3901" t="str">
            <v>SJVN</v>
          </cell>
          <cell r="E3901" t="str">
            <v>Electric Utilities</v>
          </cell>
        </row>
        <row r="3902">
          <cell r="B3902" t="str">
            <v>SKF (INDIA) LTD</v>
          </cell>
          <cell r="C3902">
            <v>500472</v>
          </cell>
          <cell r="D3902" t="str">
            <v>SKF(INDIA)</v>
          </cell>
          <cell r="E3902" t="str">
            <v>Other Industrial Goods</v>
          </cell>
        </row>
        <row r="3903">
          <cell r="B3903" t="str">
            <v>SKF INDIA LTD</v>
          </cell>
          <cell r="C3903">
            <v>500472</v>
          </cell>
          <cell r="D3903" t="str">
            <v>SKFINDIA</v>
          </cell>
          <cell r="E3903" t="str">
            <v>Other Industrial Goods</v>
          </cell>
        </row>
        <row r="3904">
          <cell r="B3904" t="str">
            <v>SKIL INFRASTRUCTURE LTD</v>
          </cell>
          <cell r="C3904">
            <v>539861</v>
          </cell>
          <cell r="D3904" t="str">
            <v>SKIL</v>
          </cell>
          <cell r="E3904" t="str">
            <v>Construction &amp; Engineering</v>
          </cell>
        </row>
        <row r="3905">
          <cell r="B3905" t="str">
            <v>SKIPPER LTD</v>
          </cell>
          <cell r="C3905">
            <v>538562</v>
          </cell>
          <cell r="D3905" t="str">
            <v>SKIPPER</v>
          </cell>
          <cell r="E3905" t="str">
            <v>Construction &amp; Engineering</v>
          </cell>
        </row>
        <row r="3906">
          <cell r="B3906" t="str">
            <v>SKM EGG PRODUCTS EXPORT (INDIA) LTD</v>
          </cell>
          <cell r="C3906">
            <v>532143</v>
          </cell>
          <cell r="D3906" t="str">
            <v>SKMEGGPROD</v>
          </cell>
          <cell r="E3906" t="str">
            <v>Other Food Products</v>
          </cell>
        </row>
        <row r="3907">
          <cell r="B3907" t="str">
            <v>SKM EGG PRODUCTS EXPORT INDIA LTD</v>
          </cell>
          <cell r="C3907">
            <v>532143</v>
          </cell>
          <cell r="D3907" t="str">
            <v>SKMEGGPROD</v>
          </cell>
          <cell r="E3907" t="str">
            <v>Other Food Products</v>
          </cell>
        </row>
        <row r="3908">
          <cell r="B3908" t="str">
            <v>SKP SECURITIES LTD</v>
          </cell>
          <cell r="C3908">
            <v>531169</v>
          </cell>
          <cell r="D3908" t="str">
            <v>Not Listed</v>
          </cell>
          <cell r="E3908" t="str">
            <v>Finance (including NBFCs)</v>
          </cell>
        </row>
        <row r="3909">
          <cell r="B3909" t="str">
            <v>SKS TEXTILES LTD</v>
          </cell>
          <cell r="C3909" t="str">
            <v>Not Listed</v>
          </cell>
          <cell r="D3909" t="str">
            <v>SKSTEXTILE</v>
          </cell>
          <cell r="E3909" t="str">
            <v>SME</v>
          </cell>
        </row>
        <row r="3910">
          <cell r="B3910" t="str">
            <v>SKY GOLD LTD</v>
          </cell>
          <cell r="C3910">
            <v>541967</v>
          </cell>
          <cell r="D3910" t="str">
            <v>Not Listed</v>
          </cell>
          <cell r="E3910" t="str">
            <v>Other Apparels &amp; Accessories</v>
          </cell>
        </row>
        <row r="3911">
          <cell r="B3911" t="str">
            <v>SKY INDUSTRIES LTD</v>
          </cell>
          <cell r="C3911">
            <v>526479</v>
          </cell>
          <cell r="D3911" t="str">
            <v>Not Listed</v>
          </cell>
          <cell r="E3911" t="str">
            <v>Textiles</v>
          </cell>
        </row>
        <row r="3912">
          <cell r="B3912" t="str">
            <v>SKYLINE MILLARS LTD</v>
          </cell>
          <cell r="C3912">
            <v>505650</v>
          </cell>
          <cell r="D3912" t="str">
            <v>Not Listed</v>
          </cell>
          <cell r="E3912" t="str">
            <v>Commercial Vehicles</v>
          </cell>
        </row>
        <row r="3913">
          <cell r="B3913" t="str">
            <v>SKYLINE VENTURES (INDIA) LTD</v>
          </cell>
          <cell r="C3913">
            <v>538919</v>
          </cell>
          <cell r="D3913" t="str">
            <v>Not Listed</v>
          </cell>
          <cell r="E3913" t="str">
            <v>Realty</v>
          </cell>
        </row>
        <row r="3914">
          <cell r="B3914" t="str">
            <v>SKYLINE VENTURES INDIA LTD</v>
          </cell>
          <cell r="C3914">
            <v>538919</v>
          </cell>
          <cell r="D3914" t="str">
            <v>Not Listed</v>
          </cell>
          <cell r="E3914" t="str">
            <v>Realty</v>
          </cell>
        </row>
        <row r="3915">
          <cell r="B3915" t="str">
            <v>SMART FINSEC LTD</v>
          </cell>
          <cell r="C3915">
            <v>539494</v>
          </cell>
          <cell r="D3915" t="str">
            <v>Not Listed</v>
          </cell>
          <cell r="E3915" t="str">
            <v>Finance (including NBFCs)</v>
          </cell>
        </row>
        <row r="3916">
          <cell r="B3916" t="str">
            <v>SMARTLINK HOLDINGS LTD</v>
          </cell>
          <cell r="C3916">
            <v>532419</v>
          </cell>
          <cell r="D3916" t="str">
            <v>SMARTLINK</v>
          </cell>
          <cell r="E3916" t="str">
            <v>IT Networking Equipment</v>
          </cell>
        </row>
        <row r="3917">
          <cell r="B3917" t="str">
            <v>SMIFS CAPITAL MARKETS LTD</v>
          </cell>
          <cell r="C3917">
            <v>508905</v>
          </cell>
          <cell r="D3917" t="str">
            <v>Not Listed</v>
          </cell>
          <cell r="E3917" t="str">
            <v>Other Financial Services</v>
          </cell>
        </row>
        <row r="3918">
          <cell r="B3918" t="str">
            <v>SML ISUZU LTD</v>
          </cell>
          <cell r="C3918">
            <v>505192</v>
          </cell>
          <cell r="D3918" t="str">
            <v>SMLISUZU</v>
          </cell>
          <cell r="E3918" t="str">
            <v>Commercial Vehicles</v>
          </cell>
        </row>
        <row r="3919">
          <cell r="B3919" t="str">
            <v>SMRUTHI ORGANICS LTD</v>
          </cell>
          <cell r="C3919">
            <v>540686</v>
          </cell>
          <cell r="D3919" t="str">
            <v>Not Listed</v>
          </cell>
          <cell r="E3919" t="str">
            <v>Pharmaceuticals</v>
          </cell>
        </row>
        <row r="3920">
          <cell r="B3920" t="str">
            <v>SMS LIFESCIENCES (INDIA) LTD</v>
          </cell>
          <cell r="C3920">
            <v>540679</v>
          </cell>
          <cell r="D3920" t="str">
            <v>SMSLIFE</v>
          </cell>
          <cell r="E3920" t="str">
            <v>Pharmaceuticals</v>
          </cell>
        </row>
        <row r="3921">
          <cell r="B3921" t="str">
            <v>SMS LIFESCIENCES INDIA LTD</v>
          </cell>
          <cell r="C3921">
            <v>540679</v>
          </cell>
          <cell r="D3921" t="str">
            <v>SMSLIFE</v>
          </cell>
          <cell r="E3921" t="str">
            <v>Pharmaceuticals</v>
          </cell>
        </row>
        <row r="3922">
          <cell r="B3922" t="str">
            <v>SMS PHARMACEUTICALS LTD</v>
          </cell>
          <cell r="C3922">
            <v>532815</v>
          </cell>
          <cell r="D3922" t="str">
            <v>SMSPHARMA</v>
          </cell>
          <cell r="E3922" t="str">
            <v>Pharmaceuticals</v>
          </cell>
        </row>
        <row r="3923">
          <cell r="B3923" t="str">
            <v>SMVD POLY PACK LTD</v>
          </cell>
          <cell r="C3923" t="str">
            <v>Not Listed</v>
          </cell>
          <cell r="D3923" t="str">
            <v>SMVD</v>
          </cell>
          <cell r="E3923" t="str">
            <v>SME</v>
          </cell>
        </row>
        <row r="3924">
          <cell r="B3924" t="str">
            <v>SNL BEARINGS LTD</v>
          </cell>
          <cell r="C3924">
            <v>505827</v>
          </cell>
          <cell r="D3924" t="str">
            <v>Not Listed</v>
          </cell>
          <cell r="E3924" t="str">
            <v>Other Industrial Goods</v>
          </cell>
        </row>
        <row r="3925">
          <cell r="B3925" t="str">
            <v>SNOWMAN LOGISTICS LTD</v>
          </cell>
          <cell r="C3925">
            <v>538635</v>
          </cell>
          <cell r="D3925" t="str">
            <v>SNOWMAN</v>
          </cell>
          <cell r="E3925" t="str">
            <v>Transportation - Logistics</v>
          </cell>
        </row>
        <row r="3926">
          <cell r="B3926" t="str">
            <v>SOBHA LTD</v>
          </cell>
          <cell r="C3926">
            <v>532784</v>
          </cell>
          <cell r="D3926" t="str">
            <v>SOBHA</v>
          </cell>
          <cell r="E3926" t="str">
            <v>Realty</v>
          </cell>
        </row>
        <row r="3927">
          <cell r="B3927" t="str">
            <v>SOBHAGYA MERCHANTILE LTD</v>
          </cell>
          <cell r="C3927">
            <v>512014</v>
          </cell>
          <cell r="D3927" t="str">
            <v>Not Listed</v>
          </cell>
          <cell r="E3927" t="str">
            <v>Misc.Commercial Services</v>
          </cell>
        </row>
        <row r="3928">
          <cell r="B3928" t="str">
            <v>SOFCOM SYSTEMS LTD</v>
          </cell>
          <cell r="C3928">
            <v>538923</v>
          </cell>
          <cell r="D3928" t="str">
            <v>Not Listed</v>
          </cell>
          <cell r="E3928" t="str">
            <v>IT Consulting &amp; Software</v>
          </cell>
        </row>
        <row r="3929">
          <cell r="B3929" t="str">
            <v>SOFTBPO GLOBAL SERVICES LTD</v>
          </cell>
          <cell r="C3929">
            <v>504375</v>
          </cell>
          <cell r="D3929" t="str">
            <v>Not Listed</v>
          </cell>
          <cell r="E3929" t="str">
            <v>IT Consulting &amp; Software</v>
          </cell>
        </row>
        <row r="3930">
          <cell r="B3930" t="str">
            <v>SOFTSOL (INDIA) LTD</v>
          </cell>
          <cell r="C3930">
            <v>532344</v>
          </cell>
          <cell r="D3930" t="str">
            <v>Not Listed</v>
          </cell>
          <cell r="E3930" t="str">
            <v>IT Software Products</v>
          </cell>
        </row>
        <row r="3931">
          <cell r="B3931" t="str">
            <v>SOFTSOL INDIA LTD</v>
          </cell>
          <cell r="C3931">
            <v>532344</v>
          </cell>
          <cell r="D3931" t="str">
            <v>Not Listed</v>
          </cell>
          <cell r="E3931" t="str">
            <v>IT Software Products</v>
          </cell>
        </row>
        <row r="3932">
          <cell r="B3932" t="str">
            <v>SOFTTECH ENGINEERS LTD</v>
          </cell>
          <cell r="C3932" t="str">
            <v>Not Listed</v>
          </cell>
          <cell r="D3932" t="str">
            <v>SOFTTECH</v>
          </cell>
          <cell r="E3932" t="str">
            <v>SME</v>
          </cell>
        </row>
        <row r="3933">
          <cell r="B3933" t="str">
            <v>SOLAR INDUSTRIES (INDIA) LTD</v>
          </cell>
          <cell r="C3933">
            <v>532725</v>
          </cell>
          <cell r="D3933" t="str">
            <v>SOLARINDS</v>
          </cell>
          <cell r="E3933" t="str">
            <v>Specialty Chemicals</v>
          </cell>
        </row>
        <row r="3934">
          <cell r="B3934" t="str">
            <v>SOLAR INDUSTRIES INDIA LTD</v>
          </cell>
          <cell r="C3934">
            <v>532725</v>
          </cell>
          <cell r="D3934" t="str">
            <v>SOLARINDS</v>
          </cell>
          <cell r="E3934" t="str">
            <v>Specialty Chemicals</v>
          </cell>
        </row>
        <row r="3935">
          <cell r="B3935" t="str">
            <v>SOLARA ACTIVE PHARMA SCIENCES LTD</v>
          </cell>
          <cell r="C3935">
            <v>541540</v>
          </cell>
          <cell r="D3935" t="str">
            <v>SOLARA</v>
          </cell>
          <cell r="E3935" t="str">
            <v>Pharmaceuticals</v>
          </cell>
        </row>
        <row r="3936">
          <cell r="B3936" t="str">
            <v>SOLEX ENERGY LTD</v>
          </cell>
          <cell r="C3936" t="str">
            <v>Not Listed</v>
          </cell>
          <cell r="D3936" t="str">
            <v>SOLEX</v>
          </cell>
          <cell r="E3936" t="str">
            <v>SME</v>
          </cell>
        </row>
        <row r="3937">
          <cell r="B3937" t="str">
            <v>SOLID CARBIDE TOOLS LTD</v>
          </cell>
          <cell r="C3937">
            <v>500394</v>
          </cell>
          <cell r="D3937" t="str">
            <v>Not Listed</v>
          </cell>
          <cell r="E3937" t="str">
            <v>Other Industrial Goods</v>
          </cell>
        </row>
        <row r="3938">
          <cell r="B3938" t="str">
            <v>SOLID CONTAINERS LTD</v>
          </cell>
          <cell r="C3938">
            <v>502460</v>
          </cell>
          <cell r="D3938" t="str">
            <v>Not Listed</v>
          </cell>
          <cell r="E3938" t="str">
            <v>Paper &amp; Paper Products</v>
          </cell>
        </row>
        <row r="3939">
          <cell r="B3939" t="str">
            <v>SOLID STONE COMPANY LTD</v>
          </cell>
          <cell r="C3939">
            <v>513699</v>
          </cell>
          <cell r="D3939" t="str">
            <v>Not Listed</v>
          </cell>
          <cell r="E3939" t="str">
            <v>Construction Materials</v>
          </cell>
        </row>
        <row r="3940">
          <cell r="B3940" t="str">
            <v>SOLIS MARKETING LTD</v>
          </cell>
          <cell r="C3940">
            <v>538575</v>
          </cell>
          <cell r="D3940" t="str">
            <v>Not Listed</v>
          </cell>
          <cell r="E3940" t="str">
            <v>Comm.Trading  &amp; Distribution</v>
          </cell>
        </row>
        <row r="3941">
          <cell r="B3941" t="str">
            <v>SOLITAIRE MACHINE TOOLS LTD</v>
          </cell>
          <cell r="C3941">
            <v>522152</v>
          </cell>
          <cell r="D3941" t="str">
            <v>Not Listed</v>
          </cell>
          <cell r="E3941" t="str">
            <v>Industrial Machinery</v>
          </cell>
        </row>
        <row r="3942">
          <cell r="B3942" t="str">
            <v>SOM DATT FINANCE CORPORATION LTD</v>
          </cell>
          <cell r="C3942">
            <v>511571</v>
          </cell>
          <cell r="D3942" t="str">
            <v>Not Listed</v>
          </cell>
          <cell r="E3942" t="str">
            <v>Finance (including NBFCs)</v>
          </cell>
        </row>
        <row r="3943">
          <cell r="B3943" t="str">
            <v>SOM DISTILLERIES &amp; BREWERIES LTD</v>
          </cell>
          <cell r="C3943">
            <v>507514</v>
          </cell>
          <cell r="D3943" t="str">
            <v>SDBL</v>
          </cell>
          <cell r="E3943" t="str">
            <v>Breweries &amp; Distilleries</v>
          </cell>
        </row>
        <row r="3944">
          <cell r="B3944" t="str">
            <v>SOMA TEXTILES &amp; INDUSTRIES LTD</v>
          </cell>
          <cell r="C3944">
            <v>521034</v>
          </cell>
          <cell r="D3944" t="str">
            <v>SOMATEX</v>
          </cell>
          <cell r="E3944" t="str">
            <v>Textiles</v>
          </cell>
        </row>
        <row r="3945">
          <cell r="B3945" t="str">
            <v>SOMANY CERAMICS LTD</v>
          </cell>
          <cell r="C3945">
            <v>531548</v>
          </cell>
          <cell r="D3945" t="str">
            <v>SOMANYCERA</v>
          </cell>
          <cell r="E3945" t="str">
            <v>Furniture-Furnishing-Paints</v>
          </cell>
        </row>
        <row r="3946">
          <cell r="B3946" t="str">
            <v>SOMI CONVEYOR BELTINGS LTD</v>
          </cell>
          <cell r="C3946">
            <v>533001</v>
          </cell>
          <cell r="D3946" t="str">
            <v>SOMICONVEY</v>
          </cell>
          <cell r="E3946" t="str">
            <v>Industrial Machinery</v>
          </cell>
        </row>
        <row r="3947">
          <cell r="B3947" t="str">
            <v>SONAL ADHESIVES LTD</v>
          </cell>
          <cell r="C3947">
            <v>526901</v>
          </cell>
          <cell r="D3947" t="str">
            <v>Not Listed</v>
          </cell>
          <cell r="E3947" t="str">
            <v>Commodity Chemicals</v>
          </cell>
        </row>
        <row r="3948">
          <cell r="B3948" t="str">
            <v>SONAL MERCANTILE LTD</v>
          </cell>
          <cell r="C3948">
            <v>538943</v>
          </cell>
          <cell r="D3948" t="str">
            <v>Not Listed</v>
          </cell>
          <cell r="E3948" t="str">
            <v>Finance (including NBFCs)</v>
          </cell>
        </row>
        <row r="3949">
          <cell r="B3949" t="str">
            <v>SONAM CLOCK LTD</v>
          </cell>
          <cell r="C3949" t="str">
            <v>Not Listed</v>
          </cell>
          <cell r="D3949" t="str">
            <v>SONAMCLOCK</v>
          </cell>
          <cell r="E3949" t="str">
            <v>SME</v>
          </cell>
        </row>
        <row r="3950">
          <cell r="B3950" t="str">
            <v>SONATA SOFTWARE LTD</v>
          </cell>
          <cell r="C3950">
            <v>532221</v>
          </cell>
          <cell r="D3950" t="str">
            <v>SONATSOFTW</v>
          </cell>
          <cell r="E3950" t="str">
            <v>IT Consulting &amp; Software</v>
          </cell>
        </row>
        <row r="3951">
          <cell r="B3951" t="str">
            <v>SONI MEDICARE LTD</v>
          </cell>
          <cell r="C3951">
            <v>539378</v>
          </cell>
          <cell r="D3951" t="str">
            <v>Not Listed</v>
          </cell>
          <cell r="E3951" t="str">
            <v>Healthcare Facilities</v>
          </cell>
        </row>
        <row r="3952">
          <cell r="B3952" t="str">
            <v>SONI SOYA PRODUCTS LTD</v>
          </cell>
          <cell r="C3952" t="str">
            <v>Not Listed</v>
          </cell>
          <cell r="D3952" t="str">
            <v>SONISOYA</v>
          </cell>
          <cell r="E3952" t="str">
            <v>SME</v>
          </cell>
        </row>
        <row r="3953">
          <cell r="B3953" t="str">
            <v>SOPHIA TRAEXPO LTD</v>
          </cell>
          <cell r="C3953">
            <v>541633</v>
          </cell>
          <cell r="D3953" t="str">
            <v>Not Listed</v>
          </cell>
          <cell r="E3953" t="str">
            <v>Paper &amp; Paper Products</v>
          </cell>
        </row>
        <row r="3954">
          <cell r="B3954" t="str">
            <v>SORIL INFRA RESOURCES LTD</v>
          </cell>
          <cell r="C3954">
            <v>532679</v>
          </cell>
          <cell r="D3954" t="str">
            <v>SORILINFRA</v>
          </cell>
          <cell r="E3954" t="str">
            <v>Diversified</v>
          </cell>
        </row>
        <row r="3955">
          <cell r="B3955" t="str">
            <v>SOURCE INDUSTRIES (INDIA) LTD</v>
          </cell>
          <cell r="C3955">
            <v>521036</v>
          </cell>
          <cell r="D3955" t="str">
            <v>Not Listed</v>
          </cell>
          <cell r="E3955" t="str">
            <v>Textiles</v>
          </cell>
        </row>
        <row r="3956">
          <cell r="B3956" t="str">
            <v>SOURCE INDUSTRIES INDIA LTD</v>
          </cell>
          <cell r="C3956">
            <v>521036</v>
          </cell>
          <cell r="D3956" t="str">
            <v>Not Listed</v>
          </cell>
          <cell r="E3956" t="str">
            <v>Textiles</v>
          </cell>
        </row>
        <row r="3957">
          <cell r="B3957" t="str">
            <v>SOURCE NATURAL FOODS &amp; HERBAL SUPPL LTD</v>
          </cell>
          <cell r="C3957">
            <v>531398</v>
          </cell>
          <cell r="D3957" t="str">
            <v>Not Listed</v>
          </cell>
          <cell r="E3957" t="str">
            <v>Pharmaceuticals</v>
          </cell>
        </row>
        <row r="3958">
          <cell r="B3958" t="str">
            <v>SOUTH ASIAN ENTERPRISES LTD</v>
          </cell>
          <cell r="C3958">
            <v>526477</v>
          </cell>
          <cell r="D3958" t="str">
            <v>Not Listed</v>
          </cell>
          <cell r="E3958" t="str">
            <v>Other Leisure Facilities</v>
          </cell>
        </row>
        <row r="3959">
          <cell r="B3959" t="str">
            <v>SOUTH INDIA PAPER MILLS LTD</v>
          </cell>
          <cell r="C3959">
            <v>516108</v>
          </cell>
          <cell r="D3959" t="str">
            <v>Not Listed</v>
          </cell>
          <cell r="E3959" t="str">
            <v>Paper &amp; Paper Products</v>
          </cell>
        </row>
        <row r="3960">
          <cell r="B3960" t="str">
            <v>SOUTH INDIA PROJECTS LTD</v>
          </cell>
          <cell r="C3960">
            <v>538891</v>
          </cell>
          <cell r="D3960" t="str">
            <v>Not Listed</v>
          </cell>
          <cell r="E3960" t="str">
            <v>Finance (including NBFCs)</v>
          </cell>
        </row>
        <row r="3961">
          <cell r="B3961" t="str">
            <v>SOUTH WEST PINNACLE EXPLORATION LTD</v>
          </cell>
          <cell r="C3961" t="str">
            <v>Not Listed</v>
          </cell>
          <cell r="D3961" t="str">
            <v>SOUTHWEST</v>
          </cell>
          <cell r="E3961" t="str">
            <v>SME</v>
          </cell>
        </row>
        <row r="3962">
          <cell r="B3962" t="str">
            <v>SOUTHERN GAS LTD</v>
          </cell>
          <cell r="C3962">
            <v>509910</v>
          </cell>
          <cell r="D3962" t="str">
            <v>Not Listed</v>
          </cell>
          <cell r="E3962" t="str">
            <v>Commodity Chemicals</v>
          </cell>
        </row>
        <row r="3963">
          <cell r="B3963" t="str">
            <v>SOUTHERN INFOSYS LTD</v>
          </cell>
          <cell r="C3963">
            <v>540174</v>
          </cell>
          <cell r="D3963" t="str">
            <v>Not Listed</v>
          </cell>
          <cell r="E3963" t="str">
            <v>IT Consulting &amp; Software</v>
          </cell>
        </row>
        <row r="3964">
          <cell r="B3964" t="str">
            <v>SOUTHERN LATEX LTD</v>
          </cell>
          <cell r="C3964">
            <v>514454</v>
          </cell>
          <cell r="D3964" t="str">
            <v>Not Listed</v>
          </cell>
          <cell r="E3964" t="str">
            <v>Textiles</v>
          </cell>
        </row>
        <row r="3965">
          <cell r="B3965" t="str">
            <v>SOUTHERN MAGNESIUM &amp; CHEMICALS LTD</v>
          </cell>
          <cell r="C3965">
            <v>513498</v>
          </cell>
          <cell r="D3965" t="str">
            <v>Not Listed</v>
          </cell>
          <cell r="E3965" t="str">
            <v>Mining</v>
          </cell>
        </row>
        <row r="3966">
          <cell r="B3966" t="str">
            <v>SOUTHERN ONLINE BIO TECHNOLOGIES LTD</v>
          </cell>
          <cell r="C3966">
            <v>532669</v>
          </cell>
          <cell r="D3966" t="str">
            <v>Not Listed</v>
          </cell>
          <cell r="E3966" t="str">
            <v>Commodity Chemicals</v>
          </cell>
        </row>
        <row r="3967">
          <cell r="B3967" t="str">
            <v>SOUTHERN PETROCHEMICALS INDUSTRIES CORPORATION LTD</v>
          </cell>
          <cell r="C3967">
            <v>590030</v>
          </cell>
          <cell r="D3967" t="str">
            <v>SPIC</v>
          </cell>
          <cell r="E3967" t="str">
            <v>Fertilizers</v>
          </cell>
        </row>
        <row r="3968">
          <cell r="B3968" t="str">
            <v>SOVEREIGN DIAMONDS LTD</v>
          </cell>
          <cell r="C3968">
            <v>523826</v>
          </cell>
          <cell r="D3968" t="str">
            <v>Not Listed</v>
          </cell>
          <cell r="E3968" t="str">
            <v>Other Apparels &amp; Accessories</v>
          </cell>
        </row>
        <row r="3969">
          <cell r="B3969" t="str">
            <v>SOWBHAGYA MEDIA LTD</v>
          </cell>
          <cell r="C3969">
            <v>532025</v>
          </cell>
          <cell r="D3969" t="str">
            <v>Not Listed</v>
          </cell>
          <cell r="E3969" t="str">
            <v>Movies &amp; Entertainment</v>
          </cell>
        </row>
        <row r="3970">
          <cell r="B3970" t="str">
            <v>SP CAPITAL FINANCING LTD</v>
          </cell>
          <cell r="C3970">
            <v>530289</v>
          </cell>
          <cell r="D3970" t="str">
            <v>Not Listed</v>
          </cell>
          <cell r="E3970" t="str">
            <v>Misc.Commercial Services</v>
          </cell>
        </row>
        <row r="3971">
          <cell r="B3971" t="str">
            <v>SPA Capital Services Ltd</v>
          </cell>
          <cell r="C3971">
            <v>542376</v>
          </cell>
          <cell r="D3971" t="str">
            <v>SPACAPS</v>
          </cell>
          <cell r="E3971" t="str">
            <v>Other Financial Services</v>
          </cell>
        </row>
        <row r="3972">
          <cell r="B3972" t="str">
            <v>SPACE INCUBATRICS TECHNOLOGIES LTD</v>
          </cell>
          <cell r="C3972">
            <v>541890</v>
          </cell>
          <cell r="D3972" t="str">
            <v>Not Listed</v>
          </cell>
          <cell r="E3972" t="str">
            <v>IT Consulting &amp; Software</v>
          </cell>
        </row>
        <row r="3973">
          <cell r="B3973" t="str">
            <v>SPACEAGE PRODUCTS LTD</v>
          </cell>
          <cell r="C3973">
            <v>538920</v>
          </cell>
          <cell r="D3973" t="str">
            <v>Not Listed</v>
          </cell>
          <cell r="E3973" t="str">
            <v>Comm.Trading  &amp; Distribution</v>
          </cell>
        </row>
        <row r="3974">
          <cell r="B3974" t="str">
            <v>SPACENET ENTERPRISES (INDIA) LTD</v>
          </cell>
          <cell r="C3974" t="str">
            <v>Not Listed</v>
          </cell>
          <cell r="D3974" t="str">
            <v>SPCENET</v>
          </cell>
          <cell r="E3974" t="str">
            <v>Others</v>
          </cell>
        </row>
        <row r="3975">
          <cell r="B3975" t="str">
            <v>SPACENET ENTERPRISES INDIA LTD</v>
          </cell>
          <cell r="C3975" t="str">
            <v>Not Listed</v>
          </cell>
          <cell r="D3975" t="str">
            <v>SPCENET</v>
          </cell>
          <cell r="E3975" t="str">
            <v>Others</v>
          </cell>
        </row>
        <row r="3976">
          <cell r="B3976" t="str">
            <v>SPAN DIVERGENT LTD</v>
          </cell>
          <cell r="C3976">
            <v>524727</v>
          </cell>
          <cell r="D3976" t="str">
            <v>Not Listed</v>
          </cell>
          <cell r="E3976" t="str">
            <v>Pharmaceuticals</v>
          </cell>
        </row>
        <row r="3977">
          <cell r="B3977" t="str">
            <v>SPARC SYSTEMS LTD</v>
          </cell>
          <cell r="C3977">
            <v>531370</v>
          </cell>
          <cell r="D3977" t="str">
            <v>Not Listed</v>
          </cell>
          <cell r="E3977" t="str">
            <v>IT Consulting &amp; Software</v>
          </cell>
        </row>
        <row r="3978">
          <cell r="B3978" t="str">
            <v>SPARKLING INDIA FINSHARES LTD</v>
          </cell>
          <cell r="C3978">
            <v>540211</v>
          </cell>
          <cell r="D3978" t="str">
            <v>Not Listed</v>
          </cell>
          <cell r="E3978" t="str">
            <v>Finance (including NBFCs)</v>
          </cell>
        </row>
        <row r="3979">
          <cell r="B3979" t="str">
            <v>SPECIALITY RESTAURANTS LTD</v>
          </cell>
          <cell r="C3979">
            <v>534425</v>
          </cell>
          <cell r="D3979" t="str">
            <v>SPECIALITY</v>
          </cell>
          <cell r="E3979" t="str">
            <v>Restaurants</v>
          </cell>
        </row>
        <row r="3980">
          <cell r="B3980" t="str">
            <v>SPECTRA INDUSTRIES LTD</v>
          </cell>
          <cell r="C3980">
            <v>513687</v>
          </cell>
          <cell r="D3980" t="str">
            <v>Not Listed</v>
          </cell>
          <cell r="E3980" t="str">
            <v>Auto Parts &amp; Equipment</v>
          </cell>
        </row>
        <row r="3981">
          <cell r="B3981" t="str">
            <v>SPECTRUM ELECTRICAL INDUSTRIES LTD</v>
          </cell>
          <cell r="C3981" t="str">
            <v>Not Listed</v>
          </cell>
          <cell r="D3981" t="str">
            <v>SPECTRUM</v>
          </cell>
          <cell r="E3981" t="str">
            <v>SME</v>
          </cell>
        </row>
        <row r="3982">
          <cell r="B3982" t="str">
            <v>SPECTRUM FOODS LTD</v>
          </cell>
          <cell r="C3982">
            <v>531982</v>
          </cell>
          <cell r="D3982" t="str">
            <v>Not Listed</v>
          </cell>
          <cell r="E3982" t="str">
            <v>Other Food Products</v>
          </cell>
        </row>
        <row r="3983">
          <cell r="B3983" t="str">
            <v>SPECULAR MARKETING &amp; FINANCING LTD</v>
          </cell>
          <cell r="C3983">
            <v>512153</v>
          </cell>
          <cell r="D3983" t="str">
            <v>Not Listed</v>
          </cell>
          <cell r="E3983" t="str">
            <v>Misc.Commercial Services</v>
          </cell>
        </row>
        <row r="3984">
          <cell r="B3984" t="str">
            <v>SPEEDAGE COMMERCIALS LTD</v>
          </cell>
          <cell r="C3984">
            <v>512291</v>
          </cell>
          <cell r="D3984" t="str">
            <v>Not Listed</v>
          </cell>
          <cell r="E3984" t="str">
            <v>Other Financial Services</v>
          </cell>
        </row>
        <row r="3985">
          <cell r="B3985" t="str">
            <v>SPEL SEMICONDUCTOR LTD</v>
          </cell>
          <cell r="C3985">
            <v>517166</v>
          </cell>
          <cell r="D3985" t="str">
            <v>Not Listed</v>
          </cell>
          <cell r="E3985" t="str">
            <v>Electronic Components</v>
          </cell>
        </row>
        <row r="3986">
          <cell r="B3986" t="str">
            <v>Spencers Retail Ltd</v>
          </cell>
          <cell r="C3986">
            <v>542337</v>
          </cell>
          <cell r="D3986" t="str">
            <v>SPENCER</v>
          </cell>
          <cell r="E3986" t="str">
            <v>Department Stores</v>
          </cell>
        </row>
        <row r="3987">
          <cell r="B3987" t="str">
            <v>Spencer's Retail LTD</v>
          </cell>
          <cell r="C3987" t="str">
            <v>Not Listed</v>
          </cell>
          <cell r="D3987" t="str">
            <v>SPENCERS</v>
          </cell>
          <cell r="E3987" t="str">
            <v>Department Stores</v>
          </cell>
        </row>
        <row r="3988">
          <cell r="B3988" t="str">
            <v>SPENTA INTERNATIONAL LTD</v>
          </cell>
          <cell r="C3988">
            <v>526161</v>
          </cell>
          <cell r="D3988" t="str">
            <v>Not Listed</v>
          </cell>
          <cell r="E3988" t="str">
            <v>Other Apparels &amp; Accessories</v>
          </cell>
        </row>
        <row r="3989">
          <cell r="B3989" t="str">
            <v>SPENTEX INDUSTRIES LTD</v>
          </cell>
          <cell r="C3989">
            <v>521082</v>
          </cell>
          <cell r="D3989" t="str">
            <v>SPENTEX</v>
          </cell>
          <cell r="E3989" t="str">
            <v>Textiles</v>
          </cell>
        </row>
        <row r="3990">
          <cell r="B3990" t="str">
            <v>SPICE ISLANDS APPARELS LTD</v>
          </cell>
          <cell r="C3990">
            <v>526827</v>
          </cell>
          <cell r="D3990" t="str">
            <v>Not Listed</v>
          </cell>
          <cell r="E3990" t="str">
            <v>Other Apparels &amp; Accessories</v>
          </cell>
        </row>
        <row r="3991">
          <cell r="B3991" t="str">
            <v>SPICE MOBILITY LTD</v>
          </cell>
          <cell r="C3991">
            <v>517214</v>
          </cell>
          <cell r="D3991" t="str">
            <v>SPICEMOBI</v>
          </cell>
          <cell r="E3991" t="str">
            <v>Telecom Equipment</v>
          </cell>
        </row>
        <row r="3992">
          <cell r="B3992" t="str">
            <v>SPICEJET LTD</v>
          </cell>
          <cell r="C3992">
            <v>500285</v>
          </cell>
          <cell r="D3992" t="str">
            <v>Not Listed</v>
          </cell>
          <cell r="E3992" t="str">
            <v>Airlines</v>
          </cell>
        </row>
        <row r="3993">
          <cell r="B3993" t="str">
            <v>SPICY ENTERTAINMENT AND MEDIA LTD</v>
          </cell>
          <cell r="C3993">
            <v>540084</v>
          </cell>
          <cell r="D3993" t="str">
            <v>Not Listed</v>
          </cell>
          <cell r="E3993" t="str">
            <v>Movies &amp; Entertainment</v>
          </cell>
        </row>
        <row r="3994">
          <cell r="B3994" t="str">
            <v>SPL INDUSTRIES LTD</v>
          </cell>
          <cell r="C3994">
            <v>532651</v>
          </cell>
          <cell r="D3994" t="str">
            <v>SPLIL</v>
          </cell>
          <cell r="E3994" t="str">
            <v>Other Apparels &amp; Accessories</v>
          </cell>
        </row>
        <row r="3995">
          <cell r="B3995" t="str">
            <v>SPLENDID METAL PRODUCTS LTD</v>
          </cell>
          <cell r="C3995">
            <v>513414</v>
          </cell>
          <cell r="D3995" t="str">
            <v>SMPL</v>
          </cell>
          <cell r="E3995" t="str">
            <v>Iron &amp; Steel/Interm.Products</v>
          </cell>
        </row>
        <row r="3996">
          <cell r="B3996" t="str">
            <v>SPML INFRA LTD</v>
          </cell>
          <cell r="C3996">
            <v>500402</v>
          </cell>
          <cell r="D3996" t="str">
            <v>SPMLINFRA</v>
          </cell>
          <cell r="E3996" t="str">
            <v>Construction &amp; Engineering</v>
          </cell>
        </row>
        <row r="3997">
          <cell r="B3997" t="str">
            <v>SPORTKING (INDIA) LTD</v>
          </cell>
          <cell r="C3997">
            <v>539221</v>
          </cell>
          <cell r="D3997" t="str">
            <v>Not Listed</v>
          </cell>
          <cell r="E3997" t="str">
            <v>Textiles</v>
          </cell>
        </row>
        <row r="3998">
          <cell r="B3998" t="str">
            <v>SPORTKING INDIA LTD</v>
          </cell>
          <cell r="C3998">
            <v>539221</v>
          </cell>
          <cell r="D3998" t="str">
            <v>Not Listed</v>
          </cell>
          <cell r="E3998" t="str">
            <v>Textiles</v>
          </cell>
        </row>
        <row r="3999">
          <cell r="B3999" t="str">
            <v>SPRAYKING AGRO EQUIPMENT LTD</v>
          </cell>
          <cell r="C3999">
            <v>540079</v>
          </cell>
          <cell r="D3999" t="str">
            <v>Not Listed</v>
          </cell>
          <cell r="E3999" t="str">
            <v>Other Industrial Products</v>
          </cell>
        </row>
        <row r="4000">
          <cell r="B4000" t="str">
            <v>Spring Fields Infraventure Ltd</v>
          </cell>
          <cell r="C4000">
            <v>540570</v>
          </cell>
          <cell r="D4000" t="str">
            <v>SFIVL</v>
          </cell>
          <cell r="E4000" t="str">
            <v>Construction &amp;amp; Engineering</v>
          </cell>
        </row>
        <row r="4001">
          <cell r="B4001" t="str">
            <v>SPS FINQUEST LTD</v>
          </cell>
          <cell r="C4001">
            <v>538402</v>
          </cell>
          <cell r="D4001" t="str">
            <v>Not Listed</v>
          </cell>
          <cell r="E4001" t="str">
            <v>Finance (including NBFCs)</v>
          </cell>
        </row>
        <row r="4002">
          <cell r="B4002" t="str">
            <v>SPS INTERNATIONAL LTD</v>
          </cell>
          <cell r="C4002">
            <v>530177</v>
          </cell>
          <cell r="D4002" t="str">
            <v>Not Listed</v>
          </cell>
          <cell r="E4002" t="str">
            <v>Comm.Trading  &amp; Distribution</v>
          </cell>
        </row>
        <row r="4003">
          <cell r="B4003" t="str">
            <v>SQS INDIA BFSI LTD</v>
          </cell>
          <cell r="C4003">
            <v>533121</v>
          </cell>
          <cell r="D4003" t="str">
            <v>SQSBFSI</v>
          </cell>
          <cell r="E4003" t="str">
            <v>IT Consulting &amp; Software</v>
          </cell>
        </row>
        <row r="4004">
          <cell r="B4004" t="str">
            <v>SQUARE FOUR PROJECTS (INDIA) LTD</v>
          </cell>
          <cell r="C4004">
            <v>526532</v>
          </cell>
          <cell r="D4004" t="str">
            <v>Not Listed</v>
          </cell>
          <cell r="E4004" t="str">
            <v>Commodity Chemicals</v>
          </cell>
        </row>
        <row r="4005">
          <cell r="B4005" t="str">
            <v>SQUARE FOUR PROJECTS INDIA LTD</v>
          </cell>
          <cell r="C4005">
            <v>526532</v>
          </cell>
          <cell r="D4005" t="str">
            <v>Not Listed</v>
          </cell>
          <cell r="E4005" t="str">
            <v>Commodity Chemicals</v>
          </cell>
        </row>
        <row r="4006">
          <cell r="B4006" t="str">
            <v>SREE JAYALAKSHMI AUTOSPIN LTD</v>
          </cell>
          <cell r="C4006">
            <v>530037</v>
          </cell>
          <cell r="D4006" t="str">
            <v>Not Listed</v>
          </cell>
          <cell r="E4006" t="str">
            <v>Textiles</v>
          </cell>
        </row>
        <row r="4007">
          <cell r="B4007" t="str">
            <v>SREE RAYALASEEMA HI-STRENGTH HYPO LTD</v>
          </cell>
          <cell r="C4007">
            <v>532842</v>
          </cell>
          <cell r="D4007" t="str">
            <v>SRHHYPOLTD</v>
          </cell>
          <cell r="E4007" t="str">
            <v>Commodity Chemicals</v>
          </cell>
        </row>
        <row r="4008">
          <cell r="B4008" t="str">
            <v>SREECHEM RESINS LTD</v>
          </cell>
          <cell r="C4008">
            <v>514248</v>
          </cell>
          <cell r="D4008" t="str">
            <v>Not Listed</v>
          </cell>
          <cell r="E4008" t="str">
            <v>Commodity Chemicals</v>
          </cell>
        </row>
        <row r="4009">
          <cell r="B4009" t="str">
            <v>SREELEATHERS LTD</v>
          </cell>
          <cell r="C4009">
            <v>535601</v>
          </cell>
          <cell r="D4009" t="str">
            <v>SREEL</v>
          </cell>
          <cell r="E4009" t="str">
            <v>Footwear</v>
          </cell>
        </row>
        <row r="4010">
          <cell r="B4010" t="str">
            <v>SREI INFRASTRUCTURE FINANCE LTD</v>
          </cell>
          <cell r="C4010">
            <v>523756</v>
          </cell>
          <cell r="D4010" t="str">
            <v>SREINFRA</v>
          </cell>
          <cell r="E4010" t="str">
            <v>Finance (including NBFCs)</v>
          </cell>
        </row>
        <row r="4011">
          <cell r="B4011" t="str">
            <v>SRESTHA FINVEST LTD</v>
          </cell>
          <cell r="C4011">
            <v>539217</v>
          </cell>
          <cell r="D4011" t="str">
            <v>Not Listed</v>
          </cell>
          <cell r="E4011" t="str">
            <v>Investment Companies</v>
          </cell>
        </row>
        <row r="4012">
          <cell r="B4012" t="str">
            <v>SRF LTD</v>
          </cell>
          <cell r="C4012">
            <v>503806</v>
          </cell>
          <cell r="D4012" t="str">
            <v>SRF</v>
          </cell>
          <cell r="E4012" t="str">
            <v>Textiles</v>
          </cell>
        </row>
        <row r="4013">
          <cell r="B4013" t="str">
            <v>SRG HOUSING FINANCE LTD</v>
          </cell>
          <cell r="C4013">
            <v>534680</v>
          </cell>
          <cell r="D4013" t="str">
            <v>Not Listed</v>
          </cell>
          <cell r="E4013" t="str">
            <v xml:space="preserve">Housing Finance </v>
          </cell>
        </row>
        <row r="4014">
          <cell r="B4014" t="str">
            <v>SRI ADHIKARI BROTHERS TELEVISION NETWORK LTD</v>
          </cell>
          <cell r="C4014">
            <v>530943</v>
          </cell>
          <cell r="D4014" t="str">
            <v>SABTN</v>
          </cell>
          <cell r="E4014" t="str">
            <v>Movies &amp; Entertainment</v>
          </cell>
        </row>
        <row r="4015">
          <cell r="B4015" t="str">
            <v>SRI AMARNATH FINANCE LTD</v>
          </cell>
          <cell r="C4015">
            <v>538863</v>
          </cell>
          <cell r="D4015" t="str">
            <v>Not Listed</v>
          </cell>
          <cell r="E4015" t="str">
            <v>Finance (including NBFCs)</v>
          </cell>
        </row>
        <row r="4016">
          <cell r="B4016" t="str">
            <v>SRI HAVISHA HOSPITALITY AND INFRASTRUCTURE LTD</v>
          </cell>
          <cell r="C4016">
            <v>531322</v>
          </cell>
          <cell r="D4016" t="str">
            <v>HAVISHA</v>
          </cell>
          <cell r="E4016" t="str">
            <v>Oil Marketing &amp; Distribution</v>
          </cell>
        </row>
        <row r="4017">
          <cell r="B4017" t="str">
            <v>SRI KPR INDUSTRIES LTD</v>
          </cell>
          <cell r="C4017">
            <v>514442</v>
          </cell>
          <cell r="D4017" t="str">
            <v>Not Listed</v>
          </cell>
          <cell r="E4017" t="str">
            <v>Plastic Products</v>
          </cell>
        </row>
        <row r="4018">
          <cell r="B4018" t="str">
            <v>SRI KRISHNA CONSTRUCTIONS (INDIA) LTD</v>
          </cell>
          <cell r="C4018">
            <v>539363</v>
          </cell>
          <cell r="D4018" t="str">
            <v>Not Listed</v>
          </cell>
          <cell r="E4018" t="str">
            <v>Realty</v>
          </cell>
        </row>
        <row r="4019">
          <cell r="B4019" t="str">
            <v>SRI KRISHNA CONSTRUCTIONS INDIA LTD</v>
          </cell>
          <cell r="C4019">
            <v>539363</v>
          </cell>
          <cell r="D4019" t="str">
            <v>Not Listed</v>
          </cell>
          <cell r="E4019" t="str">
            <v>Realty</v>
          </cell>
        </row>
        <row r="4020">
          <cell r="B4020" t="str">
            <v>SRI KRISHNA METCOM LTD</v>
          </cell>
          <cell r="C4020" t="str">
            <v>Not Listed</v>
          </cell>
          <cell r="D4020" t="str">
            <v>SKML</v>
          </cell>
          <cell r="E4020" t="str">
            <v>SME</v>
          </cell>
        </row>
        <row r="4021">
          <cell r="B4021" t="str">
            <v>SRI LAKSHMI SARASWATHI TEXTILES ARNI LTD</v>
          </cell>
          <cell r="C4021">
            <v>521161</v>
          </cell>
          <cell r="D4021" t="str">
            <v>Not Listed</v>
          </cell>
          <cell r="E4021" t="str">
            <v>Textiles</v>
          </cell>
        </row>
        <row r="4022">
          <cell r="B4022" t="str">
            <v>SRI NACHAMMAI COTTON MILLS LTD</v>
          </cell>
          <cell r="C4022">
            <v>521234</v>
          </cell>
          <cell r="D4022" t="str">
            <v>Not Listed</v>
          </cell>
          <cell r="E4022" t="str">
            <v>Textiles</v>
          </cell>
        </row>
        <row r="4023">
          <cell r="B4023" t="str">
            <v>SRI RAMAKRISHNA MILLS COIMBATORE LTD</v>
          </cell>
          <cell r="C4023">
            <v>521178</v>
          </cell>
          <cell r="D4023" t="str">
            <v>Not Listed</v>
          </cell>
          <cell r="E4023" t="str">
            <v>Textiles</v>
          </cell>
        </row>
        <row r="4024">
          <cell r="B4024" t="str">
            <v>SRI VAJRA GRANITES LTD</v>
          </cell>
          <cell r="C4024">
            <v>515081</v>
          </cell>
          <cell r="D4024" t="str">
            <v>Not Listed</v>
          </cell>
          <cell r="E4024" t="str">
            <v>Construction Materials</v>
          </cell>
        </row>
        <row r="4025">
          <cell r="B4025" t="str">
            <v>SRIKALAHASTHI PIPES LTD</v>
          </cell>
          <cell r="C4025">
            <v>513605</v>
          </cell>
          <cell r="D4025" t="str">
            <v>SRIPIPES</v>
          </cell>
          <cell r="E4025" t="str">
            <v>Iron &amp; Steel Products</v>
          </cell>
        </row>
        <row r="4026">
          <cell r="B4026" t="str">
            <v>SRM ENERGY LTD</v>
          </cell>
          <cell r="C4026">
            <v>523222</v>
          </cell>
          <cell r="D4026" t="str">
            <v>Not Listed</v>
          </cell>
          <cell r="E4026" t="str">
            <v>Electric Utilities</v>
          </cell>
        </row>
        <row r="4027">
          <cell r="B4027" t="str">
            <v>SRS FINANCE LTD</v>
          </cell>
          <cell r="C4027">
            <v>536799</v>
          </cell>
          <cell r="D4027" t="str">
            <v>Not Listed</v>
          </cell>
          <cell r="E4027" t="str">
            <v>Finance (including NBFCs)</v>
          </cell>
        </row>
        <row r="4028">
          <cell r="B4028" t="str">
            <v>SRS LTD</v>
          </cell>
          <cell r="C4028">
            <v>533569</v>
          </cell>
          <cell r="D4028" t="str">
            <v>SRSLTD</v>
          </cell>
          <cell r="E4028" t="str">
            <v>Other Apparels &amp; Accessories</v>
          </cell>
        </row>
        <row r="4029">
          <cell r="B4029" t="str">
            <v>SRU STEELS LTD</v>
          </cell>
          <cell r="C4029">
            <v>540914</v>
          </cell>
          <cell r="D4029" t="str">
            <v>Not Listed</v>
          </cell>
          <cell r="E4029" t="str">
            <v>Comm.Trading  &amp; Distribution</v>
          </cell>
        </row>
        <row r="4030">
          <cell r="B4030" t="str">
            <v>SS ORGANICS LTD</v>
          </cell>
          <cell r="C4030">
            <v>524636</v>
          </cell>
          <cell r="D4030" t="str">
            <v>Not Listed</v>
          </cell>
          <cell r="E4030" t="str">
            <v>Pharmaceuticals</v>
          </cell>
        </row>
        <row r="4031">
          <cell r="B4031" t="str">
            <v>SSPDL LTD</v>
          </cell>
          <cell r="C4031">
            <v>530821</v>
          </cell>
          <cell r="D4031" t="str">
            <v>Not Listed</v>
          </cell>
          <cell r="E4031" t="str">
            <v>Realty</v>
          </cell>
        </row>
        <row r="4032">
          <cell r="B4032" t="str">
            <v>SSPN FINANCE LTD</v>
          </cell>
          <cell r="C4032">
            <v>539026</v>
          </cell>
          <cell r="D4032" t="str">
            <v>Not Listed</v>
          </cell>
          <cell r="E4032" t="str">
            <v>Other Financial Services</v>
          </cell>
        </row>
        <row r="4033">
          <cell r="B4033" t="str">
            <v>STAMPEDE CAPITAL LTD</v>
          </cell>
          <cell r="C4033">
            <v>531723</v>
          </cell>
          <cell r="D4033" t="str">
            <v>STAMPEDE</v>
          </cell>
          <cell r="E4033" t="str">
            <v>Other Financial Services</v>
          </cell>
        </row>
        <row r="4034">
          <cell r="B4034" t="str">
            <v>STAMPEDE CAPITAL LTD</v>
          </cell>
          <cell r="C4034">
            <v>570005</v>
          </cell>
          <cell r="D4034" t="str">
            <v>SCAPDVR</v>
          </cell>
          <cell r="E4034" t="str">
            <v>Other Financial Services</v>
          </cell>
        </row>
        <row r="4035">
          <cell r="B4035" t="str">
            <v>STANDARD BATTERIES LTD</v>
          </cell>
          <cell r="C4035">
            <v>504180</v>
          </cell>
          <cell r="D4035" t="str">
            <v>Not Listed</v>
          </cell>
          <cell r="E4035" t="str">
            <v>Finance (including NBFCs)</v>
          </cell>
        </row>
        <row r="4036">
          <cell r="B4036" t="str">
            <v>STANDARD CAPITAL MARKETS LTD</v>
          </cell>
          <cell r="C4036">
            <v>511700</v>
          </cell>
          <cell r="D4036" t="str">
            <v>Not Listed</v>
          </cell>
          <cell r="E4036" t="str">
            <v>Finance (including NBFCs)</v>
          </cell>
        </row>
        <row r="4037">
          <cell r="B4037" t="str">
            <v>STANDARD CHARTERED PLC</v>
          </cell>
          <cell r="C4037">
            <v>580001</v>
          </cell>
          <cell r="D4037" t="str">
            <v>Not Listed</v>
          </cell>
          <cell r="E4037" t="str">
            <v>Banks</v>
          </cell>
        </row>
        <row r="4038">
          <cell r="B4038" t="str">
            <v>STANDARD INDUSTRIES LTD</v>
          </cell>
          <cell r="C4038">
            <v>530017</v>
          </cell>
          <cell r="D4038" t="str">
            <v>SIL</v>
          </cell>
          <cell r="E4038" t="str">
            <v>Commodity Chemicals</v>
          </cell>
        </row>
        <row r="4039">
          <cell r="B4039" t="str">
            <v>STANDARD SHOE SOLE AND MOULD (INDIA) LTD</v>
          </cell>
          <cell r="C4039">
            <v>523351</v>
          </cell>
          <cell r="D4039" t="str">
            <v>Not Listed</v>
          </cell>
          <cell r="E4039" t="str">
            <v>Specialty Chemicals</v>
          </cell>
        </row>
        <row r="4040">
          <cell r="B4040" t="str">
            <v>STANDARD SHOE SOLE AND MOULD INDIA LTD</v>
          </cell>
          <cell r="C4040">
            <v>523351</v>
          </cell>
          <cell r="D4040" t="str">
            <v>Not Listed</v>
          </cell>
          <cell r="E4040" t="str">
            <v>Specialty Chemicals</v>
          </cell>
        </row>
        <row r="4041">
          <cell r="B4041" t="str">
            <v>STANDARD SURFACTANTS LTD</v>
          </cell>
          <cell r="C4041">
            <v>526231</v>
          </cell>
          <cell r="D4041" t="str">
            <v>Not Listed</v>
          </cell>
          <cell r="E4041" t="str">
            <v>Commodity Chemicals</v>
          </cell>
        </row>
        <row r="4042">
          <cell r="B4042" t="str">
            <v>STANPACKS (INDIA) LTD</v>
          </cell>
          <cell r="C4042">
            <v>530931</v>
          </cell>
          <cell r="D4042" t="str">
            <v>Not Listed</v>
          </cell>
          <cell r="E4042" t="str">
            <v>Containers &amp; Packaging</v>
          </cell>
        </row>
        <row r="4043">
          <cell r="B4043" t="str">
            <v>STANPACKS INDIA LTD</v>
          </cell>
          <cell r="C4043">
            <v>530931</v>
          </cell>
          <cell r="D4043" t="str">
            <v>Not Listed</v>
          </cell>
          <cell r="E4043" t="str">
            <v>Containers &amp; Packaging</v>
          </cell>
        </row>
        <row r="4044">
          <cell r="B4044" t="str">
            <v>STANROSE MAFATLAL INVESTMENTS AND FINANCE LTD</v>
          </cell>
          <cell r="C4044">
            <v>506105</v>
          </cell>
          <cell r="D4044" t="str">
            <v>Not Listed</v>
          </cell>
          <cell r="E4044" t="str">
            <v>Investment Companies</v>
          </cell>
        </row>
        <row r="4045">
          <cell r="B4045" t="str">
            <v>STAR CEMENT LTD</v>
          </cell>
          <cell r="C4045">
            <v>540575</v>
          </cell>
          <cell r="D4045" t="str">
            <v>STARCEMENT</v>
          </cell>
          <cell r="E4045" t="str">
            <v>Cement &amp; Cement Products</v>
          </cell>
        </row>
        <row r="4046">
          <cell r="B4046" t="str">
            <v>STAR DELTA TRANSFORMERS LTD</v>
          </cell>
          <cell r="C4046">
            <v>539255</v>
          </cell>
          <cell r="D4046" t="str">
            <v>Not Listed</v>
          </cell>
          <cell r="E4046" t="str">
            <v>Heavy Electrical Equipment</v>
          </cell>
        </row>
        <row r="4047">
          <cell r="B4047" t="str">
            <v>STAR PAPER MILLS LTD</v>
          </cell>
          <cell r="C4047">
            <v>516022</v>
          </cell>
          <cell r="D4047" t="str">
            <v>STARPAPER</v>
          </cell>
          <cell r="E4047" t="str">
            <v>Paper &amp; Paper Products</v>
          </cell>
        </row>
        <row r="4048">
          <cell r="B4048" t="str">
            <v>STARCOM INFORMATION TECHNOLOGY LTD</v>
          </cell>
          <cell r="C4048">
            <v>531616</v>
          </cell>
          <cell r="D4048" t="str">
            <v>Not Listed</v>
          </cell>
          <cell r="E4048" t="str">
            <v>IT Consulting &amp; Software</v>
          </cell>
        </row>
        <row r="4049">
          <cell r="B4049" t="str">
            <v>STARLIT POWER SYSTEMS LTD</v>
          </cell>
          <cell r="C4049">
            <v>538733</v>
          </cell>
          <cell r="D4049" t="str">
            <v>Not Listed</v>
          </cell>
          <cell r="E4049" t="str">
            <v>Other Non-Ferrous Metals</v>
          </cell>
        </row>
        <row r="4050">
          <cell r="B4050" t="str">
            <v>STARLITE COMPONENTS LTD</v>
          </cell>
          <cell r="C4050">
            <v>517548</v>
          </cell>
          <cell r="D4050" t="str">
            <v>Not Listed</v>
          </cell>
          <cell r="E4050" t="str">
            <v>Comm.Trading  &amp; Distribution</v>
          </cell>
        </row>
        <row r="4051">
          <cell r="B4051" t="str">
            <v>STARLOG ENTERPRISES LTD</v>
          </cell>
          <cell r="C4051">
            <v>520155</v>
          </cell>
          <cell r="D4051" t="str">
            <v>Not Listed</v>
          </cell>
          <cell r="E4051" t="str">
            <v>Marine Port &amp; Services</v>
          </cell>
        </row>
        <row r="4052">
          <cell r="B4052" t="str">
            <v>STATE BANK OF INDIA</v>
          </cell>
          <cell r="C4052">
            <v>500112</v>
          </cell>
          <cell r="D4052" t="str">
            <v>SBIN</v>
          </cell>
          <cell r="E4052" t="str">
            <v>Banks</v>
          </cell>
        </row>
        <row r="4053">
          <cell r="B4053" t="str">
            <v>STEEL AUTHORITY OF (INDIA) LTD</v>
          </cell>
          <cell r="C4053">
            <v>500113</v>
          </cell>
          <cell r="D4053" t="str">
            <v>SAIL</v>
          </cell>
          <cell r="E4053" t="str">
            <v>Iron &amp; Steel/Interm.Products</v>
          </cell>
        </row>
        <row r="4054">
          <cell r="B4054" t="str">
            <v>STEEL AUTHORITY OF INDIA LTD</v>
          </cell>
          <cell r="C4054">
            <v>500113</v>
          </cell>
          <cell r="D4054" t="str">
            <v>SAIL</v>
          </cell>
          <cell r="E4054" t="str">
            <v>Iron &amp; Steel/Interm.Products</v>
          </cell>
        </row>
        <row r="4055">
          <cell r="B4055" t="str">
            <v>STEEL CITY SECURITIES LTD</v>
          </cell>
          <cell r="C4055" t="str">
            <v>Not Listed</v>
          </cell>
          <cell r="D4055" t="str">
            <v>STEELCITY</v>
          </cell>
          <cell r="E4055" t="str">
            <v>SME</v>
          </cell>
        </row>
        <row r="4056">
          <cell r="B4056" t="str">
            <v>STEEL EXCHANGE (INDIA) LTD</v>
          </cell>
          <cell r="C4056">
            <v>534748</v>
          </cell>
          <cell r="D4056" t="str">
            <v>STEELXIND</v>
          </cell>
          <cell r="E4056" t="str">
            <v>Iron &amp; Steel/Interm.Products</v>
          </cell>
        </row>
        <row r="4057">
          <cell r="B4057" t="str">
            <v>STEEL EXCHANGE INDIA LTD</v>
          </cell>
          <cell r="C4057">
            <v>534748</v>
          </cell>
          <cell r="D4057" t="str">
            <v>STEELXIND</v>
          </cell>
          <cell r="E4057" t="str">
            <v>Iron &amp; Steel/Interm.Products</v>
          </cell>
        </row>
        <row r="4058">
          <cell r="B4058" t="str">
            <v>STEEL STRIPS INFRASTRUCTURES LTD</v>
          </cell>
          <cell r="C4058">
            <v>513173</v>
          </cell>
          <cell r="D4058" t="str">
            <v>Not Listed</v>
          </cell>
          <cell r="E4058" t="str">
            <v>Realty</v>
          </cell>
        </row>
        <row r="4059">
          <cell r="B4059" t="str">
            <v>STEEL STRIPS LTD.</v>
          </cell>
          <cell r="C4059">
            <v>504717</v>
          </cell>
          <cell r="D4059" t="str">
            <v>STRIPMT</v>
          </cell>
          <cell r="E4059" t="str">
            <v>Iron &amp;amp; Steel/Interm.Products</v>
          </cell>
        </row>
        <row r="4060">
          <cell r="B4060" t="str">
            <v>STEEL STRIPS WHEELS LTD</v>
          </cell>
          <cell r="C4060">
            <v>513262</v>
          </cell>
          <cell r="D4060" t="str">
            <v>SSWL</v>
          </cell>
          <cell r="E4060" t="str">
            <v>Auto Parts &amp; Equipment</v>
          </cell>
        </row>
        <row r="4061">
          <cell r="B4061" t="str">
            <v>STEELCAST LTD</v>
          </cell>
          <cell r="C4061">
            <v>513517</v>
          </cell>
          <cell r="D4061" t="str">
            <v>Not Listed</v>
          </cell>
          <cell r="E4061" t="str">
            <v>Other Industrial Products</v>
          </cell>
        </row>
        <row r="4062">
          <cell r="B4062" t="str">
            <v>STEELCO GUJARAT LTD</v>
          </cell>
          <cell r="C4062">
            <v>500399</v>
          </cell>
          <cell r="D4062" t="str">
            <v>Not Listed</v>
          </cell>
          <cell r="E4062" t="str">
            <v>Iron &amp; Steel/Interm.Products</v>
          </cell>
        </row>
        <row r="4063">
          <cell r="B4063" t="str">
            <v>STEL HOLDINGS LTD</v>
          </cell>
          <cell r="C4063">
            <v>533316</v>
          </cell>
          <cell r="D4063" t="str">
            <v>STEL</v>
          </cell>
          <cell r="E4063" t="str">
            <v>Holding Companies</v>
          </cell>
        </row>
        <row r="4064">
          <cell r="B4064" t="str">
            <v>STELLANT SECURITIES (INDIA) LTD</v>
          </cell>
          <cell r="C4064">
            <v>526071</v>
          </cell>
          <cell r="D4064" t="str">
            <v>Not Listed</v>
          </cell>
          <cell r="E4064" t="str">
            <v>Other Financial Services</v>
          </cell>
        </row>
        <row r="4065">
          <cell r="B4065" t="str">
            <v>STELLANT SECURITIES INDIA LTD</v>
          </cell>
          <cell r="C4065">
            <v>526071</v>
          </cell>
          <cell r="D4065" t="str">
            <v>Not Listed</v>
          </cell>
          <cell r="E4065" t="str">
            <v>Other Financial Services</v>
          </cell>
        </row>
        <row r="4066">
          <cell r="B4066" t="str">
            <v>STELLAR CAPITAL SERVICES LTD</v>
          </cell>
          <cell r="C4066">
            <v>536738</v>
          </cell>
          <cell r="D4066" t="str">
            <v>Not Listed</v>
          </cell>
          <cell r="E4066" t="str">
            <v>Other Financial Services</v>
          </cell>
        </row>
        <row r="4067">
          <cell r="B4067" t="str">
            <v>STEP TWO CORPORATION LTD</v>
          </cell>
          <cell r="C4067">
            <v>531509</v>
          </cell>
          <cell r="D4067" t="str">
            <v>Not Listed</v>
          </cell>
          <cell r="E4067" t="str">
            <v>Other Financial Services</v>
          </cell>
        </row>
        <row r="4068">
          <cell r="B4068" t="str">
            <v>STERLING GREEN WOODS LTD</v>
          </cell>
          <cell r="C4068">
            <v>526500</v>
          </cell>
          <cell r="D4068" t="str">
            <v>Not Listed</v>
          </cell>
          <cell r="E4068" t="str">
            <v>Hotels</v>
          </cell>
        </row>
        <row r="4069">
          <cell r="B4069" t="str">
            <v>STERLING GUARANTY &amp;amp; FINANCE LTD.</v>
          </cell>
          <cell r="C4069">
            <v>508963</v>
          </cell>
          <cell r="D4069" t="str">
            <v>STRLGUA</v>
          </cell>
          <cell r="E4069" t="str">
            <v>Finance (including NBFCs)</v>
          </cell>
        </row>
        <row r="4070">
          <cell r="B4070" t="str">
            <v>STERLING SPINNERS LTD</v>
          </cell>
          <cell r="C4070">
            <v>531628</v>
          </cell>
          <cell r="D4070" t="str">
            <v>Not Listed</v>
          </cell>
          <cell r="E4070" t="str">
            <v>Textiles</v>
          </cell>
        </row>
        <row r="4071">
          <cell r="B4071" t="str">
            <v>STERLING TOOLS LTD</v>
          </cell>
          <cell r="C4071">
            <v>530759</v>
          </cell>
          <cell r="D4071" t="str">
            <v>STERTOOLS</v>
          </cell>
          <cell r="E4071" t="str">
            <v>Auto Parts &amp; Equipment</v>
          </cell>
        </row>
        <row r="4072">
          <cell r="B4072" t="str">
            <v>STERLITE TECHNOLOGIES LTD</v>
          </cell>
          <cell r="C4072">
            <v>532374</v>
          </cell>
          <cell r="D4072" t="str">
            <v>STRTECH</v>
          </cell>
          <cell r="E4072" t="str">
            <v>Other Telecom Services</v>
          </cell>
        </row>
        <row r="4073">
          <cell r="B4073" t="str">
            <v>STI (INDIA) LTD</v>
          </cell>
          <cell r="C4073">
            <v>513151</v>
          </cell>
          <cell r="D4073" t="str">
            <v>ST(INDIA)</v>
          </cell>
          <cell r="E4073" t="str">
            <v>Textiles</v>
          </cell>
        </row>
        <row r="4074">
          <cell r="B4074" t="str">
            <v>STI INDIA LTD</v>
          </cell>
          <cell r="C4074">
            <v>513151</v>
          </cell>
          <cell r="D4074" t="str">
            <v>STINDIA</v>
          </cell>
          <cell r="E4074" t="str">
            <v>Textiles</v>
          </cell>
        </row>
        <row r="4075">
          <cell r="B4075" t="str">
            <v>STL GLOBAL LTD</v>
          </cell>
          <cell r="C4075">
            <v>532730</v>
          </cell>
          <cell r="D4075" t="str">
            <v>SGL</v>
          </cell>
          <cell r="E4075" t="str">
            <v>Textiles</v>
          </cell>
        </row>
        <row r="4076">
          <cell r="B4076" t="str">
            <v>STOVEC INDUSTRIES LTD</v>
          </cell>
          <cell r="C4076">
            <v>504959</v>
          </cell>
          <cell r="D4076" t="str">
            <v>Not Listed</v>
          </cell>
          <cell r="E4076" t="str">
            <v>Industrial Machinery</v>
          </cell>
        </row>
        <row r="4077">
          <cell r="B4077" t="str">
            <v>STRATMONT INDUSTRIES LTD</v>
          </cell>
          <cell r="C4077">
            <v>530495</v>
          </cell>
          <cell r="D4077" t="str">
            <v>Not Listed</v>
          </cell>
          <cell r="E4077" t="str">
            <v>Comm.Trading  &amp; Distribution</v>
          </cell>
        </row>
        <row r="4078">
          <cell r="B4078" t="str">
            <v>STRIDES PHARMA SCIENCE LTD</v>
          </cell>
          <cell r="C4078">
            <v>532531</v>
          </cell>
          <cell r="D4078" t="str">
            <v>STAR</v>
          </cell>
          <cell r="E4078" t="str">
            <v>Pharmaceuticals</v>
          </cell>
        </row>
        <row r="4079">
          <cell r="B4079" t="str">
            <v>STURDY INDUSTRIES LTD</v>
          </cell>
          <cell r="C4079">
            <v>530611</v>
          </cell>
          <cell r="D4079" t="str">
            <v>Not Listed</v>
          </cell>
          <cell r="E4079" t="str">
            <v>Plastic Products</v>
          </cell>
        </row>
        <row r="4080">
          <cell r="B4080" t="str">
            <v>STYLAM INDUSTRIES LTD</v>
          </cell>
          <cell r="C4080">
            <v>526951</v>
          </cell>
          <cell r="D4080" t="str">
            <v>Not Listed</v>
          </cell>
          <cell r="E4080" t="str">
            <v>Forest Products</v>
          </cell>
        </row>
        <row r="4081">
          <cell r="B4081" t="str">
            <v>Subex LTD</v>
          </cell>
          <cell r="C4081" t="str">
            <v>Not Listed</v>
          </cell>
          <cell r="D4081" t="str">
            <v>SUBEX</v>
          </cell>
          <cell r="E4081" t="str">
            <v>Forest Products</v>
          </cell>
        </row>
        <row r="4082">
          <cell r="B4082" t="str">
            <v>SUBEX LTD</v>
          </cell>
          <cell r="C4082">
            <v>532348</v>
          </cell>
          <cell r="D4082" t="str">
            <v>Not Listed</v>
          </cell>
          <cell r="E4082" t="str">
            <v>IT Software Products</v>
          </cell>
        </row>
        <row r="4083">
          <cell r="B4083" t="str">
            <v>SUBHASH SILK MILLS LTD</v>
          </cell>
          <cell r="C4083">
            <v>530231</v>
          </cell>
          <cell r="D4083" t="str">
            <v>Not Listed</v>
          </cell>
          <cell r="E4083" t="str">
            <v>Textiles</v>
          </cell>
        </row>
        <row r="4084">
          <cell r="B4084" t="str">
            <v>SUBROS LTD</v>
          </cell>
          <cell r="C4084">
            <v>517168</v>
          </cell>
          <cell r="D4084" t="str">
            <v>SUBROS</v>
          </cell>
          <cell r="E4084" t="str">
            <v>Auto Parts &amp; Equipment</v>
          </cell>
        </row>
        <row r="4085">
          <cell r="B4085" t="str">
            <v>SUBWAY FINANCE &amp; INVESTMENT CO LTD</v>
          </cell>
          <cell r="C4085">
            <v>511024</v>
          </cell>
          <cell r="D4085" t="str">
            <v>Not Listed</v>
          </cell>
          <cell r="E4085" t="str">
            <v>Misc.Commercial Services</v>
          </cell>
        </row>
        <row r="4086">
          <cell r="B4086" t="str">
            <v>SUCHITRA FINANCE &amp; TRADING COMPANY LTD</v>
          </cell>
          <cell r="C4086">
            <v>538714</v>
          </cell>
          <cell r="D4086" t="str">
            <v>Not Listed</v>
          </cell>
          <cell r="E4086" t="str">
            <v>Finance (including NBFCs)</v>
          </cell>
        </row>
        <row r="4087">
          <cell r="B4087" t="str">
            <v>SUDAL INDUSTRIES LTD</v>
          </cell>
          <cell r="C4087">
            <v>506003</v>
          </cell>
          <cell r="D4087" t="str">
            <v>Not Listed</v>
          </cell>
          <cell r="E4087" t="str">
            <v>Aluminium</v>
          </cell>
        </row>
        <row r="4088">
          <cell r="B4088" t="str">
            <v>SUDARSHAN CHEMICAL INDUSTRIES LTD</v>
          </cell>
          <cell r="C4088">
            <v>506655</v>
          </cell>
          <cell r="D4088" t="str">
            <v>SUDARSCHEM</v>
          </cell>
          <cell r="E4088" t="str">
            <v>Specialty Chemicals</v>
          </cell>
        </row>
        <row r="4089">
          <cell r="B4089" t="str">
            <v>SUDITI INDUSTRIES LTD</v>
          </cell>
          <cell r="C4089">
            <v>521113</v>
          </cell>
          <cell r="D4089" t="str">
            <v>Not Listed</v>
          </cell>
          <cell r="E4089" t="str">
            <v>Textiles</v>
          </cell>
        </row>
        <row r="4090">
          <cell r="B4090" t="str">
            <v>SUERYAA KNITWEAR LTD</v>
          </cell>
          <cell r="C4090">
            <v>540318</v>
          </cell>
          <cell r="D4090" t="str">
            <v>Not Listed</v>
          </cell>
          <cell r="E4090" t="str">
            <v>Textiles</v>
          </cell>
        </row>
        <row r="4091">
          <cell r="B4091" t="str">
            <v>SUGAL &amp; DAMANI SHARE BROKERS LTD</v>
          </cell>
          <cell r="C4091">
            <v>511654</v>
          </cell>
          <cell r="D4091" t="str">
            <v>Not Listed</v>
          </cell>
          <cell r="E4091" t="str">
            <v>Finance (including NBFCs)</v>
          </cell>
        </row>
        <row r="4092">
          <cell r="B4092" t="str">
            <v>Suich Industries Ltd</v>
          </cell>
          <cell r="C4092">
            <v>542683</v>
          </cell>
          <cell r="D4092" t="str">
            <v>SUICH</v>
          </cell>
          <cell r="E4092" t="str">
            <v>Telecom Equipment</v>
          </cell>
        </row>
        <row r="4093">
          <cell r="B4093" t="str">
            <v>SUJALA TRADING &amp; HOLDINGS LTD</v>
          </cell>
          <cell r="C4093">
            <v>539117</v>
          </cell>
          <cell r="D4093" t="str">
            <v>Not Listed</v>
          </cell>
          <cell r="E4093" t="str">
            <v>Finance (including NBFCs)</v>
          </cell>
        </row>
        <row r="4094">
          <cell r="B4094" t="str">
            <v>SUJANA UNIVERSAL INDUSTRIES LTD</v>
          </cell>
          <cell r="C4094">
            <v>517224</v>
          </cell>
          <cell r="D4094" t="str">
            <v>SUJANAUNI</v>
          </cell>
          <cell r="E4094" t="str">
            <v>Other Industrial Products</v>
          </cell>
        </row>
        <row r="4095">
          <cell r="B4095" t="str">
            <v>SUKHJIT STARCH &amp; CHEMICALS LTD</v>
          </cell>
          <cell r="C4095">
            <v>524542</v>
          </cell>
          <cell r="D4095" t="str">
            <v>Not Listed</v>
          </cell>
          <cell r="E4095" t="str">
            <v>Other Agricultural Products</v>
          </cell>
        </row>
        <row r="4096">
          <cell r="B4096" t="str">
            <v>SULABH ENGINEERS &amp; SERVICES LTD</v>
          </cell>
          <cell r="C4096">
            <v>508969</v>
          </cell>
          <cell r="D4096" t="str">
            <v>Not Listed</v>
          </cell>
          <cell r="E4096" t="str">
            <v>Finance (including NBFCs)</v>
          </cell>
        </row>
        <row r="4097">
          <cell r="B4097" t="str">
            <v>SUMEDHA FISCAL SERVICES LTD</v>
          </cell>
          <cell r="C4097">
            <v>530419</v>
          </cell>
          <cell r="D4097" t="str">
            <v>Not Listed</v>
          </cell>
          <cell r="E4097" t="str">
            <v>Other Financial Services</v>
          </cell>
        </row>
        <row r="4098">
          <cell r="B4098" t="str">
            <v>SUMEET INDUSTRIES LTD</v>
          </cell>
          <cell r="C4098">
            <v>514211</v>
          </cell>
          <cell r="D4098" t="str">
            <v>SUMEETINDS</v>
          </cell>
          <cell r="E4098" t="str">
            <v>Textiles</v>
          </cell>
        </row>
        <row r="4099">
          <cell r="B4099" t="str">
            <v>SUMERU INDUSTRIES LTD</v>
          </cell>
          <cell r="C4099">
            <v>530445</v>
          </cell>
          <cell r="D4099" t="str">
            <v>Not Listed</v>
          </cell>
          <cell r="E4099" t="str">
            <v>Comm.Trading  &amp; Distribution</v>
          </cell>
        </row>
        <row r="4100">
          <cell r="B4100" t="str">
            <v>SUMIT WOODS LTD</v>
          </cell>
          <cell r="C4100" t="str">
            <v>Not Listed</v>
          </cell>
          <cell r="D4100" t="str">
            <v>SUMIT</v>
          </cell>
          <cell r="E4100" t="str">
            <v>SME</v>
          </cell>
        </row>
        <row r="4101">
          <cell r="B4101" t="str">
            <v>SUMMIT SECURITIES LTD</v>
          </cell>
          <cell r="C4101">
            <v>533306</v>
          </cell>
          <cell r="D4101" t="str">
            <v>SUMMITSEC</v>
          </cell>
          <cell r="E4101" t="str">
            <v>Investment Companies</v>
          </cell>
        </row>
        <row r="4102">
          <cell r="B4102" t="str">
            <v>SUN AND SHINE WORLDWIDE LTD</v>
          </cell>
          <cell r="C4102">
            <v>532154</v>
          </cell>
          <cell r="D4102" t="str">
            <v>Not Listed</v>
          </cell>
          <cell r="E4102" t="str">
            <v>Misc.Commercial Services</v>
          </cell>
        </row>
        <row r="4103">
          <cell r="B4103" t="str">
            <v>SUN PHARMA ADVANCED RESEARCH COMPANY LTD</v>
          </cell>
          <cell r="C4103">
            <v>532872</v>
          </cell>
          <cell r="D4103" t="str">
            <v>SPARC</v>
          </cell>
          <cell r="E4103" t="str">
            <v>Pharmaceuticals</v>
          </cell>
        </row>
        <row r="4104">
          <cell r="B4104" t="str">
            <v>SUN PHARMACEUTICAL INDUSTRIES LTD</v>
          </cell>
          <cell r="C4104">
            <v>524715</v>
          </cell>
          <cell r="D4104" t="str">
            <v>SUNPHARMA</v>
          </cell>
          <cell r="E4104" t="str">
            <v>Pharmaceuticals</v>
          </cell>
        </row>
        <row r="4105">
          <cell r="B4105" t="str">
            <v>SUN RETAIL LTD</v>
          </cell>
          <cell r="C4105">
            <v>542025</v>
          </cell>
          <cell r="D4105" t="str">
            <v>Not Listed</v>
          </cell>
          <cell r="E4105" t="str">
            <v>Comm.Trading  &amp; Distribution</v>
          </cell>
        </row>
        <row r="4106">
          <cell r="B4106" t="str">
            <v>SUN SOURCE (INDIA) LTD</v>
          </cell>
          <cell r="C4106">
            <v>517403</v>
          </cell>
          <cell r="D4106" t="str">
            <v>Not Listed</v>
          </cell>
          <cell r="E4106" t="str">
            <v>Electric Utilities</v>
          </cell>
        </row>
        <row r="4107">
          <cell r="B4107" t="str">
            <v>SUN SOURCE INDIA LTD</v>
          </cell>
          <cell r="C4107">
            <v>517403</v>
          </cell>
          <cell r="D4107" t="str">
            <v>Not Listed</v>
          </cell>
          <cell r="E4107" t="str">
            <v>Electric Utilities</v>
          </cell>
        </row>
        <row r="4108">
          <cell r="B4108" t="str">
            <v>SUN TECHNO OVERSEAS LTD</v>
          </cell>
          <cell r="C4108">
            <v>531752</v>
          </cell>
          <cell r="D4108" t="str">
            <v>Not Listed</v>
          </cell>
          <cell r="E4108" t="str">
            <v>Comm.Trading  &amp; Distribution</v>
          </cell>
        </row>
        <row r="4109">
          <cell r="B4109" t="str">
            <v>SUN TV NETWORK LTD</v>
          </cell>
          <cell r="C4109">
            <v>532733</v>
          </cell>
          <cell r="D4109" t="str">
            <v>SUNTV</v>
          </cell>
          <cell r="E4109" t="str">
            <v>Broadcasting &amp; Cable TV</v>
          </cell>
        </row>
        <row r="4110">
          <cell r="B4110" t="str">
            <v>SUNCARE TRADERS LTD</v>
          </cell>
          <cell r="C4110">
            <v>539526</v>
          </cell>
          <cell r="D4110" t="str">
            <v>Not Listed</v>
          </cell>
          <cell r="E4110" t="str">
            <v>Distributors</v>
          </cell>
        </row>
        <row r="4111">
          <cell r="B4111" t="str">
            <v>SUNCITY SYNTHETICS LTD</v>
          </cell>
          <cell r="C4111">
            <v>530795</v>
          </cell>
          <cell r="D4111" t="str">
            <v>Not Listed</v>
          </cell>
          <cell r="E4111" t="str">
            <v>Textiles</v>
          </cell>
        </row>
        <row r="4112">
          <cell r="B4112" t="str">
            <v>SUNDARAM BRAKE LININGS LTD</v>
          </cell>
          <cell r="C4112">
            <v>590072</v>
          </cell>
          <cell r="D4112" t="str">
            <v>SUNDRMBRAK</v>
          </cell>
          <cell r="E4112" t="str">
            <v>Auto Parts &amp; Equipment</v>
          </cell>
        </row>
        <row r="4113">
          <cell r="B4113" t="str">
            <v>SUNDARAM CLAYTON LTD</v>
          </cell>
          <cell r="C4113">
            <v>520056</v>
          </cell>
          <cell r="D4113" t="str">
            <v>SUNCLAYLTD</v>
          </cell>
          <cell r="E4113" t="str">
            <v>Auto Parts &amp; Equipment</v>
          </cell>
        </row>
        <row r="4114">
          <cell r="B4114" t="str">
            <v>SUNDARAM FINANCE HOLDINGS LTD</v>
          </cell>
          <cell r="C4114" t="str">
            <v>Not Listed</v>
          </cell>
          <cell r="D4114" t="str">
            <v>SUNDARMHLD</v>
          </cell>
          <cell r="E4114" t="str">
            <v>Others</v>
          </cell>
        </row>
        <row r="4115">
          <cell r="B4115" t="str">
            <v>SUNDARAM FINANCE LTD</v>
          </cell>
          <cell r="C4115">
            <v>590071</v>
          </cell>
          <cell r="D4115" t="str">
            <v>SUNDARMFIN</v>
          </cell>
          <cell r="E4115" t="str">
            <v>Finance (including NBFCs)</v>
          </cell>
        </row>
        <row r="4116">
          <cell r="B4116" t="str">
            <v>SUNDARAM MULTI PAP LTD</v>
          </cell>
          <cell r="C4116">
            <v>533166</v>
          </cell>
          <cell r="D4116" t="str">
            <v>SUNDARAM</v>
          </cell>
          <cell r="E4116" t="str">
            <v>Comm.Printing/Stationery</v>
          </cell>
        </row>
        <row r="4117">
          <cell r="B4117" t="str">
            <v>SUNDRAM FASTENERS LTD</v>
          </cell>
          <cell r="C4117">
            <v>500403</v>
          </cell>
          <cell r="D4117" t="str">
            <v>SUNDRMFAST</v>
          </cell>
          <cell r="E4117" t="str">
            <v>Auto Parts &amp; Equipment</v>
          </cell>
        </row>
        <row r="4118">
          <cell r="B4118" t="str">
            <v>SUNFLAG IRON AND STEEL COMPANY LTD</v>
          </cell>
          <cell r="C4118">
            <v>500404</v>
          </cell>
          <cell r="D4118" t="str">
            <v>SUNFLAG</v>
          </cell>
          <cell r="E4118" t="str">
            <v>Iron &amp; Steel/Interm.Products</v>
          </cell>
        </row>
        <row r="4119">
          <cell r="B4119" t="str">
            <v>SUNGOLD CAPITAL LTD</v>
          </cell>
          <cell r="C4119">
            <v>531433</v>
          </cell>
          <cell r="D4119" t="str">
            <v>Not Listed</v>
          </cell>
          <cell r="E4119" t="str">
            <v>Finance (including NBFCs)</v>
          </cell>
        </row>
        <row r="4120">
          <cell r="B4120" t="str">
            <v>SUNGOLD MEDIA AND ENTERTAINMENT LTD</v>
          </cell>
          <cell r="C4120">
            <v>541799</v>
          </cell>
          <cell r="D4120" t="str">
            <v>Not Listed</v>
          </cell>
          <cell r="E4120" t="str">
            <v>Advertising &amp; Media</v>
          </cell>
        </row>
        <row r="4121">
          <cell r="B4121" t="str">
            <v>SUNIL AGRO FOODS LTD</v>
          </cell>
          <cell r="C4121">
            <v>530953</v>
          </cell>
          <cell r="D4121" t="str">
            <v>Not Listed</v>
          </cell>
          <cell r="E4121" t="str">
            <v>Packaged Foods</v>
          </cell>
        </row>
        <row r="4122">
          <cell r="B4122" t="str">
            <v>SUNIL HEALTHCARE LTD</v>
          </cell>
          <cell r="C4122">
            <v>537253</v>
          </cell>
          <cell r="D4122" t="str">
            <v>Not Listed</v>
          </cell>
          <cell r="E4122" t="str">
            <v>Pharmaceuticals</v>
          </cell>
        </row>
        <row r="4123">
          <cell r="B4123" t="str">
            <v>SUNIL HITECH ENGINEERS LTD</v>
          </cell>
          <cell r="C4123">
            <v>532711</v>
          </cell>
          <cell r="D4123" t="str">
            <v>SUNILHITEC</v>
          </cell>
          <cell r="E4123" t="str">
            <v>Construction &amp; Engineering</v>
          </cell>
        </row>
        <row r="4124">
          <cell r="B4124" t="str">
            <v>SUNIL INDUSTRIES LTD</v>
          </cell>
          <cell r="C4124">
            <v>521232</v>
          </cell>
          <cell r="D4124" t="str">
            <v>Not Listed</v>
          </cell>
          <cell r="E4124" t="str">
            <v>Comm.Trading  &amp; Distribution</v>
          </cell>
        </row>
        <row r="4125">
          <cell r="B4125" t="str">
            <v>SUNRAJ DIAMOND EXPORTS LTD.</v>
          </cell>
          <cell r="C4125">
            <v>523425</v>
          </cell>
          <cell r="D4125" t="str">
            <v>SUNRAJDI</v>
          </cell>
          <cell r="E4125" t="str">
            <v>Other Apparels &amp;amp; Accessories</v>
          </cell>
        </row>
        <row r="4126">
          <cell r="B4126" t="str">
            <v>SUNRISE INDUSTRIAL TRADERS LTD</v>
          </cell>
          <cell r="C4126">
            <v>501110</v>
          </cell>
          <cell r="D4126" t="str">
            <v>Not Listed</v>
          </cell>
          <cell r="E4126" t="str">
            <v>Other Financial Services</v>
          </cell>
        </row>
        <row r="4127">
          <cell r="B4127" t="str">
            <v>SUNSHIELD CHEMICALS LTD</v>
          </cell>
          <cell r="C4127">
            <v>530845</v>
          </cell>
          <cell r="D4127" t="str">
            <v>Not Listed</v>
          </cell>
          <cell r="E4127" t="str">
            <v>Commodity Chemicals</v>
          </cell>
        </row>
        <row r="4128">
          <cell r="B4128" t="str">
            <v>SUNSHINE CAPITAL LTD</v>
          </cell>
          <cell r="C4128">
            <v>539574</v>
          </cell>
          <cell r="D4128" t="str">
            <v>Not Listed</v>
          </cell>
          <cell r="E4128" t="str">
            <v>Finance (including NBFCs)</v>
          </cell>
        </row>
        <row r="4129">
          <cell r="B4129" t="str">
            <v>SUNSTAR REALTY DEVELOPMENT LTD</v>
          </cell>
          <cell r="C4129">
            <v>535141</v>
          </cell>
          <cell r="D4129" t="str">
            <v>Not Listed</v>
          </cell>
          <cell r="E4129" t="str">
            <v>Realty</v>
          </cell>
        </row>
        <row r="4130">
          <cell r="B4130" t="str">
            <v>SUNTECK REALTY LTD</v>
          </cell>
          <cell r="C4130">
            <v>512179</v>
          </cell>
          <cell r="D4130" t="str">
            <v>SUNTECK</v>
          </cell>
          <cell r="E4130" t="str">
            <v>Realty</v>
          </cell>
        </row>
        <row r="4131">
          <cell r="B4131" t="str">
            <v>SUPER BAKERS (INDIA) LTD</v>
          </cell>
          <cell r="C4131">
            <v>530735</v>
          </cell>
          <cell r="D4131" t="str">
            <v>Not Listed</v>
          </cell>
          <cell r="E4131" t="str">
            <v>Packaged Foods</v>
          </cell>
        </row>
        <row r="4132">
          <cell r="B4132" t="str">
            <v>SUPER BAKERS INDIA LTD</v>
          </cell>
          <cell r="C4132">
            <v>530735</v>
          </cell>
          <cell r="D4132" t="str">
            <v>Not Listed</v>
          </cell>
          <cell r="E4132" t="str">
            <v>Packaged Foods</v>
          </cell>
        </row>
        <row r="4133">
          <cell r="B4133" t="str">
            <v>SUPER CROP SAFE LTD</v>
          </cell>
          <cell r="C4133">
            <v>530883</v>
          </cell>
          <cell r="D4133" t="str">
            <v>Not Listed</v>
          </cell>
          <cell r="E4133" t="str">
            <v>Agrochemicals</v>
          </cell>
        </row>
        <row r="4134">
          <cell r="B4134" t="str">
            <v>SUPER DOMESTIC MACHINES LTD</v>
          </cell>
          <cell r="C4134">
            <v>531699</v>
          </cell>
          <cell r="D4134" t="str">
            <v>Not Listed</v>
          </cell>
          <cell r="E4134" t="str">
            <v>Household Appliances</v>
          </cell>
        </row>
        <row r="4135">
          <cell r="B4135" t="str">
            <v>SUPER FINE KNITTERS LTD</v>
          </cell>
          <cell r="C4135">
            <v>540269</v>
          </cell>
          <cell r="D4135" t="str">
            <v>Not Listed</v>
          </cell>
          <cell r="E4135" t="str">
            <v>Other Apparels &amp; Accessories</v>
          </cell>
        </row>
        <row r="4136">
          <cell r="B4136" t="str">
            <v>SUPER SALES (INDIA) LTD</v>
          </cell>
          <cell r="C4136">
            <v>512527</v>
          </cell>
          <cell r="D4136" t="str">
            <v>Not Listed</v>
          </cell>
          <cell r="E4136" t="str">
            <v>Textiles</v>
          </cell>
        </row>
        <row r="4137">
          <cell r="B4137" t="str">
            <v>SUPER SALES INDIA LTD</v>
          </cell>
          <cell r="C4137">
            <v>512527</v>
          </cell>
          <cell r="D4137" t="str">
            <v>Not Listed</v>
          </cell>
          <cell r="E4137" t="str">
            <v>Textiles</v>
          </cell>
        </row>
        <row r="4138">
          <cell r="B4138" t="str">
            <v>SUPER SPINNING MILLS LTD</v>
          </cell>
          <cell r="C4138">
            <v>521180</v>
          </cell>
          <cell r="D4138" t="str">
            <v>SUPERSPIN</v>
          </cell>
          <cell r="E4138" t="str">
            <v>Textiles</v>
          </cell>
        </row>
        <row r="4139">
          <cell r="B4139" t="str">
            <v>SUPER TANNERY LTD</v>
          </cell>
          <cell r="C4139">
            <v>523842</v>
          </cell>
          <cell r="D4139" t="str">
            <v>Not Listed</v>
          </cell>
          <cell r="E4139" t="str">
            <v>Other Apparels &amp; Accessories</v>
          </cell>
        </row>
        <row r="4140">
          <cell r="B4140" t="str">
            <v>SUPERB PAPERS LTD</v>
          </cell>
          <cell r="C4140">
            <v>532070</v>
          </cell>
          <cell r="D4140" t="str">
            <v>Not Listed</v>
          </cell>
          <cell r="E4140" t="str">
            <v>Paper &amp; Paper Products</v>
          </cell>
        </row>
        <row r="4141">
          <cell r="B4141" t="str">
            <v>SUPERHOUSE LTD</v>
          </cell>
          <cell r="C4141">
            <v>523283</v>
          </cell>
          <cell r="D4141" t="str">
            <v>SUPERHOUSE</v>
          </cell>
          <cell r="E4141" t="str">
            <v>Footwear</v>
          </cell>
        </row>
        <row r="4142">
          <cell r="B4142" t="str">
            <v>SUPERIOR FINLEASE LTD</v>
          </cell>
          <cell r="C4142">
            <v>539835</v>
          </cell>
          <cell r="D4142" t="str">
            <v>Not Listed</v>
          </cell>
          <cell r="E4142" t="str">
            <v>Finance (including NBFCs)</v>
          </cell>
        </row>
        <row r="4143">
          <cell r="B4143" t="str">
            <v>Superior Industrial Enterprises LTD</v>
          </cell>
          <cell r="C4143">
            <v>519234</v>
          </cell>
          <cell r="D4143" t="str">
            <v>SIEL</v>
          </cell>
          <cell r="E4143" t="str">
            <v>Edible Oils</v>
          </cell>
        </row>
        <row r="4144">
          <cell r="B4144" t="str">
            <v>SUPERNOVA ADVERTISING LTD</v>
          </cell>
          <cell r="C4144">
            <v>780008</v>
          </cell>
          <cell r="D4144" t="str">
            <v>Not Listed</v>
          </cell>
          <cell r="E4144" t="str">
            <v>Others</v>
          </cell>
        </row>
        <row r="4145">
          <cell r="B4145" t="str">
            <v>SUPERSHAKTI METALIKS LTD</v>
          </cell>
          <cell r="C4145">
            <v>541701</v>
          </cell>
          <cell r="D4145" t="str">
            <v>Not Listed</v>
          </cell>
          <cell r="E4145" t="str">
            <v>Iron &amp; Steel Products</v>
          </cell>
        </row>
        <row r="4146">
          <cell r="B4146" t="str">
            <v>SUPERTEX INDUSTRIES LTD</v>
          </cell>
          <cell r="C4146">
            <v>526133</v>
          </cell>
          <cell r="D4146" t="str">
            <v>Not Listed</v>
          </cell>
          <cell r="E4146" t="str">
            <v>Textiles</v>
          </cell>
        </row>
        <row r="4147">
          <cell r="B4147" t="str">
            <v>SUPRA PACIFIC MANAGEMENT CONSULTANCY LTD</v>
          </cell>
          <cell r="C4147">
            <v>540168</v>
          </cell>
          <cell r="D4147" t="str">
            <v>Not Listed</v>
          </cell>
          <cell r="E4147" t="str">
            <v>Finance (including NBFCs)</v>
          </cell>
        </row>
        <row r="4148">
          <cell r="B4148" t="str">
            <v>SUPRA TRENDS LTD</v>
          </cell>
          <cell r="C4148">
            <v>511539</v>
          </cell>
          <cell r="D4148" t="str">
            <v>Not Listed</v>
          </cell>
          <cell r="E4148" t="str">
            <v>Other Financial Services</v>
          </cell>
        </row>
        <row r="4149">
          <cell r="B4149" t="str">
            <v>SUPRAJIT ENGINEERING LTD</v>
          </cell>
          <cell r="C4149">
            <v>532509</v>
          </cell>
          <cell r="D4149" t="str">
            <v>SUPRAJIT</v>
          </cell>
          <cell r="E4149" t="str">
            <v>Auto Parts &amp; Equipment</v>
          </cell>
        </row>
        <row r="4150">
          <cell r="B4150" t="str">
            <v>SUPREME ENGINEERING LTD</v>
          </cell>
          <cell r="C4150" t="str">
            <v>Not Listed</v>
          </cell>
          <cell r="D4150" t="str">
            <v>SUPREMEENG</v>
          </cell>
          <cell r="E4150" t="str">
            <v>SME</v>
          </cell>
        </row>
        <row r="4151">
          <cell r="B4151" t="str">
            <v>SUPREME HOLDINGS &amp; HOSPITALITY (INDIA) LTD</v>
          </cell>
          <cell r="C4151">
            <v>530677</v>
          </cell>
          <cell r="D4151" t="str">
            <v>Not Listed</v>
          </cell>
          <cell r="E4151" t="str">
            <v>Realty</v>
          </cell>
        </row>
        <row r="4152">
          <cell r="B4152" t="str">
            <v>SUPREME HOLDINGS &amp; HOSPITALITY INDIA LTD</v>
          </cell>
          <cell r="C4152">
            <v>530677</v>
          </cell>
          <cell r="D4152" t="str">
            <v>Not Listed</v>
          </cell>
          <cell r="E4152" t="str">
            <v>Realty</v>
          </cell>
        </row>
        <row r="4153">
          <cell r="B4153" t="str">
            <v>SUPREME INDIA IMPEX LTD</v>
          </cell>
          <cell r="C4153" t="str">
            <v>Not Listed</v>
          </cell>
          <cell r="D4153" t="str">
            <v>SIIL</v>
          </cell>
          <cell r="E4153" t="str">
            <v>SME</v>
          </cell>
        </row>
        <row r="4154">
          <cell r="B4154" t="str">
            <v>SUPREME INDUSTRIES LTD</v>
          </cell>
          <cell r="C4154">
            <v>509930</v>
          </cell>
          <cell r="D4154" t="str">
            <v>SUPREMEIND</v>
          </cell>
          <cell r="E4154" t="str">
            <v>Plastic Products</v>
          </cell>
        </row>
        <row r="4155">
          <cell r="B4155" t="str">
            <v>SUPREME INFRASTRUCTURE (INDIA) LTD</v>
          </cell>
          <cell r="C4155">
            <v>532904</v>
          </cell>
          <cell r="D4155" t="str">
            <v>SUPREMEINF</v>
          </cell>
          <cell r="E4155" t="str">
            <v>Construction &amp; Engineering</v>
          </cell>
        </row>
        <row r="4156">
          <cell r="B4156" t="str">
            <v>SUPREME INFRASTRUCTURE INDIA LTD</v>
          </cell>
          <cell r="C4156">
            <v>532904</v>
          </cell>
          <cell r="D4156" t="str">
            <v>SUPREMEINF</v>
          </cell>
          <cell r="E4156" t="str">
            <v>Construction &amp; Engineering</v>
          </cell>
        </row>
        <row r="4157">
          <cell r="B4157" t="str">
            <v>SUPREME PETROCHEM LTD</v>
          </cell>
          <cell r="C4157">
            <v>500405</v>
          </cell>
          <cell r="D4157" t="str">
            <v>SUPPETRO</v>
          </cell>
          <cell r="E4157" t="str">
            <v>Petrochemicals</v>
          </cell>
        </row>
        <row r="4158">
          <cell r="B4158" t="str">
            <v>SUPREMEX SHINE STEELS LTD</v>
          </cell>
          <cell r="C4158">
            <v>534733</v>
          </cell>
          <cell r="D4158" t="str">
            <v>Not Listed</v>
          </cell>
          <cell r="E4158" t="str">
            <v>Iron &amp; Steel/Interm.Products</v>
          </cell>
        </row>
        <row r="4159">
          <cell r="B4159" t="str">
            <v>SURAJ LTD</v>
          </cell>
          <cell r="C4159">
            <v>531638</v>
          </cell>
          <cell r="D4159" t="str">
            <v>Not Listed</v>
          </cell>
          <cell r="E4159" t="str">
            <v>Iron &amp; Steel Products</v>
          </cell>
        </row>
        <row r="4160">
          <cell r="B4160" t="str">
            <v>SURAJ PRODUCTS LTD</v>
          </cell>
          <cell r="C4160">
            <v>518075</v>
          </cell>
          <cell r="D4160" t="str">
            <v>Not Listed</v>
          </cell>
          <cell r="E4160" t="str">
            <v>Iron &amp; Steel/Interm.Products</v>
          </cell>
        </row>
        <row r="4161">
          <cell r="B4161" t="str">
            <v>SURANA SOLAR LTD</v>
          </cell>
          <cell r="C4161">
            <v>533298</v>
          </cell>
          <cell r="D4161" t="str">
            <v>SURANASOL</v>
          </cell>
          <cell r="E4161" t="str">
            <v>Electronic Components</v>
          </cell>
        </row>
        <row r="4162">
          <cell r="B4162" t="str">
            <v>SURANA TELECOM AND POWER LTD</v>
          </cell>
          <cell r="C4162">
            <v>517530</v>
          </cell>
          <cell r="D4162" t="str">
            <v>SURANAT&amp;P</v>
          </cell>
          <cell r="E4162" t="str">
            <v>Telecom Cables</v>
          </cell>
        </row>
        <row r="4163">
          <cell r="B4163" t="str">
            <v>SURAT TEXTILE MILLS LTD</v>
          </cell>
          <cell r="C4163">
            <v>530185</v>
          </cell>
          <cell r="D4163" t="str">
            <v>Not Listed</v>
          </cell>
          <cell r="E4163" t="str">
            <v>Textiles</v>
          </cell>
        </row>
        <row r="4164">
          <cell r="B4164" t="str">
            <v>SUREVIN BPO SERVICES LTD</v>
          </cell>
          <cell r="C4164" t="str">
            <v>Not Listed</v>
          </cell>
          <cell r="D4164" t="str">
            <v>SUREVIN</v>
          </cell>
          <cell r="E4164" t="str">
            <v>SME</v>
          </cell>
        </row>
        <row r="4165">
          <cell r="B4165" t="str">
            <v>SURYA (INDIA) LTD</v>
          </cell>
          <cell r="C4165">
            <v>539253</v>
          </cell>
          <cell r="D4165" t="str">
            <v>Not Listed</v>
          </cell>
          <cell r="E4165" t="str">
            <v>Finance (including NBFCs)</v>
          </cell>
        </row>
        <row r="4166">
          <cell r="B4166" t="str">
            <v>SURYA INDIA LTD</v>
          </cell>
          <cell r="C4166">
            <v>539253</v>
          </cell>
          <cell r="D4166" t="str">
            <v>Not Listed</v>
          </cell>
          <cell r="E4166" t="str">
            <v>Finance (including NBFCs)</v>
          </cell>
        </row>
        <row r="4167">
          <cell r="B4167" t="str">
            <v>SURYA ROSHNI LTD</v>
          </cell>
          <cell r="C4167">
            <v>500336</v>
          </cell>
          <cell r="D4167" t="str">
            <v>SURYAROSNI</v>
          </cell>
          <cell r="E4167" t="str">
            <v>Diversified</v>
          </cell>
        </row>
        <row r="4168">
          <cell r="B4168" t="str">
            <v>SURYAAMBA SPINNING MILLS LTD</v>
          </cell>
          <cell r="C4168">
            <v>533101</v>
          </cell>
          <cell r="D4168" t="str">
            <v>Not Listed</v>
          </cell>
          <cell r="E4168" t="str">
            <v>Textiles</v>
          </cell>
        </row>
        <row r="4169">
          <cell r="B4169" t="str">
            <v>SURYACHAKRA POWER CORPORATION LTD</v>
          </cell>
          <cell r="C4169">
            <v>532874</v>
          </cell>
          <cell r="D4169" t="str">
            <v>Not Listed</v>
          </cell>
          <cell r="E4169" t="str">
            <v>Electric Utilities</v>
          </cell>
        </row>
        <row r="4170">
          <cell r="B4170" t="str">
            <v>SURYAKRIPA FINANCE LTD</v>
          </cell>
          <cell r="C4170">
            <v>511185</v>
          </cell>
          <cell r="D4170" t="str">
            <v>Not Listed</v>
          </cell>
          <cell r="E4170" t="str">
            <v>Transportation - Logistics</v>
          </cell>
        </row>
        <row r="4171">
          <cell r="B4171" t="str">
            <v>SURYALAKSHMI COTTON MILLS LTD</v>
          </cell>
          <cell r="C4171">
            <v>521200</v>
          </cell>
          <cell r="D4171" t="str">
            <v>SURYALAXMI</v>
          </cell>
          <cell r="E4171" t="str">
            <v>Textiles</v>
          </cell>
        </row>
        <row r="4172">
          <cell r="B4172" t="str">
            <v>SURYALATA SPINNING MILLS LTD</v>
          </cell>
          <cell r="C4172">
            <v>514138</v>
          </cell>
          <cell r="D4172" t="str">
            <v>Not Listed</v>
          </cell>
          <cell r="E4172" t="str">
            <v>Textiles</v>
          </cell>
        </row>
        <row r="4173">
          <cell r="B4173" t="str">
            <v>SURYAVANSHI SPINNING MILLS LTD</v>
          </cell>
          <cell r="C4173">
            <v>514140</v>
          </cell>
          <cell r="D4173" t="str">
            <v>Not Listed</v>
          </cell>
          <cell r="E4173" t="str">
            <v>Textiles</v>
          </cell>
        </row>
        <row r="4174">
          <cell r="B4174" t="str">
            <v>SURYO FOODS &amp;amp; INDUSTRIES LTD.</v>
          </cell>
          <cell r="C4174">
            <v>519604</v>
          </cell>
          <cell r="D4174" t="str">
            <v>SURFI</v>
          </cell>
          <cell r="E4174" t="str">
            <v>Packaged Foods</v>
          </cell>
        </row>
        <row r="4175">
          <cell r="B4175" t="str">
            <v>SUTLEJ TEXTILES AND INDUSTRIES LTD</v>
          </cell>
          <cell r="C4175">
            <v>532782</v>
          </cell>
          <cell r="D4175" t="str">
            <v>SUTLEJTEX</v>
          </cell>
          <cell r="E4175" t="str">
            <v>Textiles</v>
          </cell>
        </row>
        <row r="4176">
          <cell r="B4176" t="str">
            <v>SUUMAYA LIFESTYLE LTD</v>
          </cell>
          <cell r="C4176" t="str">
            <v>Not Listed</v>
          </cell>
          <cell r="D4176" t="str">
            <v>SUULD</v>
          </cell>
          <cell r="E4176" t="str">
            <v>SME</v>
          </cell>
        </row>
        <row r="4177">
          <cell r="B4177" t="str">
            <v>SUVEN LIFE SCIENCES LTD</v>
          </cell>
          <cell r="C4177">
            <v>530239</v>
          </cell>
          <cell r="D4177" t="str">
            <v>SUVEN</v>
          </cell>
          <cell r="E4177" t="str">
            <v>Pharmaceuticals</v>
          </cell>
        </row>
        <row r="4178">
          <cell r="B4178" t="str">
            <v>SUVIDHA INFRAESTATE CORPORATION LTD</v>
          </cell>
          <cell r="C4178">
            <v>531640</v>
          </cell>
          <cell r="D4178" t="str">
            <v>Not Listed</v>
          </cell>
          <cell r="E4178" t="str">
            <v>Realty</v>
          </cell>
        </row>
        <row r="4179">
          <cell r="B4179" t="str">
            <v>SUYOG TELEMATICS LTD</v>
          </cell>
          <cell r="C4179">
            <v>537259</v>
          </cell>
          <cell r="D4179" t="str">
            <v>Not Listed</v>
          </cell>
          <cell r="E4179" t="str">
            <v>Other Telecom Services</v>
          </cell>
        </row>
        <row r="4180">
          <cell r="B4180" t="str">
            <v>SUZLON ENERGY LTD</v>
          </cell>
          <cell r="C4180">
            <v>532667</v>
          </cell>
          <cell r="D4180" t="str">
            <v>SUZLON</v>
          </cell>
          <cell r="E4180" t="str">
            <v>Heavy Electrical Equipment</v>
          </cell>
        </row>
        <row r="4181">
          <cell r="B4181" t="str">
            <v>SVA (INDIA) LTD</v>
          </cell>
          <cell r="C4181">
            <v>531885</v>
          </cell>
          <cell r="D4181" t="str">
            <v>Not Listed</v>
          </cell>
          <cell r="E4181" t="str">
            <v>Comm.Trading  &amp; Distribution</v>
          </cell>
        </row>
        <row r="4182">
          <cell r="B4182" t="str">
            <v>SVA INDIA LTD</v>
          </cell>
          <cell r="C4182">
            <v>531885</v>
          </cell>
          <cell r="D4182" t="str">
            <v>Not Listed</v>
          </cell>
          <cell r="E4182" t="str">
            <v>Comm.Trading  &amp; Distribution</v>
          </cell>
        </row>
        <row r="4183">
          <cell r="B4183" t="str">
            <v>SVAM SOFTWARE LTD</v>
          </cell>
          <cell r="C4183">
            <v>523722</v>
          </cell>
          <cell r="D4183" t="str">
            <v>Not Listed</v>
          </cell>
          <cell r="E4183" t="str">
            <v>IT Software Products</v>
          </cell>
        </row>
        <row r="4184">
          <cell r="B4184" t="str">
            <v>SVARAJ TRADING &amp; AGENCIES LTD</v>
          </cell>
          <cell r="C4184">
            <v>503624</v>
          </cell>
          <cell r="D4184" t="str">
            <v>Not Listed</v>
          </cell>
          <cell r="E4184" t="str">
            <v>Other Financial Services</v>
          </cell>
        </row>
        <row r="4185">
          <cell r="B4185" t="str">
            <v>SVARNIM TRADE UDYOG LTD</v>
          </cell>
          <cell r="C4185">
            <v>539911</v>
          </cell>
          <cell r="D4185" t="str">
            <v>Not Listed</v>
          </cell>
          <cell r="E4185" t="str">
            <v>Comm.Trading  &amp; Distribution</v>
          </cell>
        </row>
        <row r="4186">
          <cell r="B4186" t="str">
            <v>SVC INDUSTRIES Ltd</v>
          </cell>
          <cell r="C4186">
            <v>524488</v>
          </cell>
          <cell r="D4186" t="str">
            <v>SVCIND</v>
          </cell>
          <cell r="E4186" t="str">
            <v>Commodity Chemicals</v>
          </cell>
        </row>
        <row r="4187">
          <cell r="B4187" t="str">
            <v>SVC RESOURCES LTD</v>
          </cell>
          <cell r="C4187">
            <v>512449</v>
          </cell>
          <cell r="D4187" t="str">
            <v>Not Listed</v>
          </cell>
          <cell r="E4187" t="str">
            <v>Mining</v>
          </cell>
        </row>
        <row r="4188">
          <cell r="B4188" t="str">
            <v>SVP GLOBAL VENTURES LTD</v>
          </cell>
          <cell r="C4188">
            <v>505590</v>
          </cell>
          <cell r="D4188" t="str">
            <v>Not Listed</v>
          </cell>
          <cell r="E4188" t="str">
            <v>Textiles</v>
          </cell>
        </row>
        <row r="4189">
          <cell r="B4189" t="str">
            <v>SVP HOUSING LTD</v>
          </cell>
          <cell r="C4189">
            <v>539041</v>
          </cell>
          <cell r="D4189" t="str">
            <v>Not Listed</v>
          </cell>
          <cell r="E4189" t="str">
            <v>Comm.Trading  &amp; Distribution</v>
          </cell>
        </row>
        <row r="4190">
          <cell r="B4190" t="str">
            <v>SW INVESTMENTS LTD</v>
          </cell>
          <cell r="C4190">
            <v>503659</v>
          </cell>
          <cell r="D4190" t="str">
            <v>Not Listed</v>
          </cell>
          <cell r="E4190" t="str">
            <v>Misc.Commercial Services</v>
          </cell>
        </row>
        <row r="4191">
          <cell r="B4191" t="str">
            <v>SWADESHI INDUSTRIES LEASING CO LTD</v>
          </cell>
          <cell r="C4191">
            <v>506863</v>
          </cell>
          <cell r="D4191" t="str">
            <v>Not Listed</v>
          </cell>
          <cell r="E4191" t="str">
            <v>Containers &amp; Packaging</v>
          </cell>
        </row>
        <row r="4192">
          <cell r="B4192" t="str">
            <v>SWADESHI POLYTEX LTD</v>
          </cell>
          <cell r="C4192">
            <v>503816</v>
          </cell>
          <cell r="D4192" t="str">
            <v>Not Listed</v>
          </cell>
          <cell r="E4192" t="str">
            <v>Textiles</v>
          </cell>
        </row>
        <row r="4193">
          <cell r="B4193" t="str">
            <v>SWAGRUHA INFRASTRUCTURE LTD</v>
          </cell>
          <cell r="C4193">
            <v>531909</v>
          </cell>
          <cell r="D4193" t="str">
            <v>Not Listed</v>
          </cell>
          <cell r="E4193" t="str">
            <v>Realty</v>
          </cell>
        </row>
        <row r="4194">
          <cell r="B4194" t="str">
            <v>SWAGTAM TRADING &amp; SERVICES LTD</v>
          </cell>
          <cell r="C4194">
            <v>539406</v>
          </cell>
          <cell r="D4194" t="str">
            <v>Not Listed</v>
          </cell>
          <cell r="E4194" t="str">
            <v>Comm.Trading  &amp; Distribution</v>
          </cell>
        </row>
        <row r="4195">
          <cell r="B4195" t="str">
            <v>SWAN ENERGY LTD</v>
          </cell>
          <cell r="C4195">
            <v>503310</v>
          </cell>
          <cell r="D4195" t="str">
            <v>SWANENERGY</v>
          </cell>
          <cell r="E4195" t="str">
            <v>Textiles</v>
          </cell>
        </row>
        <row r="4196">
          <cell r="B4196" t="str">
            <v>SWARAJ AUTOMOTIVES LTD</v>
          </cell>
          <cell r="C4196">
            <v>539353</v>
          </cell>
          <cell r="D4196" t="str">
            <v>Not Listed</v>
          </cell>
          <cell r="E4196" t="str">
            <v>Auto Parts &amp; Equipment</v>
          </cell>
        </row>
        <row r="4197">
          <cell r="B4197" t="str">
            <v>SWARAJ ENGINES LTD</v>
          </cell>
          <cell r="C4197">
            <v>500407</v>
          </cell>
          <cell r="D4197" t="str">
            <v>SWARAJENG</v>
          </cell>
          <cell r="E4197" t="str">
            <v>Auto Parts &amp; Equipment</v>
          </cell>
        </row>
        <row r="4198">
          <cell r="B4198" t="str">
            <v>SWARNA SECURITIES LTD</v>
          </cell>
          <cell r="C4198">
            <v>531003</v>
          </cell>
          <cell r="D4198" t="str">
            <v>Not Listed</v>
          </cell>
          <cell r="E4198" t="str">
            <v>Finance (including NBFCs)</v>
          </cell>
        </row>
        <row r="4199">
          <cell r="B4199" t="str">
            <v>SWARNSARITA GEMS LTD</v>
          </cell>
          <cell r="C4199">
            <v>526365</v>
          </cell>
          <cell r="D4199" t="str">
            <v>Not Listed</v>
          </cell>
          <cell r="E4199" t="str">
            <v>Other Apparels &amp; Accessories</v>
          </cell>
        </row>
        <row r="4200">
          <cell r="B4200" t="str">
            <v>SWASTI VINAYAKA ART AND HERITAGE CORPORATION LTD</v>
          </cell>
          <cell r="C4200">
            <v>512257</v>
          </cell>
          <cell r="D4200" t="str">
            <v>Not Listed</v>
          </cell>
          <cell r="E4200" t="str">
            <v>Diversified</v>
          </cell>
        </row>
        <row r="4201">
          <cell r="B4201" t="str">
            <v>SWASTI VINAYAKA SYNTHETICS LTD</v>
          </cell>
          <cell r="C4201">
            <v>510245</v>
          </cell>
          <cell r="D4201" t="str">
            <v>Not Listed</v>
          </cell>
          <cell r="E4201" t="str">
            <v>Comm.Trading  &amp; Distribution</v>
          </cell>
        </row>
        <row r="4202">
          <cell r="B4202" t="str">
            <v>SWASTIK SAFE DEPOSIT &amp; INVESTMENTS LTD</v>
          </cell>
          <cell r="C4202">
            <v>501386</v>
          </cell>
          <cell r="D4202" t="str">
            <v>Not Listed</v>
          </cell>
          <cell r="E4202" t="str">
            <v>Other Financial Services</v>
          </cell>
        </row>
        <row r="4203">
          <cell r="B4203" t="str">
            <v>SWASTIKA INVESTMART LTD</v>
          </cell>
          <cell r="C4203">
            <v>530585</v>
          </cell>
          <cell r="D4203" t="str">
            <v>Not Listed</v>
          </cell>
          <cell r="E4203" t="str">
            <v>Other Financial Services</v>
          </cell>
        </row>
        <row r="4204">
          <cell r="B4204" t="str">
            <v>SWELECT ENERGY SYSTEMS LTD</v>
          </cell>
          <cell r="C4204">
            <v>532051</v>
          </cell>
          <cell r="D4204" t="str">
            <v>SWELECTES</v>
          </cell>
          <cell r="E4204" t="str">
            <v>Heavy Electrical Equipment</v>
          </cell>
        </row>
        <row r="4205">
          <cell r="B4205" t="str">
            <v>SWISS GLASCOAT EQUIPMENTS LTD</v>
          </cell>
          <cell r="C4205">
            <v>522215</v>
          </cell>
          <cell r="D4205" t="str">
            <v>Not Listed</v>
          </cell>
          <cell r="E4205" t="str">
            <v>Industrial Machinery</v>
          </cell>
        </row>
        <row r="4206">
          <cell r="B4206" t="str">
            <v>SWITCHING TECHNOLOGIES GUNTHER LTD</v>
          </cell>
          <cell r="C4206">
            <v>517201</v>
          </cell>
          <cell r="D4206" t="str">
            <v>Not Listed</v>
          </cell>
          <cell r="E4206" t="str">
            <v>Electronic Components</v>
          </cell>
        </row>
        <row r="4207">
          <cell r="B4207" t="str">
            <v>SWORD &amp; SHIELD PHARMA LTD</v>
          </cell>
          <cell r="C4207">
            <v>531637</v>
          </cell>
          <cell r="D4207" t="str">
            <v>Not Listed</v>
          </cell>
          <cell r="E4207" t="str">
            <v>Pharmaceuticals</v>
          </cell>
        </row>
        <row r="4208">
          <cell r="B4208" t="str">
            <v>SWORD-EDGE COMMERCIALS LTD</v>
          </cell>
          <cell r="C4208">
            <v>512359</v>
          </cell>
          <cell r="D4208" t="str">
            <v>Not Listed</v>
          </cell>
          <cell r="E4208" t="str">
            <v>Comm.Trading  &amp; Distribution</v>
          </cell>
        </row>
        <row r="4209">
          <cell r="B4209" t="str">
            <v>SYBLY INDUSTRIES LTD</v>
          </cell>
          <cell r="C4209">
            <v>531499</v>
          </cell>
          <cell r="D4209" t="str">
            <v>Not Listed</v>
          </cell>
          <cell r="E4209" t="str">
            <v>Textiles</v>
          </cell>
        </row>
        <row r="4210">
          <cell r="B4210" t="str">
            <v>SYLPH EDUCATION SOLUTIONS LTD</v>
          </cell>
          <cell r="C4210">
            <v>539682</v>
          </cell>
          <cell r="D4210" t="str">
            <v>Not Listed</v>
          </cell>
          <cell r="E4210" t="str">
            <v>Education</v>
          </cell>
        </row>
        <row r="4211">
          <cell r="B4211" t="str">
            <v>SYLPH TECHNOLOGIES LTD</v>
          </cell>
          <cell r="C4211">
            <v>511447</v>
          </cell>
          <cell r="D4211" t="str">
            <v>Not Listed</v>
          </cell>
          <cell r="E4211" t="str">
            <v>Internet Software &amp; Services</v>
          </cell>
        </row>
        <row r="4212">
          <cell r="B4212" t="str">
            <v>SYMBIOX INVESTMENT &amp; TRADING COMPANY LTD</v>
          </cell>
          <cell r="C4212">
            <v>539278</v>
          </cell>
          <cell r="D4212" t="str">
            <v>Not Listed</v>
          </cell>
          <cell r="E4212" t="str">
            <v>Other Financial Services</v>
          </cell>
        </row>
        <row r="4213">
          <cell r="B4213" t="str">
            <v>SYMPHONY LTD</v>
          </cell>
          <cell r="C4213">
            <v>517385</v>
          </cell>
          <cell r="D4213" t="str">
            <v>SYMPHONY</v>
          </cell>
          <cell r="E4213" t="str">
            <v>Consumer Electronics</v>
          </cell>
        </row>
        <row r="4214">
          <cell r="B4214" t="str">
            <v>SYNCOM FORMULATIONS (INDIA) LTD</v>
          </cell>
          <cell r="C4214">
            <v>524470</v>
          </cell>
          <cell r="D4214" t="str">
            <v>Not Listed</v>
          </cell>
          <cell r="E4214" t="str">
            <v>Pharmaceuticals</v>
          </cell>
        </row>
        <row r="4215">
          <cell r="B4215" t="str">
            <v>SYNCOM FORMULATIONS INDIA LTD</v>
          </cell>
          <cell r="C4215">
            <v>524470</v>
          </cell>
          <cell r="D4215" t="str">
            <v>Not Listed</v>
          </cell>
          <cell r="E4215" t="str">
            <v>Pharmaceuticals</v>
          </cell>
        </row>
        <row r="4216">
          <cell r="B4216" t="str">
            <v>SYNCOM HEALTHCARE LTD</v>
          </cell>
          <cell r="C4216">
            <v>533157</v>
          </cell>
          <cell r="D4216" t="str">
            <v>SYNCOM</v>
          </cell>
          <cell r="E4216" t="str">
            <v>Pharmaceuticals</v>
          </cell>
        </row>
        <row r="4217">
          <cell r="B4217" t="str">
            <v>SYNDICATE BANK</v>
          </cell>
          <cell r="C4217">
            <v>532276</v>
          </cell>
          <cell r="D4217" t="str">
            <v>SYNDIBANK</v>
          </cell>
          <cell r="E4217" t="str">
            <v>Banks</v>
          </cell>
        </row>
        <row r="4218">
          <cell r="B4218" t="str">
            <v>SYNERGY GREEN INDUSTRIES LTD</v>
          </cell>
          <cell r="C4218">
            <v>541929</v>
          </cell>
          <cell r="D4218" t="str">
            <v>Not Listed</v>
          </cell>
          <cell r="E4218" t="str">
            <v>Other Industrial Products</v>
          </cell>
        </row>
        <row r="4219">
          <cell r="B4219" t="str">
            <v>SYNGENE INTERNATIONAL LTD</v>
          </cell>
          <cell r="C4219">
            <v>539268</v>
          </cell>
          <cell r="D4219" t="str">
            <v>SYNGENE</v>
          </cell>
          <cell r="E4219" t="str">
            <v>Pharmaceuticals</v>
          </cell>
        </row>
        <row r="4220">
          <cell r="B4220" t="str">
            <v>SYNTHIKO FOILS LTD</v>
          </cell>
          <cell r="C4220">
            <v>513307</v>
          </cell>
          <cell r="D4220" t="str">
            <v>Not Listed</v>
          </cell>
          <cell r="E4220" t="str">
            <v>Aluminium</v>
          </cell>
        </row>
        <row r="4221">
          <cell r="B4221" t="str">
            <v>SYSCHEM (INDIA) LTD</v>
          </cell>
          <cell r="C4221">
            <v>531173</v>
          </cell>
          <cell r="D4221" t="str">
            <v>Not Listed</v>
          </cell>
          <cell r="E4221" t="str">
            <v>Pharmaceuticals</v>
          </cell>
        </row>
        <row r="4222">
          <cell r="B4222" t="str">
            <v>SYSCHEM INDIA LTD</v>
          </cell>
          <cell r="C4222">
            <v>531173</v>
          </cell>
          <cell r="D4222" t="str">
            <v>Not Listed</v>
          </cell>
          <cell r="E4222" t="str">
            <v>Pharmaceuticals</v>
          </cell>
        </row>
        <row r="4223">
          <cell r="B4223" t="str">
            <v>SYSCO INDUSTRIES LTD</v>
          </cell>
          <cell r="C4223">
            <v>539842</v>
          </cell>
          <cell r="D4223" t="str">
            <v>Not Listed</v>
          </cell>
          <cell r="E4223" t="str">
            <v>Containers &amp; Packaging</v>
          </cell>
        </row>
        <row r="4224">
          <cell r="B4224" t="str">
            <v>SYSTEMATIX CORPORATE SERVICES LTD</v>
          </cell>
          <cell r="C4224">
            <v>526506</v>
          </cell>
          <cell r="D4224" t="str">
            <v>Not Listed</v>
          </cell>
          <cell r="E4224" t="str">
            <v>Other Financial Services</v>
          </cell>
        </row>
        <row r="4225">
          <cell r="B4225" t="str">
            <v>SYSTEMATIX SECURITIES LTD</v>
          </cell>
          <cell r="C4225">
            <v>531432</v>
          </cell>
          <cell r="D4225" t="str">
            <v>Not Listed</v>
          </cell>
          <cell r="E4225" t="str">
            <v>Finance (including NBFCs)</v>
          </cell>
        </row>
        <row r="4226">
          <cell r="B4226" t="str">
            <v>T &amp; I GLOBAL LTD</v>
          </cell>
          <cell r="C4226">
            <v>522294</v>
          </cell>
          <cell r="D4226" t="str">
            <v>Not Listed</v>
          </cell>
          <cell r="E4226" t="str">
            <v>Industrial Machinery</v>
          </cell>
        </row>
        <row r="4227">
          <cell r="B4227" t="str">
            <v>T D POWER SYSTEMS LTD</v>
          </cell>
          <cell r="C4227">
            <v>533553</v>
          </cell>
          <cell r="D4227" t="str">
            <v>Not Listed</v>
          </cell>
          <cell r="E4227" t="str">
            <v>Heavy Electrical Equipment</v>
          </cell>
        </row>
        <row r="4228">
          <cell r="B4228" t="str">
            <v>T SPIRITUAL WORLD LTD</v>
          </cell>
          <cell r="C4228">
            <v>532444</v>
          </cell>
          <cell r="D4228" t="str">
            <v>Not Listed</v>
          </cell>
          <cell r="E4228" t="str">
            <v>IT Software Products</v>
          </cell>
        </row>
        <row r="4229">
          <cell r="B4229" t="str">
            <v>T T LTD</v>
          </cell>
          <cell r="C4229">
            <v>514142</v>
          </cell>
          <cell r="D4229" t="str">
            <v>TTL</v>
          </cell>
          <cell r="E4229" t="str">
            <v>Textiles</v>
          </cell>
        </row>
        <row r="4230">
          <cell r="B4230" t="str">
            <v>TAAL ENTERPRISES LTD</v>
          </cell>
          <cell r="C4230">
            <v>539956</v>
          </cell>
          <cell r="D4230" t="str">
            <v>Not Listed</v>
          </cell>
          <cell r="E4230" t="str">
            <v>Airlines</v>
          </cell>
        </row>
        <row r="4231">
          <cell r="B4231" t="str">
            <v>TAAZA INTERNATIONAL LTD</v>
          </cell>
          <cell r="C4231">
            <v>537392</v>
          </cell>
          <cell r="D4231" t="str">
            <v>Not Listed</v>
          </cell>
          <cell r="E4231" t="str">
            <v>Department Stores</v>
          </cell>
        </row>
        <row r="4232">
          <cell r="B4232" t="str">
            <v>TAI INDUSTRIES LTD</v>
          </cell>
          <cell r="C4232">
            <v>519483</v>
          </cell>
          <cell r="D4232" t="str">
            <v>Not Listed</v>
          </cell>
          <cell r="E4232" t="str">
            <v>Comm.Trading  &amp; Distribution</v>
          </cell>
        </row>
        <row r="4233">
          <cell r="B4233" t="str">
            <v>TAINWALA CHEMICAL AND PLASTIC I LTD</v>
          </cell>
          <cell r="C4233">
            <v>507785</v>
          </cell>
          <cell r="D4233" t="str">
            <v>TAINWALCHM</v>
          </cell>
          <cell r="E4233" t="str">
            <v>Plastic Products</v>
          </cell>
        </row>
        <row r="4234">
          <cell r="B4234" t="str">
            <v>TAJ GVK HOTELS &amp; RESORTS LTD</v>
          </cell>
          <cell r="C4234">
            <v>532390</v>
          </cell>
          <cell r="D4234" t="str">
            <v>TAJGVK</v>
          </cell>
          <cell r="E4234" t="str">
            <v>Hotels</v>
          </cell>
        </row>
        <row r="4235">
          <cell r="B4235" t="str">
            <v>TAKE SOLUTIONS LTD</v>
          </cell>
          <cell r="C4235">
            <v>532890</v>
          </cell>
          <cell r="D4235" t="str">
            <v>TAKE</v>
          </cell>
          <cell r="E4235" t="str">
            <v>IT Consulting &amp; Software</v>
          </cell>
        </row>
        <row r="4236">
          <cell r="B4236" t="str">
            <v>TALBROS AUTOMOTIVE COMPONENTS LTD</v>
          </cell>
          <cell r="C4236">
            <v>505160</v>
          </cell>
          <cell r="D4236" t="str">
            <v>TALBROAUTO</v>
          </cell>
          <cell r="E4236" t="str">
            <v>Auto Parts &amp; Equipment</v>
          </cell>
        </row>
        <row r="4237">
          <cell r="B4237" t="str">
            <v>TALBROS ENGINEERING LTD</v>
          </cell>
          <cell r="C4237">
            <v>538987</v>
          </cell>
          <cell r="D4237" t="str">
            <v>Not Listed</v>
          </cell>
          <cell r="E4237" t="str">
            <v>Auto Parts &amp; Equipment</v>
          </cell>
        </row>
        <row r="4238">
          <cell r="B4238" t="str">
            <v>TALWALKARS BETTER VALUE FITNESS LTD</v>
          </cell>
          <cell r="C4238">
            <v>533200</v>
          </cell>
          <cell r="D4238" t="str">
            <v>TALWALKARS</v>
          </cell>
          <cell r="E4238" t="str">
            <v>Other Leisure Facilities</v>
          </cell>
        </row>
        <row r="4239">
          <cell r="B4239" t="str">
            <v>TALWALKARS LIFESTYLES LTD</v>
          </cell>
          <cell r="C4239">
            <v>541545</v>
          </cell>
          <cell r="D4239" t="str">
            <v>TALWGYM</v>
          </cell>
          <cell r="E4239" t="str">
            <v>Other Leisure Facilities</v>
          </cell>
        </row>
        <row r="4240">
          <cell r="B4240" t="str">
            <v>TAMBOLI CAPITAL LTD</v>
          </cell>
          <cell r="C4240">
            <v>533170</v>
          </cell>
          <cell r="D4240" t="str">
            <v>Not Listed</v>
          </cell>
          <cell r="E4240" t="str">
            <v>Investment Companies</v>
          </cell>
        </row>
        <row r="4241">
          <cell r="B4241" t="str">
            <v>TAMIL NADU NEWSPRINT &amp; PAPERS LTD</v>
          </cell>
          <cell r="C4241">
            <v>531426</v>
          </cell>
          <cell r="D4241" t="str">
            <v>TNPL</v>
          </cell>
          <cell r="E4241" t="str">
            <v>Paper &amp; Paper Products</v>
          </cell>
        </row>
        <row r="4242">
          <cell r="B4242" t="str">
            <v>TAMILNADU JAIBHARAT MILLS LTD</v>
          </cell>
          <cell r="C4242">
            <v>521038</v>
          </cell>
          <cell r="D4242" t="str">
            <v>Not Listed</v>
          </cell>
          <cell r="E4242" t="str">
            <v>Textiles</v>
          </cell>
        </row>
        <row r="4243">
          <cell r="B4243" t="str">
            <v>TAMILNADU PETROPRODUCTS LTD</v>
          </cell>
          <cell r="C4243">
            <v>500777</v>
          </cell>
          <cell r="D4243" t="str">
            <v>TNPETRO</v>
          </cell>
          <cell r="E4243" t="str">
            <v>Commodity Chemicals</v>
          </cell>
        </row>
        <row r="4244">
          <cell r="B4244" t="str">
            <v>TAMILNADU STEEL TUBES LTD</v>
          </cell>
          <cell r="C4244">
            <v>513540</v>
          </cell>
          <cell r="D4244" t="str">
            <v>Not Listed</v>
          </cell>
          <cell r="E4244" t="str">
            <v>Iron &amp; Steel Products</v>
          </cell>
        </row>
        <row r="4245">
          <cell r="B4245" t="str">
            <v>TAMILNADU TELECOMMUNICATION LTD</v>
          </cell>
          <cell r="C4245">
            <v>523419</v>
          </cell>
          <cell r="D4245" t="str">
            <v>TNTELE</v>
          </cell>
          <cell r="E4245" t="str">
            <v>Telecom Cables</v>
          </cell>
        </row>
        <row r="4246">
          <cell r="B4246" t="str">
            <v>TANEJA AEROSPACE &amp; AVIATION LTD</v>
          </cell>
          <cell r="C4246">
            <v>522229</v>
          </cell>
          <cell r="D4246" t="str">
            <v>Not Listed</v>
          </cell>
          <cell r="E4246" t="str">
            <v>Aerospace</v>
          </cell>
        </row>
        <row r="4247">
          <cell r="B4247" t="str">
            <v>TANFAC INDUSTRIES LTD</v>
          </cell>
          <cell r="C4247">
            <v>506854</v>
          </cell>
          <cell r="D4247" t="str">
            <v>Not Listed</v>
          </cell>
          <cell r="E4247" t="str">
            <v>Commodity Chemicals</v>
          </cell>
        </row>
        <row r="4248">
          <cell r="B4248" t="str">
            <v>TANLA SOLUTIONS LTD</v>
          </cell>
          <cell r="C4248">
            <v>532790</v>
          </cell>
          <cell r="D4248" t="str">
            <v>TANLA</v>
          </cell>
          <cell r="E4248" t="str">
            <v>IT Software Products</v>
          </cell>
        </row>
        <row r="4249">
          <cell r="B4249" t="str">
            <v>TANTIA CONSTRUCTIONS LTD</v>
          </cell>
          <cell r="C4249">
            <v>532738</v>
          </cell>
          <cell r="D4249" t="str">
            <v>TANTIACONS</v>
          </cell>
          <cell r="E4249" t="str">
            <v>Construction &amp; Engineering</v>
          </cell>
        </row>
        <row r="4250">
          <cell r="B4250" t="str">
            <v>TANVI FOODS (INDIA) LTD</v>
          </cell>
          <cell r="C4250">
            <v>540332</v>
          </cell>
          <cell r="D4250" t="str">
            <v>Not Listed</v>
          </cell>
          <cell r="E4250" t="str">
            <v>Comm.Trading  &amp; Distribution</v>
          </cell>
        </row>
        <row r="4251">
          <cell r="B4251" t="str">
            <v>TANVI FOODS INDIA LTD</v>
          </cell>
          <cell r="C4251">
            <v>540332</v>
          </cell>
          <cell r="D4251" t="str">
            <v>Not Listed</v>
          </cell>
          <cell r="E4251" t="str">
            <v>Comm.Trading  &amp; Distribution</v>
          </cell>
        </row>
        <row r="4252">
          <cell r="B4252" t="str">
            <v>TAPARIA TOOLS LTD</v>
          </cell>
          <cell r="C4252">
            <v>505685</v>
          </cell>
          <cell r="D4252" t="str">
            <v>Not Listed</v>
          </cell>
          <cell r="E4252" t="str">
            <v>Iron &amp; Steel Products</v>
          </cell>
        </row>
        <row r="4253">
          <cell r="B4253" t="str">
            <v>TARA CHAND LOGISTIC SOLUTIONS LTD</v>
          </cell>
          <cell r="C4253" t="str">
            <v>Not Listed</v>
          </cell>
          <cell r="D4253" t="str">
            <v>TARACHAND</v>
          </cell>
          <cell r="E4253" t="str">
            <v>SME</v>
          </cell>
        </row>
        <row r="4254">
          <cell r="B4254" t="str">
            <v>TARA JEWELS LTD</v>
          </cell>
          <cell r="C4254">
            <v>534756</v>
          </cell>
          <cell r="D4254" t="str">
            <v>TARAJEWELS</v>
          </cell>
          <cell r="E4254" t="str">
            <v>Other Apparels &amp; Accessories</v>
          </cell>
        </row>
        <row r="4255">
          <cell r="B4255" t="str">
            <v>TARAI FOODS LTD</v>
          </cell>
          <cell r="C4255">
            <v>519285</v>
          </cell>
          <cell r="D4255" t="str">
            <v>Not Listed</v>
          </cell>
          <cell r="E4255" t="str">
            <v>Other Agricultural Products</v>
          </cell>
        </row>
        <row r="4256">
          <cell r="B4256" t="str">
            <v>TARAPUR TRANSFORMERS LTD</v>
          </cell>
          <cell r="C4256">
            <v>533203</v>
          </cell>
          <cell r="D4256" t="str">
            <v>TARAPUR</v>
          </cell>
          <cell r="E4256" t="str">
            <v>Heavy Electrical Equipment</v>
          </cell>
        </row>
        <row r="4257">
          <cell r="B4257" t="str">
            <v>TARINI INTERNATIONAL LTD</v>
          </cell>
          <cell r="C4257">
            <v>538496</v>
          </cell>
          <cell r="D4257" t="str">
            <v>Not Listed</v>
          </cell>
          <cell r="E4257" t="str">
            <v>Consulting Services</v>
          </cell>
        </row>
        <row r="4258">
          <cell r="B4258" t="str">
            <v>TARMAT LTD</v>
          </cell>
          <cell r="C4258">
            <v>532869</v>
          </cell>
          <cell r="D4258" t="str">
            <v>TARMAT</v>
          </cell>
          <cell r="E4258" t="str">
            <v>Construction &amp; Engineering</v>
          </cell>
        </row>
        <row r="4259">
          <cell r="B4259" t="str">
            <v>TASHI (INDIA) LTD</v>
          </cell>
          <cell r="C4259">
            <v>512271</v>
          </cell>
          <cell r="D4259" t="str">
            <v>Not Listed</v>
          </cell>
          <cell r="E4259" t="str">
            <v>Misc.Commercial Services</v>
          </cell>
        </row>
        <row r="4260">
          <cell r="B4260" t="str">
            <v>TASHI INDIA LTD</v>
          </cell>
          <cell r="C4260">
            <v>512271</v>
          </cell>
          <cell r="D4260" t="str">
            <v>Not Listed</v>
          </cell>
          <cell r="E4260" t="str">
            <v>Misc.Commercial Services</v>
          </cell>
        </row>
        <row r="4261">
          <cell r="B4261" t="str">
            <v>TASTY BITE EATABLES LTD</v>
          </cell>
          <cell r="C4261">
            <v>519091</v>
          </cell>
          <cell r="D4261" t="str">
            <v>TASTYBITE</v>
          </cell>
          <cell r="E4261" t="str">
            <v>Packaged Foods</v>
          </cell>
        </row>
        <row r="4262">
          <cell r="B4262" t="str">
            <v>TASTY DAIRY SPECIALITIES LTD</v>
          </cell>
          <cell r="C4262">
            <v>540955</v>
          </cell>
          <cell r="D4262" t="str">
            <v>Not Listed</v>
          </cell>
          <cell r="E4262" t="str">
            <v>Packaged Foods</v>
          </cell>
        </row>
        <row r="4263">
          <cell r="B4263" t="str">
            <v>TATA CHEMICALS LTD</v>
          </cell>
          <cell r="C4263">
            <v>500770</v>
          </cell>
          <cell r="D4263" t="str">
            <v>TATACHEM</v>
          </cell>
          <cell r="E4263" t="str">
            <v>Commodity Chemicals</v>
          </cell>
        </row>
        <row r="4264">
          <cell r="B4264" t="str">
            <v>TATA COFFEE LTD</v>
          </cell>
          <cell r="C4264">
            <v>532301</v>
          </cell>
          <cell r="D4264" t="str">
            <v>TATACOFFEE</v>
          </cell>
          <cell r="E4264" t="str">
            <v>Tea &amp; Coffee</v>
          </cell>
        </row>
        <row r="4265">
          <cell r="B4265" t="str">
            <v>TATA COMMUNICATIONS LTD</v>
          </cell>
          <cell r="C4265">
            <v>500483</v>
          </cell>
          <cell r="D4265" t="str">
            <v>TATACOMM</v>
          </cell>
          <cell r="E4265" t="str">
            <v>Telecom - Alternate Carriers</v>
          </cell>
        </row>
        <row r="4266">
          <cell r="B4266" t="str">
            <v>TATA CONSULTANCY SERVICES LTD</v>
          </cell>
          <cell r="C4266">
            <v>532540</v>
          </cell>
          <cell r="D4266" t="str">
            <v>TCS</v>
          </cell>
          <cell r="E4266" t="str">
            <v>IT Consulting &amp; Software</v>
          </cell>
        </row>
        <row r="4267">
          <cell r="B4267" t="str">
            <v>TATA ELXSI LTD</v>
          </cell>
          <cell r="C4267">
            <v>500408</v>
          </cell>
          <cell r="D4267" t="str">
            <v>TATAELXSI</v>
          </cell>
          <cell r="E4267" t="str">
            <v>IT Software Products</v>
          </cell>
        </row>
        <row r="4268">
          <cell r="B4268" t="str">
            <v>TATA GLOBAL BEVERAGES LTD</v>
          </cell>
          <cell r="C4268">
            <v>500800</v>
          </cell>
          <cell r="D4268" t="str">
            <v>TATAGLOBAL</v>
          </cell>
          <cell r="E4268" t="str">
            <v>Tea &amp; Coffee</v>
          </cell>
        </row>
        <row r="4269">
          <cell r="B4269" t="str">
            <v>TATA INVESTMENT CORPORATION LTD</v>
          </cell>
          <cell r="C4269">
            <v>501301</v>
          </cell>
          <cell r="D4269" t="str">
            <v>TATAINVEST</v>
          </cell>
          <cell r="E4269" t="str">
            <v>Holding Companies</v>
          </cell>
        </row>
        <row r="4270">
          <cell r="B4270" t="str">
            <v>TATA METALIKS LTD</v>
          </cell>
          <cell r="C4270">
            <v>513434</v>
          </cell>
          <cell r="D4270" t="str">
            <v>TATAMETALI</v>
          </cell>
          <cell r="E4270" t="str">
            <v>Iron &amp; Steel/Interm.Products</v>
          </cell>
        </row>
        <row r="4271">
          <cell r="B4271" t="str">
            <v>TATA MOTORS LTD</v>
          </cell>
          <cell r="C4271">
            <v>500570</v>
          </cell>
          <cell r="D4271" t="str">
            <v>TATAMOTORS</v>
          </cell>
          <cell r="E4271" t="str">
            <v>Commercial Vehicles</v>
          </cell>
        </row>
        <row r="4272">
          <cell r="B4272" t="str">
            <v>TATA MOTORS LTD</v>
          </cell>
          <cell r="C4272">
            <v>570001</v>
          </cell>
          <cell r="D4272" t="str">
            <v>TATAMTRDVR</v>
          </cell>
          <cell r="E4272" t="str">
            <v>Commercial Vehicles</v>
          </cell>
        </row>
        <row r="4273">
          <cell r="B4273" t="str">
            <v>TATA POWER COMPANY LTD</v>
          </cell>
          <cell r="C4273">
            <v>500400</v>
          </cell>
          <cell r="D4273" t="str">
            <v>TATAPOWER</v>
          </cell>
          <cell r="E4273" t="str">
            <v>Electric Utilities</v>
          </cell>
        </row>
        <row r="4274">
          <cell r="B4274" t="str">
            <v>TATA SPONGE IRON LTD</v>
          </cell>
          <cell r="C4274">
            <v>513010</v>
          </cell>
          <cell r="D4274" t="str">
            <v>TATASPONGE</v>
          </cell>
          <cell r="E4274" t="str">
            <v>Iron &amp; Steel/Interm.Products</v>
          </cell>
        </row>
        <row r="4275">
          <cell r="B4275" t="str">
            <v>Tata Steel Bsl LTD</v>
          </cell>
          <cell r="C4275" t="str">
            <v>Not Listed</v>
          </cell>
          <cell r="D4275" t="str">
            <v>TATASTLBSL</v>
          </cell>
          <cell r="E4275" t="str">
            <v>Iron &amp; Steel/Interm.Products</v>
          </cell>
        </row>
        <row r="4276">
          <cell r="B4276" t="str">
            <v>TATA STEEL LTD</v>
          </cell>
          <cell r="C4276">
            <v>500470</v>
          </cell>
          <cell r="D4276" t="str">
            <v>TATASTEEL</v>
          </cell>
          <cell r="E4276" t="str">
            <v>Iron &amp; Steel/Interm.Products</v>
          </cell>
        </row>
        <row r="4277">
          <cell r="B4277" t="str">
            <v>TATA TELESERVICES MAHARASHTRA LTD</v>
          </cell>
          <cell r="C4277">
            <v>532371</v>
          </cell>
          <cell r="D4277" t="str">
            <v>TTML</v>
          </cell>
          <cell r="E4277" t="str">
            <v>Telecom Services</v>
          </cell>
        </row>
        <row r="4278">
          <cell r="B4278" t="str">
            <v>TATIA GLOBAL VENNTURE LTD</v>
          </cell>
          <cell r="C4278">
            <v>521228</v>
          </cell>
          <cell r="D4278" t="str">
            <v>Not Listed</v>
          </cell>
          <cell r="E4278" t="str">
            <v>Other Apparels &amp; Accessories</v>
          </cell>
        </row>
        <row r="4279">
          <cell r="B4279" t="str">
            <v>TAVERNIER RESOURCES LTD</v>
          </cell>
          <cell r="C4279">
            <v>531190</v>
          </cell>
          <cell r="D4279" t="str">
            <v>Not Listed</v>
          </cell>
          <cell r="E4279" t="str">
            <v>Textiles</v>
          </cell>
        </row>
        <row r="4280">
          <cell r="B4280" t="str">
            <v>TAYLORMADE RENEWABLES LTD</v>
          </cell>
          <cell r="C4280">
            <v>541228</v>
          </cell>
          <cell r="D4280" t="str">
            <v>Not Listed</v>
          </cell>
          <cell r="E4280" t="str">
            <v>Industrial Machinery</v>
          </cell>
        </row>
        <row r="4281">
          <cell r="B4281" t="str">
            <v>TAYO ROLLS LTD</v>
          </cell>
          <cell r="C4281">
            <v>504961</v>
          </cell>
          <cell r="D4281" t="str">
            <v>Not Listed</v>
          </cell>
          <cell r="E4281" t="str">
            <v>Iron &amp; Steel/Interm.Products</v>
          </cell>
        </row>
        <row r="4282">
          <cell r="B4282" t="str">
            <v>TCFC FINANCE LTD</v>
          </cell>
          <cell r="C4282">
            <v>532284</v>
          </cell>
          <cell r="D4282" t="str">
            <v>Not Listed</v>
          </cell>
          <cell r="E4282" t="str">
            <v>Other Financial Services</v>
          </cell>
        </row>
        <row r="4283">
          <cell r="B4283" t="str">
            <v>TCI DEVELOPERS LTD</v>
          </cell>
          <cell r="C4283">
            <v>533393</v>
          </cell>
          <cell r="D4283" t="str">
            <v>TCIDEVELOP</v>
          </cell>
          <cell r="E4283" t="str">
            <v>Realty</v>
          </cell>
        </row>
        <row r="4284">
          <cell r="B4284" t="str">
            <v>TCI EXPRESS LTD</v>
          </cell>
          <cell r="C4284">
            <v>540212</v>
          </cell>
          <cell r="D4284" t="str">
            <v>TCIEXP</v>
          </cell>
          <cell r="E4284" t="str">
            <v>Transportation - Logistics</v>
          </cell>
        </row>
        <row r="4285">
          <cell r="B4285" t="str">
            <v>TCI FINANCE LTD</v>
          </cell>
          <cell r="C4285">
            <v>501242</v>
          </cell>
          <cell r="D4285" t="str">
            <v>TCIFINANCE</v>
          </cell>
          <cell r="E4285" t="str">
            <v>Finance (including NBFCs)</v>
          </cell>
        </row>
        <row r="4286">
          <cell r="B4286" t="str">
            <v>TCI INDUSTRIES LTD</v>
          </cell>
          <cell r="C4286">
            <v>532262</v>
          </cell>
          <cell r="D4286" t="str">
            <v>Not Listed</v>
          </cell>
          <cell r="E4286" t="str">
            <v>Transportation - Logistics</v>
          </cell>
        </row>
        <row r="4287">
          <cell r="B4287" t="str">
            <v>TCM LTD</v>
          </cell>
          <cell r="C4287">
            <v>524156</v>
          </cell>
          <cell r="D4287" t="str">
            <v>Not Listed</v>
          </cell>
          <cell r="E4287" t="str">
            <v>Commodity Chemicals</v>
          </cell>
        </row>
        <row r="4288">
          <cell r="B4288" t="str">
            <v>TCNS CLOTHING CO LTD</v>
          </cell>
          <cell r="C4288">
            <v>541700</v>
          </cell>
          <cell r="D4288" t="str">
            <v>TCNSBRANDS</v>
          </cell>
          <cell r="E4288" t="str">
            <v>Other Apparels &amp; Accessories</v>
          </cell>
        </row>
        <row r="4289">
          <cell r="B4289" t="str">
            <v>TCPL PACKAGING LTD</v>
          </cell>
          <cell r="C4289">
            <v>523301</v>
          </cell>
          <cell r="D4289" t="str">
            <v>TCPLPACK</v>
          </cell>
          <cell r="E4289" t="str">
            <v>Paper &amp; Paper Products</v>
          </cell>
        </row>
        <row r="4290">
          <cell r="B4290" t="str">
            <v>TD POWER SYSTEMS LTD</v>
          </cell>
          <cell r="C4290" t="str">
            <v>Not Listed</v>
          </cell>
          <cell r="D4290" t="str">
            <v>TDPOWERSYS</v>
          </cell>
          <cell r="E4290" t="str">
            <v>Others</v>
          </cell>
        </row>
        <row r="4291">
          <cell r="B4291" t="str">
            <v>TEA TIME LTD</v>
          </cell>
          <cell r="C4291">
            <v>512011</v>
          </cell>
          <cell r="D4291" t="str">
            <v>Not Listed</v>
          </cell>
          <cell r="E4291" t="str">
            <v>Comm.Trading  &amp; Distribution</v>
          </cell>
        </row>
        <row r="4292">
          <cell r="B4292" t="str">
            <v>TEAMLEASE SERVICES LTD</v>
          </cell>
          <cell r="C4292">
            <v>539658</v>
          </cell>
          <cell r="D4292" t="str">
            <v>TEAMLEASE</v>
          </cell>
          <cell r="E4292" t="str">
            <v>Sp.Consumer Services</v>
          </cell>
        </row>
        <row r="4293">
          <cell r="B4293" t="str">
            <v>TECH MAHINDRA LTD</v>
          </cell>
          <cell r="C4293">
            <v>532755</v>
          </cell>
          <cell r="D4293" t="str">
            <v>TECHM</v>
          </cell>
          <cell r="E4293" t="str">
            <v>IT Consulting &amp; Software</v>
          </cell>
        </row>
        <row r="4294">
          <cell r="B4294" t="str">
            <v>TECHINDIA NIRMAN LTD</v>
          </cell>
          <cell r="C4294">
            <v>526576</v>
          </cell>
          <cell r="D4294" t="str">
            <v>TECHIN</v>
          </cell>
          <cell r="E4294" t="str">
            <v>Other Agricultural Products</v>
          </cell>
        </row>
        <row r="4295">
          <cell r="B4295" t="str">
            <v>TECHNO ELECTRIC &amp; ENGINEERING COMPANY LTD</v>
          </cell>
          <cell r="C4295">
            <v>542141</v>
          </cell>
          <cell r="D4295" t="str">
            <v>TECHNOE</v>
          </cell>
          <cell r="E4295" t="str">
            <v>Construction &amp; Engineering</v>
          </cell>
        </row>
        <row r="4296">
          <cell r="B4296" t="str">
            <v>TECHNOCRAFT INDUSTRIES (INDIA) LTD</v>
          </cell>
          <cell r="C4296">
            <v>532804</v>
          </cell>
          <cell r="D4296" t="str">
            <v>TIIL</v>
          </cell>
          <cell r="E4296" t="str">
            <v>Iron &amp; Steel Products</v>
          </cell>
        </row>
        <row r="4297">
          <cell r="B4297" t="str">
            <v>TECHNOCRAFT INDUSTRIES INDIA LTD</v>
          </cell>
          <cell r="C4297">
            <v>532804</v>
          </cell>
          <cell r="D4297" t="str">
            <v>TIIL</v>
          </cell>
          <cell r="E4297" t="str">
            <v>Iron &amp; Steel Products</v>
          </cell>
        </row>
        <row r="4298">
          <cell r="B4298" t="str">
            <v>TECHNOFAB ENGINEERING LTD</v>
          </cell>
          <cell r="C4298">
            <v>533216</v>
          </cell>
          <cell r="D4298" t="str">
            <v>TECHNOFAB</v>
          </cell>
          <cell r="E4298" t="str">
            <v>Construction &amp; Engineering</v>
          </cell>
        </row>
        <row r="4299">
          <cell r="B4299" t="str">
            <v>TECHNOJET CONSULTANTS LTD</v>
          </cell>
          <cell r="C4299">
            <v>509917</v>
          </cell>
          <cell r="D4299" t="str">
            <v>Not Listed</v>
          </cell>
          <cell r="E4299" t="str">
            <v>Electronic Components</v>
          </cell>
        </row>
        <row r="4300">
          <cell r="B4300" t="str">
            <v>TECHNVISION VENTURES LTD</v>
          </cell>
          <cell r="C4300">
            <v>501421</v>
          </cell>
          <cell r="D4300" t="str">
            <v>Not Listed</v>
          </cell>
          <cell r="E4300" t="str">
            <v>IT Software Products</v>
          </cell>
        </row>
        <row r="4301">
          <cell r="B4301" t="str">
            <v>TEESTA AGRO INDUSTRIES LTD</v>
          </cell>
          <cell r="C4301">
            <v>524204</v>
          </cell>
          <cell r="D4301" t="str">
            <v>Not Listed</v>
          </cell>
          <cell r="E4301" t="str">
            <v>Fertilizers</v>
          </cell>
        </row>
        <row r="4302">
          <cell r="B4302" t="str">
            <v>TEJAS NETWORKS LTD</v>
          </cell>
          <cell r="C4302">
            <v>540595</v>
          </cell>
          <cell r="D4302" t="str">
            <v>TEJASNET</v>
          </cell>
          <cell r="E4302" t="str">
            <v>Other Telecom Services</v>
          </cell>
        </row>
        <row r="4303">
          <cell r="B4303" t="str">
            <v>TEJNAKSH HEALTHCARE LTD</v>
          </cell>
          <cell r="C4303">
            <v>539428</v>
          </cell>
          <cell r="D4303" t="str">
            <v>Not Listed</v>
          </cell>
          <cell r="E4303" t="str">
            <v>Healthcare Facilities</v>
          </cell>
        </row>
        <row r="4304">
          <cell r="B4304" t="str">
            <v>TELECANOR GLOBAL LTD</v>
          </cell>
          <cell r="C4304">
            <v>530595</v>
          </cell>
          <cell r="D4304" t="str">
            <v>Not Listed</v>
          </cell>
          <cell r="E4304" t="str">
            <v>IT Software Products</v>
          </cell>
        </row>
        <row r="4305">
          <cell r="B4305" t="str">
            <v>TERA SOFTWARE LTD</v>
          </cell>
          <cell r="C4305">
            <v>533982</v>
          </cell>
          <cell r="D4305" t="str">
            <v>TERASOFT</v>
          </cell>
          <cell r="E4305" t="str">
            <v>IT Consulting &amp; Software</v>
          </cell>
        </row>
        <row r="4306">
          <cell r="B4306" t="str">
            <v>TERAI TEA CO LTD</v>
          </cell>
          <cell r="C4306">
            <v>530533</v>
          </cell>
          <cell r="D4306" t="str">
            <v>Not Listed</v>
          </cell>
          <cell r="E4306" t="str">
            <v>Tea &amp; Coffee</v>
          </cell>
        </row>
        <row r="4307">
          <cell r="B4307" t="str">
            <v>TERRAFORM MAGNUM LTD</v>
          </cell>
          <cell r="C4307">
            <v>506162</v>
          </cell>
          <cell r="D4307" t="str">
            <v>Not Listed</v>
          </cell>
          <cell r="E4307" t="str">
            <v>Other Financial Services</v>
          </cell>
        </row>
        <row r="4308">
          <cell r="B4308" t="str">
            <v>TERRAFORM REALSTATE LTD</v>
          </cell>
          <cell r="C4308">
            <v>512157</v>
          </cell>
          <cell r="D4308" t="str">
            <v>Not Listed</v>
          </cell>
          <cell r="E4308" t="str">
            <v>Misc.Commercial Services</v>
          </cell>
        </row>
        <row r="4309">
          <cell r="B4309" t="str">
            <v>TEXMACO INFRASTRUCTURE &amp; HOLDINGS LTD</v>
          </cell>
          <cell r="C4309">
            <v>505400</v>
          </cell>
          <cell r="D4309" t="str">
            <v>TEXINFRA</v>
          </cell>
          <cell r="E4309" t="str">
            <v>Realty</v>
          </cell>
        </row>
        <row r="4310">
          <cell r="B4310" t="str">
            <v>TEXMACO RAIL &amp; ENGINEERING LTD</v>
          </cell>
          <cell r="C4310">
            <v>533326</v>
          </cell>
          <cell r="D4310" t="str">
            <v>TEXRAIL</v>
          </cell>
          <cell r="E4310" t="str">
            <v>Construction &amp; Engineering</v>
          </cell>
        </row>
        <row r="4311">
          <cell r="B4311" t="str">
            <v>TEXMO PIPES AND PRODUCTS LTD</v>
          </cell>
          <cell r="C4311">
            <v>533164</v>
          </cell>
          <cell r="D4311" t="str">
            <v>TEXMOPIPES</v>
          </cell>
          <cell r="E4311" t="str">
            <v>Plastic Products</v>
          </cell>
        </row>
        <row r="4312">
          <cell r="B4312" t="str">
            <v>TGB BANQUETS AND HOTELS LTD</v>
          </cell>
          <cell r="C4312">
            <v>532845</v>
          </cell>
          <cell r="D4312" t="str">
            <v>TGBHOTELS</v>
          </cell>
          <cell r="E4312" t="str">
            <v>Hotels</v>
          </cell>
        </row>
        <row r="4313">
          <cell r="B4313" t="str">
            <v>TGV SRAAC LTD</v>
          </cell>
          <cell r="C4313">
            <v>507753</v>
          </cell>
          <cell r="D4313" t="str">
            <v>Not Listed</v>
          </cell>
          <cell r="E4313" t="str">
            <v>Commodity Chemicals</v>
          </cell>
        </row>
        <row r="4314">
          <cell r="B4314" t="str">
            <v>THACKER &amp; CO LTD</v>
          </cell>
          <cell r="C4314">
            <v>509945</v>
          </cell>
          <cell r="D4314" t="str">
            <v>Not Listed</v>
          </cell>
          <cell r="E4314" t="str">
            <v>Other Financial Services</v>
          </cell>
        </row>
        <row r="4315">
          <cell r="B4315" t="str">
            <v>THAKKERS DEVELOPERS LTD</v>
          </cell>
          <cell r="C4315">
            <v>526654</v>
          </cell>
          <cell r="D4315" t="str">
            <v>Not Listed</v>
          </cell>
          <cell r="E4315" t="str">
            <v>Realty</v>
          </cell>
        </row>
        <row r="4316">
          <cell r="B4316" t="str">
            <v>THAKRAL SERVICES (INDIA) LTD</v>
          </cell>
          <cell r="C4316">
            <v>509015</v>
          </cell>
          <cell r="D4316" t="str">
            <v>Not Listed</v>
          </cell>
          <cell r="E4316" t="str">
            <v>Electronic Components</v>
          </cell>
        </row>
        <row r="4317">
          <cell r="B4317" t="str">
            <v>THAKRAL SERVICES INDIA LTD</v>
          </cell>
          <cell r="C4317">
            <v>509015</v>
          </cell>
          <cell r="D4317" t="str">
            <v>Not Listed</v>
          </cell>
          <cell r="E4317" t="str">
            <v>Electronic Components</v>
          </cell>
        </row>
        <row r="4318">
          <cell r="B4318" t="str">
            <v>THAMBBI MODERN SPINNING MILLS LTD</v>
          </cell>
          <cell r="C4318">
            <v>514484</v>
          </cell>
          <cell r="D4318" t="str">
            <v>Not Listed</v>
          </cell>
          <cell r="E4318" t="str">
            <v>Textiles</v>
          </cell>
        </row>
        <row r="4319">
          <cell r="B4319" t="str">
            <v>THANGAMAYIL JEWELLERY LTD</v>
          </cell>
          <cell r="C4319">
            <v>533158</v>
          </cell>
          <cell r="D4319" t="str">
            <v>THANGAMAYL</v>
          </cell>
          <cell r="E4319" t="str">
            <v>Other Apparels &amp; Accessories</v>
          </cell>
        </row>
        <row r="4320">
          <cell r="B4320" t="str">
            <v>THE ANDHRA SUGARS LTD</v>
          </cell>
          <cell r="C4320">
            <v>590062</v>
          </cell>
          <cell r="D4320" t="str">
            <v>ANDHRSUGAR</v>
          </cell>
          <cell r="E4320" t="str">
            <v>Commodity Chemicals</v>
          </cell>
        </row>
        <row r="4321">
          <cell r="B4321" t="str">
            <v>The Anup Engineering Ltd</v>
          </cell>
          <cell r="C4321">
            <v>542460</v>
          </cell>
          <cell r="D4321" t="str">
            <v>ANUP</v>
          </cell>
          <cell r="E4321" t="str">
            <v>Industrial Machinery</v>
          </cell>
        </row>
        <row r="4322">
          <cell r="B4322" t="str">
            <v>THE BYKE HOSPITALITY LTD</v>
          </cell>
          <cell r="C4322">
            <v>531373</v>
          </cell>
          <cell r="D4322" t="str">
            <v>BYKE</v>
          </cell>
          <cell r="E4322" t="str">
            <v>Hotels</v>
          </cell>
        </row>
        <row r="4323">
          <cell r="B4323" t="str">
            <v>THE FEDERAL BANK LTD</v>
          </cell>
          <cell r="C4323">
            <v>500469</v>
          </cell>
          <cell r="D4323" t="str">
            <v>FEDERALBNK</v>
          </cell>
          <cell r="E4323" t="str">
            <v>Banks</v>
          </cell>
        </row>
        <row r="4324">
          <cell r="B4324" t="str">
            <v>THE GREAT EASTERN SHIPPING COMPANY LTD</v>
          </cell>
          <cell r="C4324">
            <v>500620</v>
          </cell>
          <cell r="D4324" t="str">
            <v>GESHIP</v>
          </cell>
          <cell r="E4324" t="str">
            <v>Shipping</v>
          </cell>
        </row>
        <row r="4325">
          <cell r="B4325" t="str">
            <v>THE GROB TEA COMPANY LTD</v>
          </cell>
          <cell r="C4325" t="str">
            <v>Not Listed</v>
          </cell>
          <cell r="D4325" t="str">
            <v>GROBTEA</v>
          </cell>
          <cell r="E4325" t="str">
            <v>Others</v>
          </cell>
        </row>
        <row r="4326">
          <cell r="B4326" t="str">
            <v>THE HI-TECH GEARS LTD</v>
          </cell>
          <cell r="C4326">
            <v>522073</v>
          </cell>
          <cell r="D4326" t="str">
            <v>HITECHGEAR</v>
          </cell>
          <cell r="E4326" t="str">
            <v>Auto Parts &amp; Equipment</v>
          </cell>
        </row>
        <row r="4327">
          <cell r="B4327" t="str">
            <v>THE INDIA CEMENTS LTD</v>
          </cell>
          <cell r="C4327">
            <v>530005</v>
          </cell>
          <cell r="D4327" t="str">
            <v>INDIACEM</v>
          </cell>
          <cell r="E4327" t="str">
            <v>Cement &amp; Cement Products</v>
          </cell>
        </row>
        <row r="4328">
          <cell r="B4328" t="str">
            <v>THE INDIAN HOTELS COMPANY LTD</v>
          </cell>
          <cell r="C4328">
            <v>500850</v>
          </cell>
          <cell r="D4328" t="str">
            <v>INDHOTEL</v>
          </cell>
          <cell r="E4328" t="str">
            <v>Hotels</v>
          </cell>
        </row>
        <row r="4329">
          <cell r="B4329" t="str">
            <v>THE INDIAN WOOD PRODUCTS COMPANY LTD</v>
          </cell>
          <cell r="C4329">
            <v>540954</v>
          </cell>
          <cell r="D4329" t="str">
            <v>Not Listed</v>
          </cell>
          <cell r="E4329" t="str">
            <v>Forest Products</v>
          </cell>
        </row>
        <row r="4330">
          <cell r="B4330" t="str">
            <v>THE INVESTMENT TRUST OF (INDIA) LTD</v>
          </cell>
          <cell r="C4330">
            <v>530023</v>
          </cell>
          <cell r="D4330" t="str">
            <v>THEINVEST</v>
          </cell>
          <cell r="E4330" t="str">
            <v>Finance (including NBFCs)</v>
          </cell>
        </row>
        <row r="4331">
          <cell r="B4331" t="str">
            <v>THE INVESTMENT TRUST OF INDIA LTD</v>
          </cell>
          <cell r="C4331">
            <v>530023</v>
          </cell>
          <cell r="D4331" t="str">
            <v>THEINVEST</v>
          </cell>
          <cell r="E4331" t="str">
            <v>Finance (including NBFCs)</v>
          </cell>
        </row>
        <row r="4332">
          <cell r="B4332" t="str">
            <v>THE JAMMU &amp; KASHMIR BANK LTD</v>
          </cell>
          <cell r="C4332">
            <v>532209</v>
          </cell>
          <cell r="D4332" t="str">
            <v>J&amp;KBANK</v>
          </cell>
          <cell r="E4332" t="str">
            <v>Banks</v>
          </cell>
        </row>
        <row r="4333">
          <cell r="B4333" t="str">
            <v>THE KARNATAKA BANK LTD</v>
          </cell>
          <cell r="C4333">
            <v>532652</v>
          </cell>
          <cell r="D4333" t="str">
            <v>KTKBANK</v>
          </cell>
          <cell r="E4333" t="str">
            <v>Banks</v>
          </cell>
        </row>
        <row r="4334">
          <cell r="B4334" t="str">
            <v>THE MANDHANA RETAIL VENTURES LTD</v>
          </cell>
          <cell r="C4334">
            <v>540210</v>
          </cell>
          <cell r="D4334" t="str">
            <v>TMRVL</v>
          </cell>
          <cell r="E4334" t="str">
            <v>Specialty Retail</v>
          </cell>
        </row>
        <row r="4335">
          <cell r="B4335" t="str">
            <v>THE MOTOR &amp; GENERAL FINANCE LTD</v>
          </cell>
          <cell r="C4335">
            <v>501343</v>
          </cell>
          <cell r="D4335" t="str">
            <v>MOTOGENFIN</v>
          </cell>
          <cell r="E4335" t="str">
            <v>Finance (including NBFCs)</v>
          </cell>
        </row>
        <row r="4336">
          <cell r="B4336" t="str">
            <v>THE NEW INDIA ASSURANCE COMPANY LTD</v>
          </cell>
          <cell r="C4336">
            <v>540769</v>
          </cell>
          <cell r="D4336" t="str">
            <v>NIACL</v>
          </cell>
          <cell r="E4336" t="str">
            <v>General Insurance</v>
          </cell>
        </row>
        <row r="4337">
          <cell r="B4337" t="str">
            <v>THE ORISSA MINERALS DEVELOPMENT COMPANY LTD</v>
          </cell>
          <cell r="C4337">
            <v>590086</v>
          </cell>
          <cell r="D4337" t="str">
            <v>ORISSAMINE</v>
          </cell>
          <cell r="E4337" t="str">
            <v>Mining</v>
          </cell>
        </row>
        <row r="4338">
          <cell r="B4338" t="str">
            <v>THE PERIA KARAMALAI TEA &amp; PRODUCE COMPANY LTD</v>
          </cell>
          <cell r="C4338" t="str">
            <v>Not Listed</v>
          </cell>
          <cell r="D4338" t="str">
            <v>PKTEA</v>
          </cell>
          <cell r="E4338" t="str">
            <v>Others</v>
          </cell>
        </row>
        <row r="4339">
          <cell r="B4339" t="str">
            <v>THE PHOENIX MILLS LTD</v>
          </cell>
          <cell r="C4339">
            <v>503100</v>
          </cell>
          <cell r="D4339" t="str">
            <v>PHOENIXLTD</v>
          </cell>
          <cell r="E4339" t="str">
            <v>Realty</v>
          </cell>
        </row>
        <row r="4340">
          <cell r="B4340" t="str">
            <v>THE PHOSPHATE COMPANY LTD</v>
          </cell>
          <cell r="C4340">
            <v>542123</v>
          </cell>
          <cell r="D4340" t="str">
            <v>Not Listed</v>
          </cell>
          <cell r="E4340" t="str">
            <v>Fertilizers</v>
          </cell>
        </row>
        <row r="4341">
          <cell r="B4341" t="str">
            <v>THE RAMCO CEMENTS LTD</v>
          </cell>
          <cell r="C4341">
            <v>500260</v>
          </cell>
          <cell r="D4341" t="str">
            <v>RAMCOCEM</v>
          </cell>
          <cell r="E4341" t="str">
            <v>Cement &amp; Cement Products</v>
          </cell>
        </row>
        <row r="4342">
          <cell r="B4342" t="str">
            <v>THE RUBY MILLS LTD</v>
          </cell>
          <cell r="C4342">
            <v>503169</v>
          </cell>
          <cell r="D4342" t="str">
            <v>RUBYMILLS</v>
          </cell>
          <cell r="E4342" t="str">
            <v>Textiles</v>
          </cell>
        </row>
        <row r="4343">
          <cell r="B4343" t="str">
            <v>THE SANDESH LTD</v>
          </cell>
          <cell r="C4343">
            <v>526725</v>
          </cell>
          <cell r="D4343" t="str">
            <v>SANDESH</v>
          </cell>
          <cell r="E4343" t="str">
            <v>Publishing</v>
          </cell>
        </row>
        <row r="4344">
          <cell r="B4344" t="str">
            <v>THE SOUTH INDIAN BANK LTD</v>
          </cell>
          <cell r="C4344">
            <v>532218</v>
          </cell>
          <cell r="D4344" t="str">
            <v>SOUTHBANK</v>
          </cell>
          <cell r="E4344" t="str">
            <v>Banks</v>
          </cell>
        </row>
        <row r="4345">
          <cell r="B4345" t="str">
            <v>THE STATE TRADING CORPORATION OF (INDIA) LTD</v>
          </cell>
          <cell r="C4345">
            <v>512531</v>
          </cell>
          <cell r="D4345" t="str">
            <v>STC(INDIA)</v>
          </cell>
          <cell r="E4345" t="str">
            <v>Comm.Trading  &amp; Distribution</v>
          </cell>
        </row>
        <row r="4346">
          <cell r="B4346" t="str">
            <v>THE STATE TRADING CORPORATION OF INDIA LTD</v>
          </cell>
          <cell r="C4346">
            <v>512531</v>
          </cell>
          <cell r="D4346" t="str">
            <v>STCINDIA</v>
          </cell>
          <cell r="E4346" t="str">
            <v>Comm.Trading  &amp; Distribution</v>
          </cell>
        </row>
        <row r="4347">
          <cell r="B4347" t="str">
            <v>THE TINPLATE COMPANY OF (INDIA) LTD</v>
          </cell>
          <cell r="C4347">
            <v>504966</v>
          </cell>
          <cell r="D4347" t="str">
            <v>TINPLATE</v>
          </cell>
          <cell r="E4347" t="str">
            <v>Containers &amp; Packaging</v>
          </cell>
        </row>
        <row r="4348">
          <cell r="B4348" t="str">
            <v>THE TINPLATE COMPANY OF INDIA LTD</v>
          </cell>
          <cell r="C4348">
            <v>504966</v>
          </cell>
          <cell r="D4348" t="str">
            <v>TINPLATE</v>
          </cell>
          <cell r="E4348" t="str">
            <v>Containers &amp; Packaging</v>
          </cell>
        </row>
        <row r="4349">
          <cell r="B4349" t="str">
            <v>THE UGAR SUGAR WORKS LTD</v>
          </cell>
          <cell r="C4349">
            <v>530363</v>
          </cell>
          <cell r="D4349" t="str">
            <v>UGARSUGAR</v>
          </cell>
          <cell r="E4349" t="str">
            <v>Sugar</v>
          </cell>
        </row>
        <row r="4350">
          <cell r="B4350" t="str">
            <v>THE UNITED NILGIRI TEA ESTATES COMPANY LTD</v>
          </cell>
          <cell r="C4350" t="str">
            <v>Not Listed</v>
          </cell>
          <cell r="D4350" t="str">
            <v>UNITEDTEA</v>
          </cell>
          <cell r="E4350" t="str">
            <v>Others</v>
          </cell>
        </row>
        <row r="4351">
          <cell r="B4351" t="str">
            <v>THE WESTERN INDIA PLYWOODS LTD</v>
          </cell>
          <cell r="C4351" t="str">
            <v>Not Listed</v>
          </cell>
          <cell r="D4351" t="str">
            <v>WIPL</v>
          </cell>
          <cell r="E4351" t="str">
            <v>Others</v>
          </cell>
        </row>
        <row r="4352">
          <cell r="B4352" t="str">
            <v>THE YAMUNA SYNDICATE LTD</v>
          </cell>
          <cell r="C4352">
            <v>540980</v>
          </cell>
          <cell r="D4352" t="str">
            <v>Not Listed</v>
          </cell>
          <cell r="E4352" t="str">
            <v>Comm.Trading  &amp; Distribution</v>
          </cell>
        </row>
        <row r="4353">
          <cell r="B4353" t="str">
            <v>THEJO ENGINEERING LTD</v>
          </cell>
          <cell r="C4353" t="str">
            <v>Not Listed</v>
          </cell>
          <cell r="D4353" t="str">
            <v>THEJO</v>
          </cell>
          <cell r="E4353" t="str">
            <v>SME</v>
          </cell>
        </row>
        <row r="4354">
          <cell r="B4354" t="str">
            <v>THEMIS MEDICARE LTD</v>
          </cell>
          <cell r="C4354">
            <v>530199</v>
          </cell>
          <cell r="D4354" t="str">
            <v>THEMISMED</v>
          </cell>
          <cell r="E4354" t="str">
            <v>Pharmaceuticals</v>
          </cell>
        </row>
        <row r="4355">
          <cell r="B4355" t="str">
            <v>THERMAX LTD</v>
          </cell>
          <cell r="C4355">
            <v>500411</v>
          </cell>
          <cell r="D4355" t="str">
            <v>THERMAX</v>
          </cell>
          <cell r="E4355" t="str">
            <v>Heavy Electrical Equipment</v>
          </cell>
        </row>
        <row r="4356">
          <cell r="B4356" t="str">
            <v>THINK INK STUDIO LTD</v>
          </cell>
          <cell r="C4356">
            <v>539310</v>
          </cell>
          <cell r="D4356" t="str">
            <v>Not Listed</v>
          </cell>
          <cell r="E4356" t="str">
            <v>Advertising &amp; Media</v>
          </cell>
        </row>
        <row r="4357">
          <cell r="B4357" t="str">
            <v>THIRANI PROJECTS LTD</v>
          </cell>
          <cell r="C4357">
            <v>538464</v>
          </cell>
          <cell r="D4357" t="str">
            <v>Not Listed</v>
          </cell>
          <cell r="E4357" t="str">
            <v>Finance (including NBFCs)</v>
          </cell>
        </row>
        <row r="4358">
          <cell r="B4358" t="str">
            <v>THIRDWAVE FINANCIAL INTERMEDIARIES LTD</v>
          </cell>
          <cell r="C4358">
            <v>531652</v>
          </cell>
          <cell r="D4358" t="str">
            <v>Not Listed</v>
          </cell>
          <cell r="E4358" t="str">
            <v>Finance (including NBFCs)</v>
          </cell>
        </row>
        <row r="4359">
          <cell r="B4359" t="str">
            <v>THIRU AROORAN SUGARS LTD</v>
          </cell>
          <cell r="C4359">
            <v>507450</v>
          </cell>
          <cell r="D4359" t="str">
            <v>THIRUSUGAR</v>
          </cell>
          <cell r="E4359" t="str">
            <v>Sugar</v>
          </cell>
        </row>
        <row r="4360">
          <cell r="B4360" t="str">
            <v>THIRUMALAI CHEMICALS LTD</v>
          </cell>
          <cell r="C4360">
            <v>500412</v>
          </cell>
          <cell r="D4360" t="str">
            <v>TIRUMALCHM</v>
          </cell>
          <cell r="E4360" t="str">
            <v>Commodity Chemicals</v>
          </cell>
        </row>
        <row r="4361">
          <cell r="B4361" t="str">
            <v>THOMAS COOK (INDIA) LTD</v>
          </cell>
          <cell r="C4361">
            <v>500413</v>
          </cell>
          <cell r="D4361" t="str">
            <v>THOMASCOOK</v>
          </cell>
          <cell r="E4361" t="str">
            <v>Travel Support Services</v>
          </cell>
        </row>
        <row r="4362">
          <cell r="B4362" t="str">
            <v>THOMAS COOK INDIA LTD</v>
          </cell>
          <cell r="C4362">
            <v>500413</v>
          </cell>
          <cell r="D4362" t="str">
            <v>THOMASCOOK</v>
          </cell>
          <cell r="E4362" t="str">
            <v>Travel Support Services</v>
          </cell>
        </row>
        <row r="4363">
          <cell r="B4363" t="str">
            <v>THOMAS SCOTT (INDIA) LTD</v>
          </cell>
          <cell r="C4363">
            <v>533941</v>
          </cell>
          <cell r="D4363" t="str">
            <v>THOMASCOTT</v>
          </cell>
          <cell r="E4363" t="str">
            <v>Other Apparels &amp; Accessories</v>
          </cell>
        </row>
        <row r="4364">
          <cell r="B4364" t="str">
            <v>THOMAS SCOTT INDIA LTD</v>
          </cell>
          <cell r="C4364">
            <v>533941</v>
          </cell>
          <cell r="D4364" t="str">
            <v>THOMASCOTT</v>
          </cell>
          <cell r="E4364" t="str">
            <v>Other Apparels &amp; Accessories</v>
          </cell>
        </row>
        <row r="4365">
          <cell r="B4365" t="str">
            <v>THYROCARE TECHNOLOGIES LTD</v>
          </cell>
          <cell r="C4365">
            <v>539871</v>
          </cell>
          <cell r="D4365" t="str">
            <v>THYROCARE</v>
          </cell>
          <cell r="E4365" t="str">
            <v>Healthcare Services</v>
          </cell>
        </row>
        <row r="4366">
          <cell r="B4366" t="str">
            <v>TI FINANCIAL HOLDINGS LTD</v>
          </cell>
          <cell r="C4366">
            <v>504973</v>
          </cell>
          <cell r="D4366" t="str">
            <v>TIFIN</v>
          </cell>
          <cell r="E4366" t="str">
            <v>Auto Parts &amp; Equipment</v>
          </cell>
        </row>
        <row r="4367">
          <cell r="B4367" t="str">
            <v>TIAAN AYURVEDIC &amp; HERBS LTD</v>
          </cell>
          <cell r="C4367">
            <v>540108</v>
          </cell>
          <cell r="D4367" t="str">
            <v>Not Listed</v>
          </cell>
          <cell r="E4367" t="str">
            <v>Other Financial Services</v>
          </cell>
        </row>
        <row r="4368">
          <cell r="B4368" t="str">
            <v>TIDE WATER OIL COMPANY (INDIA) LTD</v>
          </cell>
          <cell r="C4368">
            <v>590005</v>
          </cell>
          <cell r="D4368" t="str">
            <v>TIDEWATER</v>
          </cell>
          <cell r="E4368" t="str">
            <v>Oil Marketing &amp; Distribution</v>
          </cell>
        </row>
        <row r="4369">
          <cell r="B4369" t="str">
            <v>TIDE WATER OIL COMPANY INDIA LTD</v>
          </cell>
          <cell r="C4369">
            <v>590005</v>
          </cell>
          <cell r="D4369" t="str">
            <v>TIDEWATER</v>
          </cell>
          <cell r="E4369" t="str">
            <v>Oil Marketing &amp; Distribution</v>
          </cell>
        </row>
        <row r="4370">
          <cell r="B4370" t="str">
            <v>TIGER LOGISTICS (INDIA) LTD</v>
          </cell>
          <cell r="C4370">
            <v>536264</v>
          </cell>
          <cell r="D4370" t="str">
            <v>Not Listed</v>
          </cell>
          <cell r="E4370" t="str">
            <v>Transportation - Logistics</v>
          </cell>
        </row>
        <row r="4371">
          <cell r="B4371" t="str">
            <v>TIGER LOGISTICS INDIA LTD</v>
          </cell>
          <cell r="C4371">
            <v>536264</v>
          </cell>
          <cell r="D4371" t="str">
            <v>Not Listed</v>
          </cell>
          <cell r="E4371" t="str">
            <v>Transportation - Logistics</v>
          </cell>
        </row>
        <row r="4372">
          <cell r="B4372" t="str">
            <v>TIJARIA POLYPIPES LTD</v>
          </cell>
          <cell r="C4372">
            <v>533629</v>
          </cell>
          <cell r="D4372" t="str">
            <v>TIJARIA</v>
          </cell>
          <cell r="E4372" t="str">
            <v>Plastic Products</v>
          </cell>
        </row>
        <row r="4373">
          <cell r="B4373" t="str">
            <v>TIL LTD</v>
          </cell>
          <cell r="C4373">
            <v>505196</v>
          </cell>
          <cell r="D4373" t="str">
            <v>TIL</v>
          </cell>
          <cell r="E4373" t="str">
            <v>Transport Related Services</v>
          </cell>
        </row>
        <row r="4374">
          <cell r="B4374" t="str">
            <v>Tilak Ventures Ltd</v>
          </cell>
          <cell r="C4374">
            <v>503663</v>
          </cell>
          <cell r="D4374" t="str">
            <v>TILAK</v>
          </cell>
          <cell r="E4374" t="str">
            <v>Investment Companies</v>
          </cell>
        </row>
        <row r="4375">
          <cell r="B4375" t="str">
            <v>TILAKNAGAR INDUSTRIES LTD</v>
          </cell>
          <cell r="C4375">
            <v>507205</v>
          </cell>
          <cell r="D4375" t="str">
            <v>TI</v>
          </cell>
          <cell r="E4375" t="str">
            <v>Breweries &amp; Distilleries</v>
          </cell>
        </row>
        <row r="4376">
          <cell r="B4376" t="str">
            <v>TIME TECHNOPLAST LTD</v>
          </cell>
          <cell r="C4376">
            <v>532856</v>
          </cell>
          <cell r="D4376" t="str">
            <v>TIMETECHNO</v>
          </cell>
          <cell r="E4376" t="str">
            <v>Plastic Products</v>
          </cell>
        </row>
        <row r="4377">
          <cell r="B4377" t="str">
            <v>TIMES GUARANTY LTD</v>
          </cell>
          <cell r="C4377">
            <v>511559</v>
          </cell>
          <cell r="D4377" t="str">
            <v>TIMESGTY</v>
          </cell>
          <cell r="E4377" t="str">
            <v>Finance (including NBFCs)</v>
          </cell>
        </row>
        <row r="4378">
          <cell r="B4378" t="str">
            <v>TIMEX GROUP (INDIA) LTD</v>
          </cell>
          <cell r="C4378">
            <v>500414</v>
          </cell>
          <cell r="D4378" t="str">
            <v>Not Listed</v>
          </cell>
          <cell r="E4378" t="str">
            <v>Other Apparels &amp; Accessories</v>
          </cell>
        </row>
        <row r="4379">
          <cell r="B4379" t="str">
            <v>TIMEX GROUP INDIA LTD</v>
          </cell>
          <cell r="C4379">
            <v>500414</v>
          </cell>
          <cell r="D4379" t="str">
            <v>Not Listed</v>
          </cell>
          <cell r="E4379" t="str">
            <v>Other Apparels &amp; Accessories</v>
          </cell>
        </row>
        <row r="4380">
          <cell r="B4380" t="str">
            <v>TIMKEN (INDIA) LTD</v>
          </cell>
          <cell r="C4380">
            <v>522113</v>
          </cell>
          <cell r="D4380" t="str">
            <v>TIMKEN</v>
          </cell>
          <cell r="E4380" t="str">
            <v>Industrial Machinery</v>
          </cell>
        </row>
        <row r="4381">
          <cell r="B4381" t="str">
            <v>TIMKEN INDIA LTD</v>
          </cell>
          <cell r="C4381">
            <v>522113</v>
          </cell>
          <cell r="D4381" t="str">
            <v>TIMKEN</v>
          </cell>
          <cell r="E4381" t="str">
            <v>Industrial Machinery</v>
          </cell>
        </row>
        <row r="4382">
          <cell r="B4382" t="str">
            <v>TINNA RUBBER AND INFRASTRUCTURE LTD</v>
          </cell>
          <cell r="C4382">
            <v>530475</v>
          </cell>
          <cell r="D4382" t="str">
            <v>Not Listed</v>
          </cell>
          <cell r="E4382" t="str">
            <v>Specialty Chemicals</v>
          </cell>
        </row>
        <row r="4383">
          <cell r="B4383" t="str">
            <v>TINNA TRADE LTD</v>
          </cell>
          <cell r="C4383">
            <v>541741</v>
          </cell>
          <cell r="D4383" t="str">
            <v>Not Listed</v>
          </cell>
          <cell r="E4383" t="str">
            <v>Comm.Trading  &amp; Distribution</v>
          </cell>
        </row>
        <row r="4384">
          <cell r="B4384" t="str">
            <v>TIPS INDUSTRIES LTD</v>
          </cell>
          <cell r="C4384">
            <v>532375</v>
          </cell>
          <cell r="D4384" t="str">
            <v>TIPSINDLTD</v>
          </cell>
          <cell r="E4384" t="str">
            <v>Movies &amp; Entertainment</v>
          </cell>
        </row>
        <row r="4385">
          <cell r="B4385" t="str">
            <v>TIRUPATI FINLEASE LTD</v>
          </cell>
          <cell r="C4385">
            <v>539488</v>
          </cell>
          <cell r="D4385" t="str">
            <v>Not Listed</v>
          </cell>
          <cell r="E4385" t="str">
            <v>Investment Companies</v>
          </cell>
        </row>
        <row r="4386">
          <cell r="B4386" t="str">
            <v>TIRUPATI FOAM LTD</v>
          </cell>
          <cell r="C4386">
            <v>540904</v>
          </cell>
          <cell r="D4386" t="str">
            <v>Not Listed</v>
          </cell>
          <cell r="E4386" t="str">
            <v>Furniture-Furnishing-Paints</v>
          </cell>
        </row>
        <row r="4387">
          <cell r="B4387" t="str">
            <v>TIRUPATI FORGE LTD</v>
          </cell>
          <cell r="C4387" t="str">
            <v>Not Listed</v>
          </cell>
          <cell r="D4387" t="str">
            <v>TIRUPATIFL</v>
          </cell>
          <cell r="E4387" t="str">
            <v>SME</v>
          </cell>
        </row>
        <row r="4388">
          <cell r="B4388" t="str">
            <v>TIRUPATI INDUSTRIES (INDIA) LTD</v>
          </cell>
          <cell r="C4388">
            <v>531547</v>
          </cell>
          <cell r="D4388" t="str">
            <v>Not Listed</v>
          </cell>
          <cell r="E4388" t="str">
            <v>Other Agricultural Products</v>
          </cell>
        </row>
        <row r="4389">
          <cell r="B4389" t="str">
            <v>TIRUPATI INDUSTRIES INDIA LTD</v>
          </cell>
          <cell r="C4389">
            <v>531547</v>
          </cell>
          <cell r="D4389" t="str">
            <v>Not Listed</v>
          </cell>
          <cell r="E4389" t="str">
            <v>Other Agricultural Products</v>
          </cell>
        </row>
        <row r="4390">
          <cell r="B4390" t="str">
            <v>TIRUPATI SARJAN LTD</v>
          </cell>
          <cell r="C4390">
            <v>531814</v>
          </cell>
          <cell r="D4390" t="str">
            <v>Not Listed</v>
          </cell>
          <cell r="E4390" t="str">
            <v>Realty</v>
          </cell>
        </row>
        <row r="4391">
          <cell r="B4391" t="str">
            <v>TIRUPATI STARCH &amp; CHEMICALS LTD</v>
          </cell>
          <cell r="C4391">
            <v>524582</v>
          </cell>
          <cell r="D4391" t="str">
            <v>Not Listed</v>
          </cell>
          <cell r="E4391" t="str">
            <v>Other Food Products</v>
          </cell>
        </row>
        <row r="4392">
          <cell r="B4392" t="str">
            <v>TIRUPATI TYRES LTD</v>
          </cell>
          <cell r="C4392">
            <v>539040</v>
          </cell>
          <cell r="D4392" t="str">
            <v>Not Listed</v>
          </cell>
          <cell r="E4392" t="str">
            <v>Auto Tyres &amp; Rubber Products</v>
          </cell>
        </row>
        <row r="4393">
          <cell r="B4393" t="str">
            <v>TITAANIUM TEN ENTERPRISE LTD</v>
          </cell>
          <cell r="C4393">
            <v>539985</v>
          </cell>
          <cell r="D4393" t="str">
            <v>Not Listed</v>
          </cell>
          <cell r="E4393" t="str">
            <v>Textiles</v>
          </cell>
        </row>
        <row r="4394">
          <cell r="B4394" t="str">
            <v>TITAGARH WAGONS LTD</v>
          </cell>
          <cell r="C4394">
            <v>532966</v>
          </cell>
          <cell r="D4394" t="str">
            <v>TWL</v>
          </cell>
          <cell r="E4394" t="str">
            <v>Commercial Vehicles</v>
          </cell>
        </row>
        <row r="4395">
          <cell r="B4395" t="str">
            <v>TITAN BIOTECH LTD</v>
          </cell>
          <cell r="C4395">
            <v>524717</v>
          </cell>
          <cell r="D4395" t="str">
            <v>Not Listed</v>
          </cell>
          <cell r="E4395" t="str">
            <v>Specialty Chemicals</v>
          </cell>
        </row>
        <row r="4396">
          <cell r="B4396" t="str">
            <v>TITAN COMPANY LTD</v>
          </cell>
          <cell r="C4396">
            <v>500114</v>
          </cell>
          <cell r="D4396" t="str">
            <v>TITAN</v>
          </cell>
          <cell r="E4396" t="str">
            <v>Other Apparels &amp; Accessories</v>
          </cell>
        </row>
        <row r="4397">
          <cell r="B4397" t="str">
            <v>TITAN SECURITIES LTD</v>
          </cell>
          <cell r="C4397">
            <v>530045</v>
          </cell>
          <cell r="D4397" t="str">
            <v>Not Listed</v>
          </cell>
          <cell r="E4397" t="str">
            <v>Finance (including NBFCs)</v>
          </cell>
        </row>
        <row r="4398">
          <cell r="B4398" t="str">
            <v>TIVOLI CONSTRUCTION LTD</v>
          </cell>
          <cell r="C4398">
            <v>511096</v>
          </cell>
          <cell r="D4398" t="str">
            <v>Not Listed</v>
          </cell>
          <cell r="E4398" t="str">
            <v>Realty</v>
          </cell>
        </row>
        <row r="4399">
          <cell r="B4399" t="str">
            <v>TODAYS WRITING INSTRUMENTS LTD</v>
          </cell>
          <cell r="C4399">
            <v>531830</v>
          </cell>
          <cell r="D4399" t="str">
            <v>TODAYS</v>
          </cell>
          <cell r="E4399" t="str">
            <v>Non-Durable Household Prod.</v>
          </cell>
        </row>
        <row r="4400">
          <cell r="B4400" t="str">
            <v>TOKYO FINANCE LTD</v>
          </cell>
          <cell r="C4400">
            <v>531644</v>
          </cell>
          <cell r="D4400" t="str">
            <v>Not Listed</v>
          </cell>
          <cell r="E4400" t="str">
            <v>Finance (including NBFCs)</v>
          </cell>
        </row>
        <row r="4401">
          <cell r="B4401" t="str">
            <v>TOKYO PLAST INTERNATIONAL LTD</v>
          </cell>
          <cell r="C4401">
            <v>500418</v>
          </cell>
          <cell r="D4401" t="str">
            <v>TOKYOPLAST</v>
          </cell>
          <cell r="E4401" t="str">
            <v>Plastic Products</v>
          </cell>
        </row>
        <row r="4402">
          <cell r="B4402" t="str">
            <v>TORRENT PHARMACEUTICALS LTD</v>
          </cell>
          <cell r="C4402">
            <v>500420</v>
          </cell>
          <cell r="D4402" t="str">
            <v>TORNTPHARM</v>
          </cell>
          <cell r="E4402" t="str">
            <v>Pharmaceuticals</v>
          </cell>
        </row>
        <row r="4403">
          <cell r="B4403" t="str">
            <v>TORRENT POWER LTD</v>
          </cell>
          <cell r="C4403">
            <v>532779</v>
          </cell>
          <cell r="D4403" t="str">
            <v>TORNTPOWER</v>
          </cell>
          <cell r="E4403" t="str">
            <v>Electric Utilities</v>
          </cell>
        </row>
        <row r="4404">
          <cell r="B4404" t="str">
            <v>TOTAL EXPORTS LTD</v>
          </cell>
          <cell r="C4404">
            <v>523878</v>
          </cell>
          <cell r="D4404" t="str">
            <v>Not Listed</v>
          </cell>
          <cell r="E4404" t="str">
            <v>Computer Hardware</v>
          </cell>
        </row>
        <row r="4405">
          <cell r="B4405" t="str">
            <v>TOTAL TRANSPORT SYSTEMS LTD</v>
          </cell>
          <cell r="C4405" t="str">
            <v>Not Listed</v>
          </cell>
          <cell r="D4405" t="str">
            <v>TOTAL</v>
          </cell>
          <cell r="E4405" t="str">
            <v>SME</v>
          </cell>
        </row>
        <row r="4406">
          <cell r="B4406" t="str">
            <v>TOUCHWOOD ENTERTAINMENT LTD</v>
          </cell>
          <cell r="C4406" t="str">
            <v>Not Listed</v>
          </cell>
          <cell r="D4406" t="str">
            <v>TOUCHWOOD</v>
          </cell>
          <cell r="E4406" t="str">
            <v>SME</v>
          </cell>
        </row>
        <row r="4407">
          <cell r="B4407" t="str">
            <v>TOURISM FINANCE CORPORATION OF (INDIA) LTD</v>
          </cell>
          <cell r="C4407">
            <v>526650</v>
          </cell>
          <cell r="D4407" t="str">
            <v>TFCILTD</v>
          </cell>
          <cell r="E4407" t="str">
            <v>Financial Institutions</v>
          </cell>
        </row>
        <row r="4408">
          <cell r="B4408" t="str">
            <v>TOURISM FINANCE CORPORATION OF INDIA LTD</v>
          </cell>
          <cell r="C4408">
            <v>526650</v>
          </cell>
          <cell r="D4408" t="str">
            <v>TFCILTD</v>
          </cell>
          <cell r="E4408" t="str">
            <v>Financial Institutions</v>
          </cell>
        </row>
        <row r="4409">
          <cell r="B4409" t="str">
            <v>TOWA SOKKI LTD</v>
          </cell>
          <cell r="C4409">
            <v>531771</v>
          </cell>
          <cell r="D4409" t="str">
            <v>Not Listed</v>
          </cell>
          <cell r="E4409" t="str">
            <v>Other Elect.Equip./ Prod.</v>
          </cell>
        </row>
        <row r="4410">
          <cell r="B4410" t="str">
            <v>TOYAM INDUSTRIES LTD</v>
          </cell>
          <cell r="C4410">
            <v>538607</v>
          </cell>
          <cell r="D4410" t="str">
            <v>Not Listed</v>
          </cell>
          <cell r="E4410" t="str">
            <v>Other Financial Services</v>
          </cell>
        </row>
        <row r="4411">
          <cell r="B4411" t="str">
            <v>TPI (INDIA) LTD</v>
          </cell>
          <cell r="C4411">
            <v>500421</v>
          </cell>
          <cell r="D4411" t="str">
            <v>Not Listed</v>
          </cell>
          <cell r="E4411" t="str">
            <v>Containers &amp; Packaging</v>
          </cell>
        </row>
        <row r="4412">
          <cell r="B4412" t="str">
            <v>TPI INDIA LTD</v>
          </cell>
          <cell r="C4412">
            <v>500421</v>
          </cell>
          <cell r="D4412" t="str">
            <v>Not Listed</v>
          </cell>
          <cell r="E4412" t="str">
            <v>Containers &amp; Packaging</v>
          </cell>
        </row>
        <row r="4413">
          <cell r="B4413" t="str">
            <v>TPL PLASTECH LTD</v>
          </cell>
          <cell r="C4413">
            <v>526582</v>
          </cell>
          <cell r="D4413" t="str">
            <v>TPLPLASTEH</v>
          </cell>
          <cell r="E4413" t="str">
            <v>Plastic Products</v>
          </cell>
        </row>
        <row r="4414">
          <cell r="B4414" t="str">
            <v>TRADE WINGS LTD</v>
          </cell>
          <cell r="C4414">
            <v>509953</v>
          </cell>
          <cell r="D4414" t="str">
            <v>Not Listed</v>
          </cell>
          <cell r="E4414" t="str">
            <v>Travel Support Services</v>
          </cell>
        </row>
        <row r="4415">
          <cell r="B4415" t="str">
            <v>TRANS ASIA CORPORATION LTD</v>
          </cell>
          <cell r="C4415">
            <v>530783</v>
          </cell>
          <cell r="D4415" t="str">
            <v>Not Listed</v>
          </cell>
          <cell r="E4415" t="str">
            <v>Pharmaceuticals</v>
          </cell>
        </row>
        <row r="4416">
          <cell r="B4416" t="str">
            <v>TRANS FINANCIAL RESOURCES LTD.</v>
          </cell>
          <cell r="C4416">
            <v>526961</v>
          </cell>
          <cell r="D4416" t="str">
            <v>TRANSFIN</v>
          </cell>
          <cell r="E4416" t="str">
            <v>Finance (including NBFCs)</v>
          </cell>
        </row>
        <row r="4417">
          <cell r="B4417" t="str">
            <v>TRANSCHEM LTD</v>
          </cell>
          <cell r="C4417">
            <v>500422</v>
          </cell>
          <cell r="D4417" t="str">
            <v>Not Listed</v>
          </cell>
          <cell r="E4417" t="str">
            <v>Pharmaceuticals</v>
          </cell>
        </row>
        <row r="4418">
          <cell r="B4418" t="str">
            <v>TRANSCORP INTERNATIONAL LTD</v>
          </cell>
          <cell r="C4418">
            <v>532410</v>
          </cell>
          <cell r="D4418" t="str">
            <v>Not Listed</v>
          </cell>
          <cell r="E4418" t="str">
            <v>Other Financial Services</v>
          </cell>
        </row>
        <row r="4419">
          <cell r="B4419" t="str">
            <v>TRANSFORMERS AND RECTIFIERS (INDIA) LTD</v>
          </cell>
          <cell r="C4419">
            <v>532928</v>
          </cell>
          <cell r="D4419" t="str">
            <v>TRIL</v>
          </cell>
          <cell r="E4419" t="str">
            <v>Heavy Electrical Equipment</v>
          </cell>
        </row>
        <row r="4420">
          <cell r="B4420" t="str">
            <v>TRANSFORMERS AND RECTIFIERS INDIA LTD</v>
          </cell>
          <cell r="C4420">
            <v>532928</v>
          </cell>
          <cell r="D4420" t="str">
            <v>TRIL</v>
          </cell>
          <cell r="E4420" t="str">
            <v>Heavy Electrical Equipment</v>
          </cell>
        </row>
        <row r="4421">
          <cell r="B4421" t="str">
            <v>TRANS-FREIGHT CONTAINERS LTD</v>
          </cell>
          <cell r="C4421">
            <v>513063</v>
          </cell>
          <cell r="D4421" t="str">
            <v>Not Listed</v>
          </cell>
          <cell r="E4421" t="str">
            <v>Iron &amp; Steel Products</v>
          </cell>
        </row>
        <row r="4422">
          <cell r="B4422" t="str">
            <v>TRANSGENE BIOTEK LTD</v>
          </cell>
          <cell r="C4422">
            <v>526139</v>
          </cell>
          <cell r="D4422" t="str">
            <v>Not Listed</v>
          </cell>
          <cell r="E4422" t="str">
            <v>Healthcare Services</v>
          </cell>
        </row>
        <row r="4423">
          <cell r="B4423" t="str">
            <v>TRANSGLOBE FOODS LTD</v>
          </cell>
          <cell r="C4423">
            <v>519367</v>
          </cell>
          <cell r="D4423" t="str">
            <v>Not Listed</v>
          </cell>
          <cell r="E4423" t="str">
            <v>Non-alcoholic Beverages</v>
          </cell>
        </row>
        <row r="4424">
          <cell r="B4424" t="str">
            <v>TRANSOCEANIC PROPERTIES LTD</v>
          </cell>
          <cell r="C4424">
            <v>509003</v>
          </cell>
          <cell r="D4424" t="str">
            <v>Not Listed</v>
          </cell>
          <cell r="E4424" t="str">
            <v>Misc.Commercial Services</v>
          </cell>
        </row>
        <row r="4425">
          <cell r="B4425" t="str">
            <v>TRANSPEK INDUSTRY LTD</v>
          </cell>
          <cell r="C4425">
            <v>506687</v>
          </cell>
          <cell r="D4425" t="str">
            <v>Not Listed</v>
          </cell>
          <cell r="E4425" t="str">
            <v>Commodity Chemicals</v>
          </cell>
        </row>
        <row r="4426">
          <cell r="B4426" t="str">
            <v>TRANSPORT CORPORATION OF (INDIA) LTD</v>
          </cell>
          <cell r="C4426">
            <v>532349</v>
          </cell>
          <cell r="D4426" t="str">
            <v>TCI</v>
          </cell>
          <cell r="E4426" t="str">
            <v>Surface Transportation</v>
          </cell>
        </row>
        <row r="4427">
          <cell r="B4427" t="str">
            <v>TRANSPORT CORPORATION OF INDIA LTD</v>
          </cell>
          <cell r="C4427">
            <v>532349</v>
          </cell>
          <cell r="D4427" t="str">
            <v>TCI</v>
          </cell>
          <cell r="E4427" t="str">
            <v>Surface Transportation</v>
          </cell>
        </row>
        <row r="4428">
          <cell r="B4428" t="str">
            <v>TRANSWARRANTY FINANCE LTD</v>
          </cell>
          <cell r="C4428">
            <v>532812</v>
          </cell>
          <cell r="D4428" t="str">
            <v>TFL</v>
          </cell>
          <cell r="E4428" t="str">
            <v>Finance (including NBFCs)</v>
          </cell>
        </row>
        <row r="4429">
          <cell r="B4429" t="str">
            <v>TRANSWIND INFRASTRUCTURES LTD</v>
          </cell>
          <cell r="C4429" t="str">
            <v>Not Listed</v>
          </cell>
          <cell r="D4429" t="str">
            <v>TRANSWIND</v>
          </cell>
          <cell r="E4429" t="str">
            <v>SME</v>
          </cell>
        </row>
        <row r="4430">
          <cell r="B4430" t="str">
            <v>TREE HOUSE EDUCATION &amp; ACCESSORIES LTD</v>
          </cell>
          <cell r="C4430">
            <v>533540</v>
          </cell>
          <cell r="D4430" t="str">
            <v>TREEHOUSE</v>
          </cell>
          <cell r="E4430" t="str">
            <v>Education</v>
          </cell>
        </row>
        <row r="4431">
          <cell r="B4431" t="str">
            <v>Trejhara Solutions Ltd</v>
          </cell>
          <cell r="C4431">
            <v>542233</v>
          </cell>
          <cell r="D4431" t="str">
            <v>TREJHARA</v>
          </cell>
          <cell r="E4431" t="str">
            <v>IT Consulting &amp;amp; Software</v>
          </cell>
        </row>
        <row r="4432">
          <cell r="B4432" t="str">
            <v>TRENT LTD</v>
          </cell>
          <cell r="C4432">
            <v>500251</v>
          </cell>
          <cell r="D4432" t="str">
            <v>TRENT</v>
          </cell>
          <cell r="E4432" t="str">
            <v>Specialty Retail</v>
          </cell>
        </row>
        <row r="4433">
          <cell r="B4433" t="str">
            <v>TRESCON LTD</v>
          </cell>
          <cell r="C4433">
            <v>532159</v>
          </cell>
          <cell r="D4433" t="str">
            <v>Not Listed</v>
          </cell>
          <cell r="E4433" t="str">
            <v>Other Financial Services</v>
          </cell>
        </row>
        <row r="4434">
          <cell r="B4434" t="str">
            <v>TRF LTD</v>
          </cell>
          <cell r="C4434">
            <v>505854</v>
          </cell>
          <cell r="D4434" t="str">
            <v>TRF</v>
          </cell>
          <cell r="E4434" t="str">
            <v>Industrial Machinery</v>
          </cell>
        </row>
        <row r="4435">
          <cell r="B4435" t="str">
            <v>TRIBHOVANDAS BHIMJI ZAVERI LTD</v>
          </cell>
          <cell r="C4435">
            <v>534369</v>
          </cell>
          <cell r="D4435" t="str">
            <v>TBZ</v>
          </cell>
          <cell r="E4435" t="str">
            <v>Other Apparels &amp; Accessories</v>
          </cell>
        </row>
        <row r="4436">
          <cell r="B4436" t="str">
            <v>TRICOM FRUIT PRODUCTS LTD</v>
          </cell>
          <cell r="C4436">
            <v>531716</v>
          </cell>
          <cell r="D4436" t="str">
            <v>Not Listed</v>
          </cell>
          <cell r="E4436" t="str">
            <v>Other Food Products</v>
          </cell>
        </row>
        <row r="4437">
          <cell r="B4437" t="str">
            <v>TRIDENT LTD</v>
          </cell>
          <cell r="C4437">
            <v>521064</v>
          </cell>
          <cell r="D4437" t="str">
            <v>TRIDENT</v>
          </cell>
          <cell r="E4437" t="str">
            <v>Textiles</v>
          </cell>
        </row>
        <row r="4438">
          <cell r="B4438" t="str">
            <v>TRIDENT TEXOFAB LTD</v>
          </cell>
          <cell r="C4438">
            <v>540726</v>
          </cell>
          <cell r="D4438" t="str">
            <v>Not Listed</v>
          </cell>
          <cell r="E4438" t="str">
            <v>Comm.Trading  &amp; Distribution</v>
          </cell>
        </row>
        <row r="4439">
          <cell r="B4439" t="str">
            <v>TRIDENT TOOLS LTD</v>
          </cell>
          <cell r="C4439">
            <v>531972</v>
          </cell>
          <cell r="D4439" t="str">
            <v>Not Listed</v>
          </cell>
          <cell r="E4439" t="str">
            <v>Other Industrial Goods</v>
          </cell>
        </row>
        <row r="4440">
          <cell r="B4440" t="str">
            <v>TRIGYN TECHNOLOGIES LTD</v>
          </cell>
          <cell r="C4440">
            <v>517562</v>
          </cell>
          <cell r="D4440" t="str">
            <v>TRIGYN</v>
          </cell>
          <cell r="E4440" t="str">
            <v>IT Consulting &amp; Software</v>
          </cell>
        </row>
        <row r="4441">
          <cell r="B4441" t="str">
            <v>TRIJAL INDUSTRIES LTD</v>
          </cell>
          <cell r="C4441">
            <v>531658</v>
          </cell>
          <cell r="D4441" t="str">
            <v>Not Listed</v>
          </cell>
          <cell r="E4441" t="str">
            <v>Finance (including NBFCs)</v>
          </cell>
        </row>
        <row r="4442">
          <cell r="B4442" t="str">
            <v>TRIMURTHI LTD</v>
          </cell>
          <cell r="C4442">
            <v>536565</v>
          </cell>
          <cell r="D4442" t="str">
            <v>Not Listed</v>
          </cell>
          <cell r="E4442" t="str">
            <v>Food &amp; Drugs Retailing</v>
          </cell>
        </row>
        <row r="4443">
          <cell r="B4443" t="str">
            <v>TRINITY LEAGUE (INDIA) LTD</v>
          </cell>
          <cell r="C4443">
            <v>531846</v>
          </cell>
          <cell r="D4443" t="str">
            <v>Not Listed</v>
          </cell>
          <cell r="E4443" t="str">
            <v>Other Financial Services</v>
          </cell>
        </row>
        <row r="4444">
          <cell r="B4444" t="str">
            <v>TRINITY LEAGUE INDIA LTD</v>
          </cell>
          <cell r="C4444">
            <v>531846</v>
          </cell>
          <cell r="D4444" t="str">
            <v>Not Listed</v>
          </cell>
          <cell r="E4444" t="str">
            <v>Other Financial Services</v>
          </cell>
        </row>
        <row r="4445">
          <cell r="B4445" t="str">
            <v>TRIO MERCANTILE &amp;amp; TRADING LTD.</v>
          </cell>
          <cell r="C4445">
            <v>534755</v>
          </cell>
          <cell r="D4445" t="str">
            <v>TRIOMERC</v>
          </cell>
          <cell r="E4445" t="str">
            <v>Other Financial Services</v>
          </cell>
        </row>
        <row r="4446">
          <cell r="B4446" t="str">
            <v>TRIOCHEM PRODUCTS LTD</v>
          </cell>
          <cell r="C4446">
            <v>512101</v>
          </cell>
          <cell r="D4446" t="str">
            <v>Not Listed</v>
          </cell>
          <cell r="E4446" t="str">
            <v>Pharmaceuticals</v>
          </cell>
        </row>
        <row r="4447">
          <cell r="B4447" t="str">
            <v>TRISHAKTI ELECTRONICS &amp; INDUSTRIES LTD</v>
          </cell>
          <cell r="C4447">
            <v>531279</v>
          </cell>
          <cell r="D4447" t="str">
            <v>Not Listed</v>
          </cell>
          <cell r="E4447" t="str">
            <v>Finance (including NBFCs)</v>
          </cell>
        </row>
        <row r="4448">
          <cell r="B4448" t="str">
            <v>TRITON CORP LTD</v>
          </cell>
          <cell r="C4448">
            <v>523387</v>
          </cell>
          <cell r="D4448" t="str">
            <v>Not Listed</v>
          </cell>
          <cell r="E4448" t="str">
            <v>Other Apparels &amp; Accessories</v>
          </cell>
        </row>
        <row r="4449">
          <cell r="B4449" t="str">
            <v>TRITON VALVES LTD</v>
          </cell>
          <cell r="C4449">
            <v>505978</v>
          </cell>
          <cell r="D4449" t="str">
            <v>Not Listed</v>
          </cell>
          <cell r="E4449" t="str">
            <v>Auto Parts &amp; Equipment</v>
          </cell>
        </row>
        <row r="4450">
          <cell r="B4450" t="str">
            <v>TRIVENI ENGINEERING &amp; INDUSTRIES LTD</v>
          </cell>
          <cell r="C4450">
            <v>532356</v>
          </cell>
          <cell r="D4450" t="str">
            <v>TRIVENI</v>
          </cell>
          <cell r="E4450" t="str">
            <v>Sugar</v>
          </cell>
        </row>
        <row r="4451">
          <cell r="B4451" t="str">
            <v>Triveni Enterprises Ltd</v>
          </cell>
          <cell r="C4451">
            <v>538569</v>
          </cell>
          <cell r="D4451" t="str">
            <v>TRIVENIENT</v>
          </cell>
          <cell r="E4451" t="str">
            <v>Comm.Trading  &amp;amp; Distribution</v>
          </cell>
        </row>
        <row r="4452">
          <cell r="B4452" t="str">
            <v>TRIVENI GLASS LTD</v>
          </cell>
          <cell r="C4452">
            <v>502281</v>
          </cell>
          <cell r="D4452" t="str">
            <v>Not Listed</v>
          </cell>
          <cell r="E4452" t="str">
            <v>Construction Materials</v>
          </cell>
        </row>
        <row r="4453">
          <cell r="B4453" t="str">
            <v>TRIVENI TURBINE LTD</v>
          </cell>
          <cell r="C4453">
            <v>533655</v>
          </cell>
          <cell r="D4453" t="str">
            <v>TRITURBINE</v>
          </cell>
          <cell r="E4453" t="str">
            <v>Heavy Electrical Equipment</v>
          </cell>
        </row>
        <row r="4454">
          <cell r="B4454" t="str">
            <v>TRIVIKRAMA INDUSTRIES LTD</v>
          </cell>
          <cell r="C4454">
            <v>538579</v>
          </cell>
          <cell r="D4454" t="str">
            <v>Not Listed</v>
          </cell>
          <cell r="E4454" t="str">
            <v>Comm.Trading  &amp; Distribution</v>
          </cell>
        </row>
        <row r="4455">
          <cell r="B4455" t="str">
            <v>TROMBO EXTRACTIONS LTD</v>
          </cell>
          <cell r="C4455">
            <v>519303</v>
          </cell>
          <cell r="D4455" t="str">
            <v>Not Listed</v>
          </cell>
          <cell r="E4455" t="str">
            <v>Edible Oils</v>
          </cell>
        </row>
        <row r="4456">
          <cell r="B4456" t="str">
            <v>TTI ENTERPRISE LTD</v>
          </cell>
          <cell r="C4456">
            <v>538597</v>
          </cell>
          <cell r="D4456" t="str">
            <v>Not Listed</v>
          </cell>
          <cell r="E4456" t="str">
            <v>Finance (including NBFCs)</v>
          </cell>
        </row>
        <row r="4457">
          <cell r="B4457" t="str">
            <v>TTK HEALTHCARE LTD</v>
          </cell>
          <cell r="C4457">
            <v>507747</v>
          </cell>
          <cell r="D4457" t="str">
            <v>TTKHLTCARE</v>
          </cell>
          <cell r="E4457" t="str">
            <v>Pharmaceuticals</v>
          </cell>
        </row>
        <row r="4458">
          <cell r="B4458" t="str">
            <v>TTK PRESTIGE LTD</v>
          </cell>
          <cell r="C4458">
            <v>517506</v>
          </cell>
          <cell r="D4458" t="str">
            <v>TTKPRESTIG</v>
          </cell>
          <cell r="E4458" t="str">
            <v>Houseware</v>
          </cell>
        </row>
        <row r="4459">
          <cell r="B4459" t="str">
            <v>TTL Enterprises Ltd</v>
          </cell>
          <cell r="C4459">
            <v>514236</v>
          </cell>
          <cell r="D4459" t="str">
            <v>TTLEL</v>
          </cell>
          <cell r="E4459" t="str">
            <v>Comm.Trading  &amp;amp; Distribution</v>
          </cell>
        </row>
        <row r="4460">
          <cell r="B4460" t="str">
            <v>TUBE INVESTMENTS OF (INDIA) LTD</v>
          </cell>
          <cell r="C4460">
            <v>540762</v>
          </cell>
          <cell r="D4460" t="str">
            <v>TI(INDIA)</v>
          </cell>
          <cell r="E4460" t="str">
            <v>Auto Parts &amp; Equipment</v>
          </cell>
        </row>
        <row r="4461">
          <cell r="B4461" t="str">
            <v>TUBE INVESTMENTS OF INDIA LTD</v>
          </cell>
          <cell r="C4461">
            <v>540762</v>
          </cell>
          <cell r="D4461" t="str">
            <v>TIINDIA</v>
          </cell>
          <cell r="E4461" t="str">
            <v>Auto Parts &amp; Equipment</v>
          </cell>
        </row>
        <row r="4462">
          <cell r="B4462" t="str">
            <v>TULASEE BIO-ETHANOL LTD</v>
          </cell>
          <cell r="C4462">
            <v>524514</v>
          </cell>
          <cell r="D4462" t="str">
            <v>Not Listed</v>
          </cell>
          <cell r="E4462" t="str">
            <v>Commodity Chemicals</v>
          </cell>
        </row>
        <row r="4463">
          <cell r="B4463" t="str">
            <v>TULIP STAR HOTELS LTD</v>
          </cell>
          <cell r="C4463">
            <v>531088</v>
          </cell>
          <cell r="D4463" t="str">
            <v>Not Listed</v>
          </cell>
          <cell r="E4463" t="str">
            <v>Finance (including NBFCs)</v>
          </cell>
        </row>
        <row r="4464">
          <cell r="B4464" t="str">
            <v>TULIVE DEVELOPERS LTD</v>
          </cell>
          <cell r="C4464">
            <v>505285</v>
          </cell>
          <cell r="D4464" t="str">
            <v>Not Listed</v>
          </cell>
          <cell r="E4464" t="str">
            <v>Other Industrial Goods</v>
          </cell>
        </row>
        <row r="4465">
          <cell r="B4465" t="str">
            <v>TULSI EXTRUSIONS LTD</v>
          </cell>
          <cell r="C4465">
            <v>532948</v>
          </cell>
          <cell r="D4465" t="str">
            <v>TULSI</v>
          </cell>
          <cell r="E4465" t="str">
            <v>Plastic Products</v>
          </cell>
        </row>
        <row r="4466">
          <cell r="B4466" t="str">
            <v>TUMUS ELECTRIC CORPORATION LTD</v>
          </cell>
          <cell r="C4466">
            <v>504273</v>
          </cell>
          <cell r="D4466" t="str">
            <v>Not Listed</v>
          </cell>
          <cell r="E4466" t="str">
            <v>Other Elect.Equip./ Prod.</v>
          </cell>
        </row>
        <row r="4467">
          <cell r="B4467" t="str">
            <v>TUNI TEXTILE MILLS LTD</v>
          </cell>
          <cell r="C4467">
            <v>531411</v>
          </cell>
          <cell r="D4467" t="str">
            <v>Not Listed</v>
          </cell>
          <cell r="E4467" t="str">
            <v>Textiles</v>
          </cell>
        </row>
        <row r="4468">
          <cell r="B4468" t="str">
            <v>TUTICORIN ALKALI CHEMICALS &amp; FERTILISERS LTD</v>
          </cell>
          <cell r="C4468">
            <v>506808</v>
          </cell>
          <cell r="D4468" t="str">
            <v>Not Listed</v>
          </cell>
          <cell r="E4468" t="str">
            <v>Commodity Chemicals</v>
          </cell>
        </row>
        <row r="4469">
          <cell r="B4469" t="str">
            <v>TV TODAY NETWORK LTD</v>
          </cell>
          <cell r="C4469">
            <v>532515</v>
          </cell>
          <cell r="D4469" t="str">
            <v>TVTODAY</v>
          </cell>
          <cell r="E4469" t="str">
            <v>Broadcasting &amp; Cable TV</v>
          </cell>
        </row>
        <row r="4470">
          <cell r="B4470" t="str">
            <v>TV VISION LTD</v>
          </cell>
          <cell r="C4470">
            <v>540083</v>
          </cell>
          <cell r="D4470" t="str">
            <v>TVVISION</v>
          </cell>
          <cell r="E4470" t="str">
            <v>Broadcasting &amp; Cable TV</v>
          </cell>
        </row>
        <row r="4471">
          <cell r="B4471" t="str">
            <v>TV18 BROADCAST LTD</v>
          </cell>
          <cell r="C4471">
            <v>532800</v>
          </cell>
          <cell r="D4471" t="str">
            <v>TV18BRDCST</v>
          </cell>
          <cell r="E4471" t="str">
            <v>Broadcasting &amp; Cable TV</v>
          </cell>
        </row>
        <row r="4472">
          <cell r="B4472" t="str">
            <v>TVS ELECTRONICS LTD</v>
          </cell>
          <cell r="C4472">
            <v>532513</v>
          </cell>
          <cell r="D4472" t="str">
            <v>TVSELECT</v>
          </cell>
          <cell r="E4472" t="str">
            <v>Storage Media &amp; Peripherals</v>
          </cell>
        </row>
        <row r="4473">
          <cell r="B4473" t="str">
            <v>TVS MOTOR COMPANY LTD</v>
          </cell>
          <cell r="C4473">
            <v>532343</v>
          </cell>
          <cell r="D4473" t="str">
            <v>TVSMOTOR</v>
          </cell>
          <cell r="E4473" t="str">
            <v>2/3 Wheelers</v>
          </cell>
        </row>
        <row r="4474">
          <cell r="B4474" t="str">
            <v>TVS SRICHAKRA LTD</v>
          </cell>
          <cell r="C4474">
            <v>509243</v>
          </cell>
          <cell r="D4474" t="str">
            <v>TVSSRICHAK</v>
          </cell>
          <cell r="E4474" t="str">
            <v>Auto Tyres &amp; Rubber Products</v>
          </cell>
        </row>
        <row r="4475">
          <cell r="B4475" t="str">
            <v>TWIN ROSES TRADES &amp; AGENCIES LTD</v>
          </cell>
          <cell r="C4475">
            <v>512117</v>
          </cell>
          <cell r="D4475" t="str">
            <v>Not Listed</v>
          </cell>
          <cell r="E4475" t="str">
            <v>Misc.Commercial Services</v>
          </cell>
        </row>
        <row r="4476">
          <cell r="B4476" t="str">
            <v>TWINSTAR INDUSTRIES LTD</v>
          </cell>
          <cell r="C4476">
            <v>531917</v>
          </cell>
          <cell r="D4476" t="str">
            <v>Not Listed</v>
          </cell>
          <cell r="E4476" t="str">
            <v>IT Software Products</v>
          </cell>
        </row>
        <row r="4477">
          <cell r="B4477" t="str">
            <v>TYCHE INDUSTRIES LTD</v>
          </cell>
          <cell r="C4477">
            <v>532384</v>
          </cell>
          <cell r="D4477" t="str">
            <v>Not Listed</v>
          </cell>
          <cell r="E4477" t="str">
            <v>Pharmaceuticals</v>
          </cell>
        </row>
        <row r="4478">
          <cell r="B4478" t="str">
            <v>TYPHOON FINANCIAL SERVICES LTD</v>
          </cell>
          <cell r="C4478">
            <v>539468</v>
          </cell>
          <cell r="D4478" t="str">
            <v>Not Listed</v>
          </cell>
          <cell r="E4478" t="str">
            <v>Finance (including NBFCs)</v>
          </cell>
        </row>
        <row r="4479">
          <cell r="B4479" t="str">
            <v>TYPHOON HOLDINGS LTD</v>
          </cell>
          <cell r="C4479">
            <v>512307</v>
          </cell>
          <cell r="D4479" t="str">
            <v>Not Listed</v>
          </cell>
          <cell r="E4479" t="str">
            <v>Textiles</v>
          </cell>
        </row>
        <row r="4480">
          <cell r="B4480" t="str">
            <v>TYROON TEA CO LTD</v>
          </cell>
          <cell r="C4480">
            <v>526945</v>
          </cell>
          <cell r="D4480" t="str">
            <v>Not Listed</v>
          </cell>
          <cell r="E4480" t="str">
            <v>Tea &amp; Coffee</v>
          </cell>
        </row>
        <row r="4481">
          <cell r="B4481" t="str">
            <v>U  H  ZAVERI LTD</v>
          </cell>
          <cell r="C4481">
            <v>541338</v>
          </cell>
          <cell r="D4481" t="str">
            <v>Not Listed</v>
          </cell>
          <cell r="E4481" t="str">
            <v>Other Apparels &amp; Accessories</v>
          </cell>
        </row>
        <row r="4482">
          <cell r="B4482" t="str">
            <v>UCAL FUEL SYSTEMS LTD</v>
          </cell>
          <cell r="C4482">
            <v>500464</v>
          </cell>
          <cell r="D4482" t="str">
            <v>UCALFUEL</v>
          </cell>
          <cell r="E4482" t="str">
            <v>Auto Parts &amp; Equipment</v>
          </cell>
        </row>
        <row r="4483">
          <cell r="B4483" t="str">
            <v>UCO BANK</v>
          </cell>
          <cell r="C4483">
            <v>532505</v>
          </cell>
          <cell r="D4483" t="str">
            <v>UCOBANK</v>
          </cell>
          <cell r="E4483" t="str">
            <v>Banks</v>
          </cell>
        </row>
        <row r="4484">
          <cell r="B4484" t="str">
            <v>UDAIPUR CEMENT WORKS LTD</v>
          </cell>
          <cell r="C4484">
            <v>530131</v>
          </cell>
          <cell r="D4484" t="str">
            <v>Not Listed</v>
          </cell>
          <cell r="E4484" t="str">
            <v>Cement &amp; Cement Products</v>
          </cell>
        </row>
        <row r="4485">
          <cell r="B4485" t="str">
            <v>UDAY JEWELLERY INDUSTRIES LTD</v>
          </cell>
          <cell r="C4485">
            <v>539518</v>
          </cell>
          <cell r="D4485" t="str">
            <v>Not Listed</v>
          </cell>
          <cell r="E4485" t="str">
            <v>Distributors</v>
          </cell>
        </row>
        <row r="4486">
          <cell r="B4486" t="str">
            <v>UFLEX LTD</v>
          </cell>
          <cell r="C4486">
            <v>500148</v>
          </cell>
          <cell r="D4486" t="str">
            <v>UFLEX</v>
          </cell>
          <cell r="E4486" t="str">
            <v>Containers &amp; Packaging</v>
          </cell>
        </row>
        <row r="4487">
          <cell r="B4487" t="str">
            <v>UFO MOVIEZ (INDIA) LTD</v>
          </cell>
          <cell r="C4487">
            <v>539141</v>
          </cell>
          <cell r="D4487" t="str">
            <v>UFO</v>
          </cell>
          <cell r="E4487" t="str">
            <v>Broadcasting &amp; Cable TV</v>
          </cell>
        </row>
        <row r="4488">
          <cell r="B4488" t="str">
            <v>UFO MOVIEZ INDIA LTD</v>
          </cell>
          <cell r="C4488">
            <v>539141</v>
          </cell>
          <cell r="D4488" t="str">
            <v>UFO</v>
          </cell>
          <cell r="E4488" t="str">
            <v>Broadcasting &amp; Cable TV</v>
          </cell>
        </row>
        <row r="4489">
          <cell r="B4489" t="str">
            <v>UGRO CAPITAL LTD</v>
          </cell>
          <cell r="C4489">
            <v>511742</v>
          </cell>
          <cell r="D4489" t="str">
            <v>Not Listed</v>
          </cell>
          <cell r="E4489" t="str">
            <v>Finance (including NBFCs)</v>
          </cell>
        </row>
        <row r="4490">
          <cell r="B4490" t="str">
            <v>UJAAS ENERGY LTD</v>
          </cell>
          <cell r="C4490">
            <v>533644</v>
          </cell>
          <cell r="D4490" t="str">
            <v>UJAAS</v>
          </cell>
          <cell r="E4490" t="str">
            <v>Heavy Electrical Equipment</v>
          </cell>
        </row>
        <row r="4491">
          <cell r="B4491" t="str">
            <v>UJJIVAN FINANCIAL SERVICES LTD</v>
          </cell>
          <cell r="C4491">
            <v>539874</v>
          </cell>
          <cell r="D4491" t="str">
            <v>UJJIVAN</v>
          </cell>
          <cell r="E4491" t="str">
            <v>Finance (including NBFCs)</v>
          </cell>
        </row>
        <row r="4492">
          <cell r="B4492" t="str">
            <v>ULTRA WIRING CONNECTIVITY SYSTEM LTD</v>
          </cell>
          <cell r="C4492" t="str">
            <v>Not Listed</v>
          </cell>
          <cell r="D4492" t="str">
            <v>UWCSL</v>
          </cell>
          <cell r="E4492" t="str">
            <v>SME</v>
          </cell>
        </row>
        <row r="4493">
          <cell r="B4493" t="str">
            <v>ULTRACAB (INDIA) LTD</v>
          </cell>
          <cell r="C4493">
            <v>538706</v>
          </cell>
          <cell r="D4493" t="str">
            <v>Not Listed</v>
          </cell>
          <cell r="E4493" t="str">
            <v>Other Elect.Equip./ Prod.</v>
          </cell>
        </row>
        <row r="4494">
          <cell r="B4494" t="str">
            <v>ULTRACAB INDIA LTD</v>
          </cell>
          <cell r="C4494">
            <v>538706</v>
          </cell>
          <cell r="D4494" t="str">
            <v>Not Listed</v>
          </cell>
          <cell r="E4494" t="str">
            <v>Other Elect.Equip./ Prod.</v>
          </cell>
        </row>
        <row r="4495">
          <cell r="B4495" t="str">
            <v>ULTRAMARINE &amp; PIGMENTS LTD</v>
          </cell>
          <cell r="C4495">
            <v>506685</v>
          </cell>
          <cell r="D4495" t="str">
            <v>Not Listed</v>
          </cell>
          <cell r="E4495" t="str">
            <v>Specialty Chemicals</v>
          </cell>
        </row>
        <row r="4496">
          <cell r="B4496" t="str">
            <v>ULTRATECH CEMENT LTD</v>
          </cell>
          <cell r="C4496">
            <v>532538</v>
          </cell>
          <cell r="D4496" t="str">
            <v>ULTRACEMCO</v>
          </cell>
          <cell r="E4496" t="str">
            <v>Cement &amp; Cement Products</v>
          </cell>
        </row>
        <row r="4497">
          <cell r="B4497" t="str">
            <v>UMANG DAIRIES LTD</v>
          </cell>
          <cell r="C4497">
            <v>500231</v>
          </cell>
          <cell r="D4497" t="str">
            <v>UMANGDAIRY</v>
          </cell>
          <cell r="E4497" t="str">
            <v>Packaged Foods</v>
          </cell>
        </row>
        <row r="4498">
          <cell r="B4498" t="str">
            <v>UMIYA TUBES LTD</v>
          </cell>
          <cell r="C4498">
            <v>539798</v>
          </cell>
          <cell r="D4498" t="str">
            <v>Not Listed</v>
          </cell>
          <cell r="E4498" t="str">
            <v>Iron &amp; Steel Products</v>
          </cell>
        </row>
        <row r="4499">
          <cell r="B4499" t="str">
            <v>UNI ABEX ALLOY PRODUCTS LTD</v>
          </cell>
          <cell r="C4499">
            <v>504605</v>
          </cell>
          <cell r="D4499" t="str">
            <v>Not Listed</v>
          </cell>
          <cell r="E4499" t="str">
            <v>Iron &amp; Steel Products</v>
          </cell>
        </row>
        <row r="4500">
          <cell r="B4500" t="str">
            <v>UNICHEM LABORATORIES LTD</v>
          </cell>
          <cell r="C4500">
            <v>506690</v>
          </cell>
          <cell r="D4500" t="str">
            <v>UNICHEMLAB</v>
          </cell>
          <cell r="E4500" t="str">
            <v>Pharmaceuticals</v>
          </cell>
        </row>
        <row r="4501">
          <cell r="B4501" t="str">
            <v>UNICK FIX-A-FORM AND PRINTERS LTD</v>
          </cell>
          <cell r="C4501">
            <v>541503</v>
          </cell>
          <cell r="D4501" t="str">
            <v>Not Listed</v>
          </cell>
          <cell r="E4501" t="str">
            <v>Comm.Printing/Stationery</v>
          </cell>
        </row>
        <row r="4502">
          <cell r="B4502" t="str">
            <v>UNIINFO TELECOM SERVICES LTD</v>
          </cell>
          <cell r="C4502" t="str">
            <v>Not Listed</v>
          </cell>
          <cell r="D4502" t="str">
            <v>UNIINFO</v>
          </cell>
          <cell r="E4502" t="str">
            <v>SME</v>
          </cell>
        </row>
        <row r="4503">
          <cell r="B4503" t="str">
            <v>UNIJOLLY INVESTMENTS CO LTD</v>
          </cell>
          <cell r="C4503">
            <v>503671</v>
          </cell>
          <cell r="D4503" t="str">
            <v>Not Listed</v>
          </cell>
          <cell r="E4503" t="str">
            <v>Other Financial Services</v>
          </cell>
        </row>
        <row r="4504">
          <cell r="B4504" t="str">
            <v>UNIMODE OVERSEAS LTD.</v>
          </cell>
          <cell r="C4504">
            <v>512595</v>
          </cell>
          <cell r="D4504" t="str">
            <v>UNIMOVR</v>
          </cell>
          <cell r="E4504" t="str">
            <v>Other Apparels &amp;amp; Accessories</v>
          </cell>
        </row>
        <row r="4505">
          <cell r="B4505" t="str">
            <v>UNION BANK OF INDIA</v>
          </cell>
          <cell r="C4505">
            <v>532477</v>
          </cell>
          <cell r="D4505" t="str">
            <v>UNIONBANK</v>
          </cell>
          <cell r="E4505" t="str">
            <v>Banks</v>
          </cell>
        </row>
        <row r="4506">
          <cell r="B4506" t="str">
            <v>UNION QUALITY PLASTICS LTD</v>
          </cell>
          <cell r="C4506">
            <v>526799</v>
          </cell>
          <cell r="D4506" t="str">
            <v>Not Listed</v>
          </cell>
          <cell r="E4506" t="str">
            <v>Containers &amp; Packaging</v>
          </cell>
        </row>
        <row r="4507">
          <cell r="B4507" t="str">
            <v>UNIPHOS ENTERPRISES LTD</v>
          </cell>
          <cell r="C4507">
            <v>500429</v>
          </cell>
          <cell r="D4507" t="str">
            <v>UNIENTER</v>
          </cell>
          <cell r="E4507" t="str">
            <v>Comm.Trading  &amp; Distribution</v>
          </cell>
        </row>
        <row r="4508">
          <cell r="B4508" t="str">
            <v>UNIPLY DECOR LTD</v>
          </cell>
          <cell r="C4508">
            <v>526957</v>
          </cell>
          <cell r="D4508" t="str">
            <v>Not Listed</v>
          </cell>
          <cell r="E4508" t="str">
            <v>Forest Products</v>
          </cell>
        </row>
        <row r="4509">
          <cell r="B4509" t="str">
            <v>UNIPLY INDUSTRIES LTD</v>
          </cell>
          <cell r="C4509">
            <v>532646</v>
          </cell>
          <cell r="D4509" t="str">
            <v>UNIPLY</v>
          </cell>
          <cell r="E4509" t="str">
            <v>Forest Products</v>
          </cell>
        </row>
        <row r="4510">
          <cell r="B4510" t="str">
            <v>UNIQUE ORGANICS LTD</v>
          </cell>
          <cell r="C4510">
            <v>530997</v>
          </cell>
          <cell r="D4510" t="str">
            <v>Not Listed</v>
          </cell>
          <cell r="E4510" t="str">
            <v>Other Agricultural Products</v>
          </cell>
        </row>
        <row r="4511">
          <cell r="B4511" t="str">
            <v>UNIROYAL INDUSTRIES LTD</v>
          </cell>
          <cell r="C4511">
            <v>521226</v>
          </cell>
          <cell r="D4511" t="str">
            <v>Not Listed</v>
          </cell>
          <cell r="E4511" t="str">
            <v>Textiles</v>
          </cell>
        </row>
        <row r="4512">
          <cell r="B4512" t="str">
            <v>UNIROYAL MARINE EXPORTS LTD</v>
          </cell>
          <cell r="C4512">
            <v>526113</v>
          </cell>
          <cell r="D4512" t="str">
            <v>Not Listed</v>
          </cell>
          <cell r="E4512" t="str">
            <v>Packaged Foods</v>
          </cell>
        </row>
        <row r="4513">
          <cell r="B4513" t="str">
            <v>UNISHIRE URBAN INFRA LTD</v>
          </cell>
          <cell r="C4513">
            <v>537582</v>
          </cell>
          <cell r="D4513" t="str">
            <v>Not Listed</v>
          </cell>
          <cell r="E4513" t="str">
            <v>Realty</v>
          </cell>
        </row>
        <row r="4514">
          <cell r="B4514" t="str">
            <v>UNISON METALS LTD</v>
          </cell>
          <cell r="C4514">
            <v>538610</v>
          </cell>
          <cell r="D4514" t="str">
            <v>Not Listed</v>
          </cell>
          <cell r="E4514" t="str">
            <v>Iron &amp; Steel Products</v>
          </cell>
        </row>
        <row r="4515">
          <cell r="B4515" t="str">
            <v>UNISTAR MULTIMEDIA LTD</v>
          </cell>
          <cell r="C4515">
            <v>532035</v>
          </cell>
          <cell r="D4515" t="str">
            <v>Not Listed</v>
          </cell>
          <cell r="E4515" t="str">
            <v>Finance (including NBFCs)</v>
          </cell>
        </row>
        <row r="4516">
          <cell r="B4516" t="str">
            <v>UNISYS SOFTWARES &amp; HOLDING INDUSTRIES LTD</v>
          </cell>
          <cell r="C4516">
            <v>531831</v>
          </cell>
          <cell r="D4516" t="str">
            <v>Not Listed</v>
          </cell>
          <cell r="E4516" t="str">
            <v xml:space="preserve">Housing Finance </v>
          </cell>
        </row>
        <row r="4517">
          <cell r="B4517" t="str">
            <v>UNITECH INTERNATIONAL LTD</v>
          </cell>
          <cell r="C4517">
            <v>531867</v>
          </cell>
          <cell r="D4517" t="str">
            <v>Not Listed</v>
          </cell>
          <cell r="E4517" t="str">
            <v>Comm.Trading  &amp; Distribution</v>
          </cell>
        </row>
        <row r="4518">
          <cell r="B4518" t="str">
            <v>UNITECH LTD</v>
          </cell>
          <cell r="C4518">
            <v>507878</v>
          </cell>
          <cell r="D4518" t="str">
            <v>UNITECH</v>
          </cell>
          <cell r="E4518" t="str">
            <v>Realty</v>
          </cell>
        </row>
        <row r="4519">
          <cell r="B4519" t="str">
            <v>UNITED BANK OF INDIA</v>
          </cell>
          <cell r="C4519">
            <v>533171</v>
          </cell>
          <cell r="D4519" t="str">
            <v>UNITEDBNK</v>
          </cell>
          <cell r="E4519" t="str">
            <v>Banks</v>
          </cell>
        </row>
        <row r="4520">
          <cell r="B4520" t="str">
            <v>UNITED BREWERIES LTD</v>
          </cell>
          <cell r="C4520">
            <v>532478</v>
          </cell>
          <cell r="D4520" t="str">
            <v>UBL</v>
          </cell>
          <cell r="E4520" t="str">
            <v>Breweries &amp; Distilleries</v>
          </cell>
        </row>
        <row r="4521">
          <cell r="B4521" t="str">
            <v>UNITED CREDIT LTD</v>
          </cell>
          <cell r="C4521">
            <v>531091</v>
          </cell>
          <cell r="D4521" t="str">
            <v>Not Listed</v>
          </cell>
          <cell r="E4521" t="str">
            <v>Finance (including NBFCs)</v>
          </cell>
        </row>
        <row r="4522">
          <cell r="B4522" t="str">
            <v>UNITED DRILLING TOOLS LTD</v>
          </cell>
          <cell r="C4522">
            <v>522014</v>
          </cell>
          <cell r="D4522" t="str">
            <v>Not Listed</v>
          </cell>
          <cell r="E4522" t="str">
            <v>Other Industrial Goods</v>
          </cell>
        </row>
        <row r="4523">
          <cell r="B4523" t="str">
            <v>UNITED INTERACTIVE LTD</v>
          </cell>
          <cell r="C4523">
            <v>502893</v>
          </cell>
          <cell r="D4523" t="str">
            <v>Not Listed</v>
          </cell>
          <cell r="E4523" t="str">
            <v>Internet Software &amp; Services</v>
          </cell>
        </row>
        <row r="4524">
          <cell r="B4524" t="str">
            <v>UNITED LEASING &amp; INDUSTRIES LTD</v>
          </cell>
          <cell r="C4524">
            <v>507808</v>
          </cell>
          <cell r="D4524" t="str">
            <v>Not Listed</v>
          </cell>
          <cell r="E4524" t="str">
            <v>Finance (including NBFCs)</v>
          </cell>
        </row>
        <row r="4525">
          <cell r="B4525" t="str">
            <v>UNITED POLYFAB GUJARAT LTD</v>
          </cell>
          <cell r="C4525" t="str">
            <v>Not Listed</v>
          </cell>
          <cell r="D4525" t="str">
            <v>UNITEDPOLY</v>
          </cell>
          <cell r="E4525" t="str">
            <v>SME</v>
          </cell>
        </row>
        <row r="4526">
          <cell r="B4526" t="str">
            <v>UNITED SPIRITS LTD</v>
          </cell>
          <cell r="C4526">
            <v>532432</v>
          </cell>
          <cell r="D4526" t="str">
            <v>MCDOWELL-N</v>
          </cell>
          <cell r="E4526" t="str">
            <v>Breweries &amp; Distilleries</v>
          </cell>
        </row>
        <row r="4527">
          <cell r="B4527" t="str">
            <v>UNITED TEXTILES LTD</v>
          </cell>
          <cell r="C4527">
            <v>521188</v>
          </cell>
          <cell r="D4527" t="str">
            <v>Not Listed</v>
          </cell>
          <cell r="E4527" t="str">
            <v>Textiles</v>
          </cell>
        </row>
        <row r="4528">
          <cell r="B4528" t="str">
            <v>UNITED VAN DER HORST LTD</v>
          </cell>
          <cell r="C4528">
            <v>522091</v>
          </cell>
          <cell r="D4528" t="str">
            <v>Not Listed</v>
          </cell>
          <cell r="E4528" t="str">
            <v>Heavy Electrical Equipment</v>
          </cell>
        </row>
        <row r="4529">
          <cell r="B4529" t="str">
            <v>UNITY INFRAPROJECTS LTD</v>
          </cell>
          <cell r="C4529">
            <v>532746</v>
          </cell>
          <cell r="D4529" t="str">
            <v>UNITY</v>
          </cell>
          <cell r="E4529" t="str">
            <v>Construction &amp; Engineering</v>
          </cell>
        </row>
        <row r="4530">
          <cell r="B4530" t="str">
            <v>UNIVASTU (INDIA) LTD</v>
          </cell>
          <cell r="C4530" t="str">
            <v>Not Listed</v>
          </cell>
          <cell r="D4530" t="str">
            <v>UNIVASTU</v>
          </cell>
          <cell r="E4530" t="str">
            <v>SME</v>
          </cell>
        </row>
        <row r="4531">
          <cell r="B4531" t="str">
            <v>UNIVASTU INDIA LTD</v>
          </cell>
          <cell r="C4531" t="str">
            <v>Not Listed</v>
          </cell>
          <cell r="D4531" t="str">
            <v>UNIVASTU</v>
          </cell>
          <cell r="E4531" t="str">
            <v>SME</v>
          </cell>
        </row>
        <row r="4532">
          <cell r="B4532" t="str">
            <v>UNIVERSAL ARTS LTD</v>
          </cell>
          <cell r="C4532">
            <v>532378</v>
          </cell>
          <cell r="D4532" t="str">
            <v>Not Listed</v>
          </cell>
          <cell r="E4532" t="str">
            <v>Movies &amp; Entertainment</v>
          </cell>
        </row>
        <row r="4533">
          <cell r="B4533" t="str">
            <v>UNIVERSAL AUTOFOUNDRY LTD</v>
          </cell>
          <cell r="C4533">
            <v>539314</v>
          </cell>
          <cell r="D4533" t="str">
            <v>Not Listed</v>
          </cell>
          <cell r="E4533" t="str">
            <v>Auto Parts &amp; Equipment</v>
          </cell>
        </row>
        <row r="4534">
          <cell r="B4534" t="str">
            <v>UNIVERSAL CABLES LTD</v>
          </cell>
          <cell r="C4534">
            <v>504212</v>
          </cell>
          <cell r="D4534" t="str">
            <v>UNIVCABLES</v>
          </cell>
          <cell r="E4534" t="str">
            <v>Other Elect.Equip./ Prod.</v>
          </cell>
        </row>
        <row r="4535">
          <cell r="B4535" t="str">
            <v>UNIVERSAL CREDIT &amp; SECURITIES LTD</v>
          </cell>
          <cell r="C4535">
            <v>531963</v>
          </cell>
          <cell r="D4535" t="str">
            <v>Not Listed</v>
          </cell>
          <cell r="E4535" t="str">
            <v>Misc.Commercial Services</v>
          </cell>
        </row>
        <row r="4536">
          <cell r="B4536" t="str">
            <v>UNIVERSAL OFFICE AUTOMATION LTD</v>
          </cell>
          <cell r="C4536">
            <v>523519</v>
          </cell>
          <cell r="D4536" t="str">
            <v>Not Listed</v>
          </cell>
          <cell r="E4536" t="str">
            <v>Comm.Trading  &amp; Distribution</v>
          </cell>
        </row>
        <row r="4537">
          <cell r="B4537" t="str">
            <v>UNIVERSAL PRIME ALUMINIUM LTD</v>
          </cell>
          <cell r="C4537">
            <v>504673</v>
          </cell>
          <cell r="D4537" t="str">
            <v>Not Listed</v>
          </cell>
          <cell r="E4537" t="str">
            <v>Aluminium</v>
          </cell>
        </row>
        <row r="4538">
          <cell r="B4538" t="str">
            <v>UNIVERSAL STARCH-CHEM ALLIED LTD</v>
          </cell>
          <cell r="C4538">
            <v>524408</v>
          </cell>
          <cell r="D4538" t="str">
            <v>Not Listed</v>
          </cell>
          <cell r="E4538" t="str">
            <v>Commodity Chemicals</v>
          </cell>
        </row>
        <row r="4539">
          <cell r="B4539" t="str">
            <v>UNIWORTH LTD</v>
          </cell>
          <cell r="C4539">
            <v>514144</v>
          </cell>
          <cell r="D4539" t="str">
            <v>Not Listed</v>
          </cell>
          <cell r="E4539" t="str">
            <v>Textiles</v>
          </cell>
        </row>
        <row r="4540">
          <cell r="B4540" t="str">
            <v>UNIWORTH SECURITIES LTD</v>
          </cell>
          <cell r="C4540">
            <v>512408</v>
          </cell>
          <cell r="D4540" t="str">
            <v>Not Listed</v>
          </cell>
          <cell r="E4540" t="str">
            <v>Textiles</v>
          </cell>
        </row>
        <row r="4541">
          <cell r="B4541" t="str">
            <v>UNJHA FORMULATIONS LTD</v>
          </cell>
          <cell r="C4541">
            <v>531762</v>
          </cell>
          <cell r="D4541" t="str">
            <v>Not Listed</v>
          </cell>
          <cell r="E4541" t="str">
            <v>Pharmaceuticals</v>
          </cell>
        </row>
        <row r="4542">
          <cell r="B4542" t="str">
            <v>UPASANA FINANCE LTD</v>
          </cell>
          <cell r="C4542">
            <v>511764</v>
          </cell>
          <cell r="D4542" t="str">
            <v>Not Listed</v>
          </cell>
          <cell r="E4542" t="str">
            <v>Finance (including NBFCs)</v>
          </cell>
        </row>
        <row r="4543">
          <cell r="B4543" t="str">
            <v>UPL LTD</v>
          </cell>
          <cell r="C4543">
            <v>512070</v>
          </cell>
          <cell r="D4543" t="str">
            <v>UPL</v>
          </cell>
          <cell r="E4543" t="str">
            <v>Agrochemicals</v>
          </cell>
        </row>
        <row r="4544">
          <cell r="B4544" t="str">
            <v>UPSURGE INVESTMENT &amp; FINANCE LTD</v>
          </cell>
          <cell r="C4544">
            <v>531390</v>
          </cell>
          <cell r="D4544" t="str">
            <v>Not Listed</v>
          </cell>
          <cell r="E4544" t="str">
            <v>Finance (including NBFCs)</v>
          </cell>
        </row>
        <row r="4545">
          <cell r="B4545" t="str">
            <v>URAVI T AND WEDGE LAMPS LTD</v>
          </cell>
          <cell r="C4545" t="str">
            <v>Not Listed</v>
          </cell>
          <cell r="D4545" t="str">
            <v>URAVI</v>
          </cell>
          <cell r="E4545" t="str">
            <v>SME</v>
          </cell>
        </row>
        <row r="4546">
          <cell r="B4546" t="str">
            <v>URJA GLOBAL LTD</v>
          </cell>
          <cell r="C4546">
            <v>526987</v>
          </cell>
          <cell r="D4546" t="str">
            <v>URJA</v>
          </cell>
          <cell r="E4546" t="str">
            <v>Comm.Trading  &amp; Distribution</v>
          </cell>
        </row>
        <row r="4547">
          <cell r="B4547" t="str">
            <v>USG TECH SOLUTIONS LTD</v>
          </cell>
          <cell r="C4547">
            <v>532402</v>
          </cell>
          <cell r="D4547" t="str">
            <v>Not Listed</v>
          </cell>
          <cell r="E4547" t="str">
            <v>IT Software Products</v>
          </cell>
        </row>
        <row r="4548">
          <cell r="B4548" t="str">
            <v>USHA MARTIN EDUCATION &amp; SOLUTIONS LTD</v>
          </cell>
          <cell r="C4548">
            <v>532398</v>
          </cell>
          <cell r="D4548" t="str">
            <v>UMESLTD</v>
          </cell>
          <cell r="E4548" t="str">
            <v>IT Software Products</v>
          </cell>
        </row>
        <row r="4549">
          <cell r="B4549" t="str">
            <v>USHA MARTIN LTD</v>
          </cell>
          <cell r="C4549">
            <v>517146</v>
          </cell>
          <cell r="D4549" t="str">
            <v>USHAMART</v>
          </cell>
          <cell r="E4549" t="str">
            <v>Iron &amp; Steel Products</v>
          </cell>
        </row>
        <row r="4550">
          <cell r="B4550" t="str">
            <v>USHAKIRAN FINANCE LTD</v>
          </cell>
          <cell r="C4550">
            <v>511507</v>
          </cell>
          <cell r="D4550" t="str">
            <v>Not Listed</v>
          </cell>
          <cell r="E4550" t="str">
            <v>Finance (including NBFCs)</v>
          </cell>
        </row>
        <row r="4551">
          <cell r="B4551" t="str">
            <v>USHANTI COLOUR CHEM LTD</v>
          </cell>
          <cell r="C4551" t="str">
            <v>Not Listed</v>
          </cell>
          <cell r="D4551" t="str">
            <v>UCL</v>
          </cell>
          <cell r="E4551" t="str">
            <v>SME</v>
          </cell>
        </row>
        <row r="4552">
          <cell r="B4552" t="str">
            <v>USHDEV INTERNATIONAL LTD</v>
          </cell>
          <cell r="C4552">
            <v>511736</v>
          </cell>
          <cell r="D4552" t="str">
            <v>Not Listed</v>
          </cell>
          <cell r="E4552" t="str">
            <v>Comm.Trading  &amp; Distribution</v>
          </cell>
        </row>
        <row r="4553">
          <cell r="B4553" t="str">
            <v>USHER AGRO LTD</v>
          </cell>
          <cell r="C4553">
            <v>532765</v>
          </cell>
          <cell r="D4553" t="str">
            <v>USHERAGRO</v>
          </cell>
          <cell r="E4553" t="str">
            <v>Other Agricultural Products</v>
          </cell>
        </row>
        <row r="4554">
          <cell r="B4554" t="str">
            <v>UTI MUTUAL FUND - UTI GOLD EXCHANGE TRADED FUND</v>
          </cell>
          <cell r="C4554">
            <v>590101</v>
          </cell>
          <cell r="D4554" t="str">
            <v>GOLDSHARE</v>
          </cell>
          <cell r="E4554" t="str">
            <v>Other Financial Services</v>
          </cell>
        </row>
        <row r="4555">
          <cell r="B4555" t="str">
            <v>UTL INDUSTRIES LTD</v>
          </cell>
          <cell r="C4555">
            <v>500426</v>
          </cell>
          <cell r="D4555" t="str">
            <v>Not Listed</v>
          </cell>
          <cell r="E4555" t="str">
            <v>Realty</v>
          </cell>
        </row>
        <row r="4556">
          <cell r="B4556" t="str">
            <v>UTTAM GALVA STEELS LTD</v>
          </cell>
          <cell r="C4556">
            <v>513216</v>
          </cell>
          <cell r="D4556" t="str">
            <v>UTTAMSTL</v>
          </cell>
          <cell r="E4556" t="str">
            <v>Iron &amp; Steel/Interm.Products</v>
          </cell>
        </row>
        <row r="4557">
          <cell r="B4557" t="str">
            <v>UTTAM SUGAR MILLS LTD</v>
          </cell>
          <cell r="C4557">
            <v>532729</v>
          </cell>
          <cell r="D4557" t="str">
            <v>UTTAMSUGAR</v>
          </cell>
          <cell r="E4557" t="str">
            <v>Sugar</v>
          </cell>
        </row>
        <row r="4558">
          <cell r="B4558" t="str">
            <v>UTTAM VALUE STEELS LTD</v>
          </cell>
          <cell r="C4558">
            <v>500254</v>
          </cell>
          <cell r="D4558" t="str">
            <v>UVSL</v>
          </cell>
          <cell r="E4558" t="str">
            <v>Iron &amp; Steel/Interm.Products</v>
          </cell>
        </row>
        <row r="4559">
          <cell r="B4559" t="str">
            <v>V B DESAI FINANCIAL SERVICES LTD</v>
          </cell>
          <cell r="C4559">
            <v>511110</v>
          </cell>
          <cell r="D4559" t="str">
            <v>Not Listed</v>
          </cell>
          <cell r="E4559" t="str">
            <v>Other Financial Services</v>
          </cell>
        </row>
        <row r="4560">
          <cell r="B4560" t="str">
            <v>V B INDUSTRIES LTD</v>
          </cell>
          <cell r="C4560">
            <v>539123</v>
          </cell>
          <cell r="D4560" t="str">
            <v>Not Listed</v>
          </cell>
          <cell r="E4560" t="str">
            <v>Investment Companies</v>
          </cell>
        </row>
        <row r="4561">
          <cell r="B4561" t="str">
            <v>V R Films &amp;amp; Studios Ltd</v>
          </cell>
          <cell r="C4561">
            <v>542654</v>
          </cell>
          <cell r="D4561" t="str">
            <v>VRFILMS</v>
          </cell>
          <cell r="E4561" t="str">
            <v>Specialty Retail</v>
          </cell>
        </row>
        <row r="4562">
          <cell r="B4562" t="str">
            <v>V R WOODART LTD</v>
          </cell>
          <cell r="C4562">
            <v>523888</v>
          </cell>
          <cell r="D4562" t="str">
            <v>Not Listed</v>
          </cell>
          <cell r="E4562" t="str">
            <v>Auto Tyres &amp; Rubber Products</v>
          </cell>
        </row>
        <row r="4563">
          <cell r="B4563" t="str">
            <v>V S T TILLERS TRACTORS LTD</v>
          </cell>
          <cell r="C4563">
            <v>531266</v>
          </cell>
          <cell r="D4563" t="str">
            <v>VSTTILLERS</v>
          </cell>
          <cell r="E4563" t="str">
            <v>Commercial Vehicles</v>
          </cell>
        </row>
        <row r="4564">
          <cell r="B4564" t="str">
            <v>V2 RETAIL LTD</v>
          </cell>
          <cell r="C4564">
            <v>532867</v>
          </cell>
          <cell r="D4564" t="str">
            <v>V2RETAIL</v>
          </cell>
          <cell r="E4564" t="str">
            <v>Department Stores</v>
          </cell>
        </row>
        <row r="4565">
          <cell r="B4565" t="str">
            <v>VA TECH WABAG LTD</v>
          </cell>
          <cell r="C4565">
            <v>533269</v>
          </cell>
          <cell r="D4565" t="str">
            <v>WABAG</v>
          </cell>
          <cell r="E4565" t="str">
            <v>Utilities:Non-Elec.</v>
          </cell>
        </row>
        <row r="4566">
          <cell r="B4566" t="str">
            <v>VAARAD VENTURES LTD</v>
          </cell>
          <cell r="C4566">
            <v>532320</v>
          </cell>
          <cell r="D4566" t="str">
            <v>Not Listed</v>
          </cell>
          <cell r="E4566" t="str">
            <v>Finance (including NBFCs)</v>
          </cell>
        </row>
        <row r="4567">
          <cell r="B4567" t="str">
            <v>VADILAL ENTERPRISES LTD</v>
          </cell>
          <cell r="C4567">
            <v>519152</v>
          </cell>
          <cell r="D4567" t="str">
            <v>Not Listed</v>
          </cell>
          <cell r="E4567" t="str">
            <v>Comm.Trading  &amp; Distribution</v>
          </cell>
        </row>
        <row r="4568">
          <cell r="B4568" t="str">
            <v>VADILAL INDUSTRIES LTD</v>
          </cell>
          <cell r="C4568">
            <v>519156</v>
          </cell>
          <cell r="D4568" t="str">
            <v>VADILALIND</v>
          </cell>
          <cell r="E4568" t="str">
            <v>Packaged Foods</v>
          </cell>
        </row>
        <row r="4569">
          <cell r="B4569" t="str">
            <v>VADIVARHE SPECIALITY CHEMICALS LTD</v>
          </cell>
          <cell r="C4569" t="str">
            <v>Not Listed</v>
          </cell>
          <cell r="D4569" t="str">
            <v>VSCL</v>
          </cell>
          <cell r="E4569" t="str">
            <v>SME</v>
          </cell>
        </row>
        <row r="4570">
          <cell r="B4570" t="str">
            <v>VAGHANI TECHNO-BUILD LTD</v>
          </cell>
          <cell r="C4570">
            <v>531676</v>
          </cell>
          <cell r="D4570" t="str">
            <v>Not Listed</v>
          </cell>
          <cell r="E4570" t="str">
            <v>Packaged Foods</v>
          </cell>
        </row>
        <row r="4571">
          <cell r="B4571" t="str">
            <v>VAIBHAV GLOBAL LTD</v>
          </cell>
          <cell r="C4571">
            <v>532156</v>
          </cell>
          <cell r="D4571" t="str">
            <v>VAIBHAVGBL</v>
          </cell>
          <cell r="E4571" t="str">
            <v>Other Apparels &amp; Accessories</v>
          </cell>
        </row>
        <row r="4572">
          <cell r="B4572" t="str">
            <v>VAISHALI PHARMA LTD</v>
          </cell>
          <cell r="C4572" t="str">
            <v>Not Listed</v>
          </cell>
          <cell r="D4572" t="str">
            <v>VAISHALI</v>
          </cell>
          <cell r="E4572" t="str">
            <v>SME</v>
          </cell>
        </row>
        <row r="4573">
          <cell r="B4573" t="str">
            <v>VAKRANGEE LTD</v>
          </cell>
          <cell r="C4573">
            <v>511431</v>
          </cell>
          <cell r="D4573" t="str">
            <v>VAKRANGEE</v>
          </cell>
          <cell r="E4573" t="str">
            <v>Specialty Retail</v>
          </cell>
        </row>
        <row r="4574">
          <cell r="B4574" t="str">
            <v>VAKSONS AUTOMOBILES LTD</v>
          </cell>
          <cell r="C4574">
            <v>539402</v>
          </cell>
          <cell r="D4574" t="str">
            <v>Not Listed</v>
          </cell>
          <cell r="E4574" t="str">
            <v>Other Agricultural Products</v>
          </cell>
        </row>
        <row r="4575">
          <cell r="B4575" t="str">
            <v>VALIANT COMMUNICATIONS LTD</v>
          </cell>
          <cell r="C4575">
            <v>526775</v>
          </cell>
          <cell r="D4575" t="str">
            <v>Not Listed</v>
          </cell>
          <cell r="E4575" t="str">
            <v>Telecom Equipment</v>
          </cell>
        </row>
        <row r="4576">
          <cell r="B4576" t="str">
            <v>VALIANT ORGANICS LTD</v>
          </cell>
          <cell r="C4576">
            <v>540145</v>
          </cell>
          <cell r="D4576" t="str">
            <v>Not Listed</v>
          </cell>
          <cell r="E4576" t="str">
            <v>Pharmaceuticals</v>
          </cell>
        </row>
        <row r="4577">
          <cell r="B4577" t="str">
            <v>VALLABH POLY-PLAST INTERNATIONAL LTD</v>
          </cell>
          <cell r="C4577">
            <v>530403</v>
          </cell>
          <cell r="D4577" t="str">
            <v>Not Listed</v>
          </cell>
          <cell r="E4577" t="str">
            <v>Containers &amp; Packaging</v>
          </cell>
        </row>
        <row r="4578">
          <cell r="B4578" t="str">
            <v>VALLABH STEELS LTD</v>
          </cell>
          <cell r="C4578">
            <v>513397</v>
          </cell>
          <cell r="D4578" t="str">
            <v>Not Listed</v>
          </cell>
          <cell r="E4578" t="str">
            <v>Iron &amp; Steel Products</v>
          </cell>
        </row>
        <row r="4579">
          <cell r="B4579" t="str">
            <v>VALLEY MAGNESITE COMPANY LTD</v>
          </cell>
          <cell r="C4579">
            <v>539543</v>
          </cell>
          <cell r="D4579" t="str">
            <v>Not Listed</v>
          </cell>
          <cell r="E4579" t="str">
            <v>Investment Companies</v>
          </cell>
        </row>
        <row r="4580">
          <cell r="B4580" t="str">
            <v>VALSON INDUSTRIES LTD</v>
          </cell>
          <cell r="C4580">
            <v>530459</v>
          </cell>
          <cell r="D4580" t="str">
            <v>Not Listed</v>
          </cell>
          <cell r="E4580" t="str">
            <v>Textiles</v>
          </cell>
        </row>
        <row r="4581">
          <cell r="B4581" t="str">
            <v>VAMA INDUSTRIES LTD</v>
          </cell>
          <cell r="C4581">
            <v>512175</v>
          </cell>
          <cell r="D4581" t="str">
            <v>Not Listed</v>
          </cell>
          <cell r="E4581" t="str">
            <v>IT Consulting &amp; Software</v>
          </cell>
        </row>
        <row r="4582">
          <cell r="B4582" t="str">
            <v>VAMSHI RUBBER LTD</v>
          </cell>
          <cell r="C4582">
            <v>530369</v>
          </cell>
          <cell r="D4582" t="str">
            <v>Not Listed</v>
          </cell>
          <cell r="E4582" t="str">
            <v>Auto Tyres &amp; Rubber Products</v>
          </cell>
        </row>
        <row r="4583">
          <cell r="B4583" t="str">
            <v>VANDANA KNITWEAR LTD</v>
          </cell>
          <cell r="C4583">
            <v>532090</v>
          </cell>
          <cell r="D4583" t="str">
            <v>Not Listed</v>
          </cell>
          <cell r="E4583" t="str">
            <v>Textiles</v>
          </cell>
        </row>
        <row r="4584">
          <cell r="B4584" t="str">
            <v>VANI COMMERCIALS LTD</v>
          </cell>
          <cell r="C4584">
            <v>538918</v>
          </cell>
          <cell r="D4584" t="str">
            <v>Not Listed</v>
          </cell>
          <cell r="E4584" t="str">
            <v>Finance (including NBFCs)</v>
          </cell>
        </row>
        <row r="4585">
          <cell r="B4585" t="str">
            <v>VANTA BIOSCIENCE LTD</v>
          </cell>
          <cell r="C4585">
            <v>540729</v>
          </cell>
          <cell r="D4585" t="str">
            <v>Not Listed</v>
          </cell>
          <cell r="E4585" t="str">
            <v>Pharmaceuticals</v>
          </cell>
        </row>
        <row r="4586">
          <cell r="B4586" t="str">
            <v>VANTAGE KNOWLEDGE ACADEMY LTD</v>
          </cell>
          <cell r="C4586">
            <v>539761</v>
          </cell>
          <cell r="D4586" t="str">
            <v>Not Listed</v>
          </cell>
          <cell r="E4586" t="str">
            <v>Education</v>
          </cell>
        </row>
        <row r="4587">
          <cell r="B4587" t="str">
            <v>VAPI PAPER MILLS LTD</v>
          </cell>
          <cell r="C4587">
            <v>502589</v>
          </cell>
          <cell r="D4587" t="str">
            <v>Not Listed</v>
          </cell>
          <cell r="E4587" t="str">
            <v>Paper &amp; Paper Products</v>
          </cell>
        </row>
        <row r="4588">
          <cell r="B4588" t="str">
            <v>VARDHAMAN LABORATORIES LTD</v>
          </cell>
          <cell r="C4588">
            <v>524796</v>
          </cell>
          <cell r="D4588" t="str">
            <v>Not Listed</v>
          </cell>
          <cell r="E4588" t="str">
            <v>Pharmaceuticals</v>
          </cell>
        </row>
        <row r="4589">
          <cell r="B4589" t="str">
            <v>VARDHMAN ACRYLICS LTD</v>
          </cell>
          <cell r="C4589" t="str">
            <v>Not Listed</v>
          </cell>
          <cell r="D4589" t="str">
            <v>VARDHACRLC</v>
          </cell>
          <cell r="E4589" t="str">
            <v>Others</v>
          </cell>
        </row>
        <row r="4590">
          <cell r="B4590" t="str">
            <v>VARDHMAN CONCRETE LTD</v>
          </cell>
          <cell r="C4590">
            <v>531444</v>
          </cell>
          <cell r="D4590" t="str">
            <v>Not Listed</v>
          </cell>
          <cell r="E4590" t="str">
            <v>Cement &amp; Cement Products</v>
          </cell>
        </row>
        <row r="4591">
          <cell r="B4591" t="str">
            <v>VARDHMAN HOLDINGS LTD</v>
          </cell>
          <cell r="C4591">
            <v>500439</v>
          </cell>
          <cell r="D4591" t="str">
            <v>VHL</v>
          </cell>
          <cell r="E4591" t="str">
            <v>Finance (including NBFCs)</v>
          </cell>
        </row>
        <row r="4592">
          <cell r="B4592" t="str">
            <v>VARDHMAN INDUSTRIES LTD</v>
          </cell>
          <cell r="C4592">
            <v>513534</v>
          </cell>
          <cell r="D4592" t="str">
            <v>Not Listed</v>
          </cell>
          <cell r="E4592" t="str">
            <v>Iron &amp; Steel/Interm.Products</v>
          </cell>
        </row>
        <row r="4593">
          <cell r="B4593" t="str">
            <v>VARDHMAN POLYTEX LTD</v>
          </cell>
          <cell r="C4593">
            <v>514175</v>
          </cell>
          <cell r="D4593" t="str">
            <v>VARDMNPOLY</v>
          </cell>
          <cell r="E4593" t="str">
            <v>Textiles</v>
          </cell>
        </row>
        <row r="4594">
          <cell r="B4594" t="str">
            <v>VARDHMAN SPECIAL STEELS LTD</v>
          </cell>
          <cell r="C4594">
            <v>534392</v>
          </cell>
          <cell r="D4594" t="str">
            <v>VSSL</v>
          </cell>
          <cell r="E4594" t="str">
            <v>Iron &amp; Steel Products</v>
          </cell>
        </row>
        <row r="4595">
          <cell r="B4595" t="str">
            <v>VARDHMAN TEXTILES LTD</v>
          </cell>
          <cell r="C4595">
            <v>502986</v>
          </cell>
          <cell r="D4595" t="str">
            <v>VTL</v>
          </cell>
          <cell r="E4595" t="str">
            <v>Textiles</v>
          </cell>
        </row>
        <row r="4596">
          <cell r="B4596" t="str">
            <v>VARROC ENGINEERING LTD</v>
          </cell>
          <cell r="C4596">
            <v>541578</v>
          </cell>
          <cell r="D4596" t="str">
            <v>VARROC</v>
          </cell>
          <cell r="E4596" t="str">
            <v>Auto Parts &amp; Equipment</v>
          </cell>
        </row>
        <row r="4597">
          <cell r="B4597" t="str">
            <v>VARUN BEVERAGES LTD</v>
          </cell>
          <cell r="C4597">
            <v>540180</v>
          </cell>
          <cell r="D4597" t="str">
            <v>VBL</v>
          </cell>
          <cell r="E4597" t="str">
            <v>Containers &amp; Packaging</v>
          </cell>
        </row>
        <row r="4598">
          <cell r="B4598" t="str">
            <v>VARUN MERCANTILE LTD</v>
          </cell>
          <cell r="C4598">
            <v>512511</v>
          </cell>
          <cell r="D4598" t="str">
            <v>Not Listed</v>
          </cell>
          <cell r="E4598" t="str">
            <v>Misc.Commercial Services</v>
          </cell>
        </row>
        <row r="4599">
          <cell r="B4599" t="str">
            <v>VAS INFRASTRUCTURE LTD</v>
          </cell>
          <cell r="C4599">
            <v>531574</v>
          </cell>
          <cell r="D4599" t="str">
            <v>Not Listed</v>
          </cell>
          <cell r="E4599" t="str">
            <v>Realty</v>
          </cell>
        </row>
        <row r="4600">
          <cell r="B4600" t="str">
            <v>VASA RETAIL AND OVERSEAS LTD</v>
          </cell>
          <cell r="C4600" t="str">
            <v>Not Listed</v>
          </cell>
          <cell r="D4600" t="str">
            <v>VASA</v>
          </cell>
          <cell r="E4600" t="str">
            <v>SME</v>
          </cell>
        </row>
        <row r="4601">
          <cell r="B4601" t="str">
            <v>VASCON ENGINEERS LTD</v>
          </cell>
          <cell r="C4601">
            <v>533156</v>
          </cell>
          <cell r="D4601" t="str">
            <v>VASCONEQ</v>
          </cell>
          <cell r="E4601" t="str">
            <v>Realty</v>
          </cell>
        </row>
        <row r="4602">
          <cell r="B4602" t="str">
            <v>VASUNDHARA RASAYANS LTD</v>
          </cell>
          <cell r="C4602">
            <v>538634</v>
          </cell>
          <cell r="D4602" t="str">
            <v>Not Listed</v>
          </cell>
          <cell r="E4602" t="str">
            <v>Pharmaceuticals</v>
          </cell>
        </row>
        <row r="4603">
          <cell r="B4603" t="str">
            <v>VASWANI INDUSTRIES LTD</v>
          </cell>
          <cell r="C4603">
            <v>533576</v>
          </cell>
          <cell r="D4603" t="str">
            <v>VASWANI</v>
          </cell>
          <cell r="E4603" t="str">
            <v>Iron &amp; Steel/Interm.Products</v>
          </cell>
        </row>
        <row r="4604">
          <cell r="B4604" t="str">
            <v>VAX HOUSING FINANCE CORPORATION LTD</v>
          </cell>
          <cell r="C4604">
            <v>531650</v>
          </cell>
          <cell r="D4604" t="str">
            <v>Not Listed</v>
          </cell>
          <cell r="E4604" t="str">
            <v>Misc.Commercial Services</v>
          </cell>
        </row>
        <row r="4605">
          <cell r="B4605" t="str">
            <v>VBC FERRO ALLOYS LTD</v>
          </cell>
          <cell r="C4605">
            <v>513005</v>
          </cell>
          <cell r="D4605" t="str">
            <v>Not Listed</v>
          </cell>
          <cell r="E4605" t="str">
            <v>Iron &amp; Steel/Interm.Products</v>
          </cell>
        </row>
        <row r="4606">
          <cell r="B4606" t="str">
            <v>VCK CAPITAL MARKET SERVICES LTD</v>
          </cell>
          <cell r="C4606">
            <v>511493</v>
          </cell>
          <cell r="D4606" t="str">
            <v>Not Listed</v>
          </cell>
          <cell r="E4606" t="str">
            <v>Finance (including NBFCs)</v>
          </cell>
        </row>
        <row r="4607">
          <cell r="B4607" t="str">
            <v>VCU DATA MANAGEMENT LTD</v>
          </cell>
          <cell r="C4607">
            <v>536672</v>
          </cell>
          <cell r="D4607" t="str">
            <v>Not Listed</v>
          </cell>
          <cell r="E4607" t="str">
            <v>IT Networking Equipment</v>
          </cell>
        </row>
        <row r="4608">
          <cell r="B4608" t="str">
            <v>VEDANTA LTD</v>
          </cell>
          <cell r="C4608">
            <v>500295</v>
          </cell>
          <cell r="D4608" t="str">
            <v>VEDL</v>
          </cell>
          <cell r="E4608" t="str">
            <v>Zinc</v>
          </cell>
        </row>
        <row r="4609">
          <cell r="B4609" t="str">
            <v>VEDAVAAG SYSTEMS LTD</v>
          </cell>
          <cell r="C4609">
            <v>533056</v>
          </cell>
          <cell r="D4609" t="str">
            <v>Not Listed</v>
          </cell>
          <cell r="E4609" t="str">
            <v>Internet Software &amp; Services</v>
          </cell>
        </row>
        <row r="4610">
          <cell r="B4610" t="str">
            <v>VEEJAY LAKSHMI ENGINEERING WORKS LTD</v>
          </cell>
          <cell r="C4610">
            <v>522267</v>
          </cell>
          <cell r="D4610" t="str">
            <v>Not Listed</v>
          </cell>
          <cell r="E4610" t="str">
            <v>Industrial Machinery</v>
          </cell>
        </row>
        <row r="4611">
          <cell r="B4611" t="str">
            <v>VEER ENERGY &amp; INFRASTRUCTURE LTD</v>
          </cell>
          <cell r="C4611">
            <v>503657</v>
          </cell>
          <cell r="D4611" t="str">
            <v>Not Listed</v>
          </cell>
          <cell r="E4611" t="str">
            <v>Electric Utilities</v>
          </cell>
        </row>
        <row r="4612">
          <cell r="B4612" t="str">
            <v>VEERAM INFRA ENGINEERING LTD</v>
          </cell>
          <cell r="C4612">
            <v>542046</v>
          </cell>
          <cell r="D4612" t="str">
            <v>Not Listed</v>
          </cell>
          <cell r="E4612" t="str">
            <v>Realty</v>
          </cell>
        </row>
        <row r="4613">
          <cell r="B4613" t="str">
            <v>VEERAM ORNAMENTS LTD</v>
          </cell>
          <cell r="C4613">
            <v>540252</v>
          </cell>
          <cell r="D4613" t="str">
            <v>Not Listed</v>
          </cell>
          <cell r="E4613" t="str">
            <v>Other Apparels &amp; Accessories</v>
          </cell>
        </row>
        <row r="4614">
          <cell r="B4614" t="str">
            <v>VEERHEALTH CARE LTD</v>
          </cell>
          <cell r="C4614">
            <v>511523</v>
          </cell>
          <cell r="D4614" t="str">
            <v>Not Listed</v>
          </cell>
          <cell r="E4614" t="str">
            <v>Pharmaceuticals</v>
          </cell>
        </row>
        <row r="4615">
          <cell r="B4615" t="str">
            <v>VEGETABLE PRODUCTS LTD</v>
          </cell>
          <cell r="C4615">
            <v>539132</v>
          </cell>
          <cell r="D4615" t="str">
            <v>Not Listed</v>
          </cell>
          <cell r="E4615" t="str">
            <v>Edible Oils</v>
          </cell>
        </row>
        <row r="4616">
          <cell r="B4616" t="str">
            <v>VELAN HOTELS LTD</v>
          </cell>
          <cell r="C4616">
            <v>526755</v>
          </cell>
          <cell r="D4616" t="str">
            <v>Not Listed</v>
          </cell>
          <cell r="E4616" t="str">
            <v>Hotels</v>
          </cell>
        </row>
        <row r="4617">
          <cell r="B4617" t="str">
            <v>VELJAN DENISON LTD</v>
          </cell>
          <cell r="C4617">
            <v>505232</v>
          </cell>
          <cell r="D4617" t="str">
            <v>Not Listed</v>
          </cell>
          <cell r="E4617" t="str">
            <v>Auto Parts &amp; Equipment</v>
          </cell>
        </row>
        <row r="4618">
          <cell r="B4618" t="str">
            <v>VENKY'S (INDIA) LTD</v>
          </cell>
          <cell r="C4618">
            <v>523261</v>
          </cell>
          <cell r="D4618" t="str">
            <v>VENKEYS</v>
          </cell>
          <cell r="E4618" t="str">
            <v>Packaged Foods</v>
          </cell>
        </row>
        <row r="4619">
          <cell r="B4619" t="str">
            <v>VENKY'S INDIA LTD</v>
          </cell>
          <cell r="C4619">
            <v>523261</v>
          </cell>
          <cell r="D4619" t="str">
            <v>VENKEYS</v>
          </cell>
          <cell r="E4619" t="str">
            <v>Packaged Foods</v>
          </cell>
        </row>
        <row r="4620">
          <cell r="B4620" t="str">
            <v>VENLON ENTERPRISES LTD</v>
          </cell>
          <cell r="C4620">
            <v>524038</v>
          </cell>
          <cell r="D4620" t="str">
            <v>Not Listed</v>
          </cell>
          <cell r="E4620" t="str">
            <v>Commodity Chemicals</v>
          </cell>
        </row>
        <row r="4621">
          <cell r="B4621" t="str">
            <v>VENTURA GUARANTY LTD.</v>
          </cell>
          <cell r="C4621">
            <v>512060</v>
          </cell>
          <cell r="D4621" t="str">
            <v>SHYAM</v>
          </cell>
          <cell r="E4621" t="str">
            <v>Misc.Commercial Services</v>
          </cell>
        </row>
        <row r="4622">
          <cell r="B4622" t="str">
            <v>VENTURA TEXTILES LTD</v>
          </cell>
          <cell r="C4622">
            <v>516098</v>
          </cell>
          <cell r="D4622" t="str">
            <v>Not Listed</v>
          </cell>
          <cell r="E4622" t="str">
            <v>Textiles</v>
          </cell>
        </row>
        <row r="4623">
          <cell r="B4623" t="str">
            <v>VENUS REMEDIES LTD</v>
          </cell>
          <cell r="C4623">
            <v>526953</v>
          </cell>
          <cell r="D4623" t="str">
            <v>VENUSREM</v>
          </cell>
          <cell r="E4623" t="str">
            <v>Pharmaceuticals</v>
          </cell>
        </row>
        <row r="4624">
          <cell r="B4624" t="str">
            <v>VERA SYNTHETIC LTD</v>
          </cell>
          <cell r="C4624" t="str">
            <v>Not Listed</v>
          </cell>
          <cell r="D4624" t="str">
            <v>VERA</v>
          </cell>
          <cell r="E4624" t="str">
            <v>SME</v>
          </cell>
        </row>
        <row r="4625">
          <cell r="B4625" t="str">
            <v>VERITAS (INDIA) LTD</v>
          </cell>
          <cell r="C4625">
            <v>512229</v>
          </cell>
          <cell r="D4625" t="str">
            <v>Not Listed</v>
          </cell>
          <cell r="E4625" t="str">
            <v>Comm.Trading  &amp; Distribution</v>
          </cell>
        </row>
        <row r="4626">
          <cell r="B4626" t="str">
            <v>VERITAS INDIA LTD</v>
          </cell>
          <cell r="C4626">
            <v>512229</v>
          </cell>
          <cell r="D4626" t="str">
            <v>Not Listed</v>
          </cell>
          <cell r="E4626" t="str">
            <v>Comm.Trading  &amp; Distribution</v>
          </cell>
        </row>
        <row r="4627">
          <cell r="B4627" t="str">
            <v>VERONICA PRODUCTION LTD</v>
          </cell>
          <cell r="C4627">
            <v>531695</v>
          </cell>
          <cell r="D4627" t="str">
            <v>Not Listed</v>
          </cell>
          <cell r="E4627" t="str">
            <v>Movies &amp; Entertainment</v>
          </cell>
        </row>
        <row r="4628">
          <cell r="B4628" t="str">
            <v>VERTEX SECURITIES LTD</v>
          </cell>
          <cell r="C4628">
            <v>531950</v>
          </cell>
          <cell r="D4628" t="str">
            <v>Not Listed</v>
          </cell>
          <cell r="E4628" t="str">
            <v>Other Financial Services</v>
          </cell>
        </row>
        <row r="4629">
          <cell r="B4629" t="str">
            <v>VERTICAL INDUSTRIES LTD</v>
          </cell>
          <cell r="C4629">
            <v>515099</v>
          </cell>
          <cell r="D4629" t="str">
            <v>Not Listed</v>
          </cell>
          <cell r="E4629" t="str">
            <v>Construction Materials</v>
          </cell>
        </row>
        <row r="4630">
          <cell r="B4630" t="str">
            <v>VERTOZ ADVERTISING LTD</v>
          </cell>
          <cell r="C4630" t="str">
            <v>Not Listed</v>
          </cell>
          <cell r="D4630" t="str">
            <v>VERTOZ</v>
          </cell>
          <cell r="E4630" t="str">
            <v>SME</v>
          </cell>
        </row>
        <row r="4631">
          <cell r="B4631" t="str">
            <v>VESUVIUS (INDIA) LTD</v>
          </cell>
          <cell r="C4631">
            <v>520113</v>
          </cell>
          <cell r="D4631" t="str">
            <v>VESUVIUS</v>
          </cell>
          <cell r="E4631" t="str">
            <v>Other Industrial Goods</v>
          </cell>
        </row>
        <row r="4632">
          <cell r="B4632" t="str">
            <v>VESUVIUS INDIA LTD</v>
          </cell>
          <cell r="C4632">
            <v>520113</v>
          </cell>
          <cell r="D4632" t="str">
            <v>VESUVIUS</v>
          </cell>
          <cell r="E4632" t="str">
            <v>Other Industrial Goods</v>
          </cell>
        </row>
        <row r="4633">
          <cell r="B4633" t="str">
            <v>VETO SWITCHGEARS AND CABLES LTD</v>
          </cell>
          <cell r="C4633">
            <v>539331</v>
          </cell>
          <cell r="D4633" t="str">
            <v>VETO</v>
          </cell>
          <cell r="E4633" t="str">
            <v>Other Elect.Equip./ Prod.</v>
          </cell>
        </row>
        <row r="4634">
          <cell r="B4634" t="str">
            <v>V-GUARD INDUSTRIES LTD</v>
          </cell>
          <cell r="C4634">
            <v>532953</v>
          </cell>
          <cell r="D4634" t="str">
            <v>VGUARD</v>
          </cell>
          <cell r="E4634" t="str">
            <v>Other Elect.Equip./ Prod.</v>
          </cell>
        </row>
        <row r="4635">
          <cell r="B4635" t="str">
            <v>VIAAN INDUSTRIES LTD</v>
          </cell>
          <cell r="C4635">
            <v>537524</v>
          </cell>
          <cell r="D4635" t="str">
            <v>Not Listed</v>
          </cell>
          <cell r="E4635" t="str">
            <v>Houseware</v>
          </cell>
        </row>
        <row r="4636">
          <cell r="B4636" t="str">
            <v>VIBRANT GLOBAL CAPITAL LTD</v>
          </cell>
          <cell r="C4636">
            <v>538732</v>
          </cell>
          <cell r="D4636" t="str">
            <v>Not Listed</v>
          </cell>
          <cell r="E4636" t="str">
            <v>Finance (including NBFCs)</v>
          </cell>
        </row>
        <row r="4637">
          <cell r="B4637" t="str">
            <v>VICEROY HOTELS LTD</v>
          </cell>
          <cell r="C4637">
            <v>523796</v>
          </cell>
          <cell r="D4637" t="str">
            <v>VICEROY</v>
          </cell>
          <cell r="E4637" t="str">
            <v>Hotels</v>
          </cell>
        </row>
        <row r="4638">
          <cell r="B4638" t="str">
            <v>VICTORIA MILLS LTD</v>
          </cell>
          <cell r="C4638">
            <v>503349</v>
          </cell>
          <cell r="D4638" t="str">
            <v>Not Listed</v>
          </cell>
          <cell r="E4638" t="str">
            <v>Textiles</v>
          </cell>
        </row>
        <row r="4639">
          <cell r="B4639" t="str">
            <v>VICTORY PAPER &amp; BOARDS (INDIA) LTD</v>
          </cell>
          <cell r="C4639">
            <v>531234</v>
          </cell>
          <cell r="D4639" t="str">
            <v>Not Listed</v>
          </cell>
          <cell r="E4639" t="str">
            <v>Paper &amp; Paper Products</v>
          </cell>
        </row>
        <row r="4640">
          <cell r="B4640" t="str">
            <v>VICTORY PAPER &amp; BOARDS INDIA LTD</v>
          </cell>
          <cell r="C4640">
            <v>531234</v>
          </cell>
          <cell r="D4640" t="str">
            <v>Not Listed</v>
          </cell>
          <cell r="E4640" t="str">
            <v>Paper &amp; Paper Products</v>
          </cell>
        </row>
        <row r="4641">
          <cell r="B4641" t="str">
            <v>VIDEOCON INDUSTRIES LTD</v>
          </cell>
          <cell r="C4641">
            <v>511389</v>
          </cell>
          <cell r="D4641" t="str">
            <v>VIDEOIND</v>
          </cell>
          <cell r="E4641" t="str">
            <v>Consumer Electronics</v>
          </cell>
        </row>
        <row r="4642">
          <cell r="B4642" t="str">
            <v>VIDHI SPECIALTY FOOD INGREDIENTS LTD</v>
          </cell>
          <cell r="C4642">
            <v>531717</v>
          </cell>
          <cell r="D4642" t="str">
            <v>VIDHIING</v>
          </cell>
          <cell r="E4642" t="str">
            <v>Specialty Chemicals</v>
          </cell>
        </row>
        <row r="4643">
          <cell r="B4643" t="str">
            <v>VIDLI RESTAURANTS LTD</v>
          </cell>
          <cell r="C4643">
            <v>539659</v>
          </cell>
          <cell r="D4643" t="str">
            <v>Not Listed</v>
          </cell>
          <cell r="E4643" t="str">
            <v>Restaurants</v>
          </cell>
        </row>
        <row r="4644">
          <cell r="B4644" t="str">
            <v>VIJAY SHANTHI BUILDERS LTD</v>
          </cell>
          <cell r="C4644">
            <v>523724</v>
          </cell>
          <cell r="D4644" t="str">
            <v>VIJSHAN</v>
          </cell>
          <cell r="E4644" t="str">
            <v>Realty</v>
          </cell>
        </row>
        <row r="4645">
          <cell r="B4645" t="str">
            <v>VIJAY SOLVEX LTD</v>
          </cell>
          <cell r="C4645">
            <v>531069</v>
          </cell>
          <cell r="D4645" t="str">
            <v>Not Listed</v>
          </cell>
          <cell r="E4645" t="str">
            <v>Edible Oils</v>
          </cell>
        </row>
        <row r="4646">
          <cell r="B4646" t="str">
            <v>VIJAY TEXTILES LTD</v>
          </cell>
          <cell r="C4646">
            <v>530151</v>
          </cell>
          <cell r="D4646" t="str">
            <v>Not Listed</v>
          </cell>
          <cell r="E4646" t="str">
            <v>Comm.Trading  &amp; Distribution</v>
          </cell>
        </row>
        <row r="4647">
          <cell r="B4647" t="str">
            <v>VIJAYA BANK</v>
          </cell>
          <cell r="C4647">
            <v>532401</v>
          </cell>
          <cell r="D4647" t="str">
            <v>VIJAYABANK</v>
          </cell>
          <cell r="E4647" t="str">
            <v>Banks</v>
          </cell>
        </row>
        <row r="4648">
          <cell r="B4648" t="str">
            <v>VIJI FINANCE LTD</v>
          </cell>
          <cell r="C4648">
            <v>537820</v>
          </cell>
          <cell r="D4648" t="str">
            <v>VIJIFIN</v>
          </cell>
          <cell r="E4648" t="str">
            <v>Finance (including NBFCs)</v>
          </cell>
        </row>
        <row r="4649">
          <cell r="B4649" t="str">
            <v>VIKALP SECURITIES LTD</v>
          </cell>
          <cell r="C4649">
            <v>531334</v>
          </cell>
          <cell r="D4649" t="str">
            <v>Not Listed</v>
          </cell>
          <cell r="E4649" t="str">
            <v>Misc.Commercial Services</v>
          </cell>
        </row>
        <row r="4650">
          <cell r="B4650" t="str">
            <v>VIKAS ECOTECH LTD</v>
          </cell>
          <cell r="C4650">
            <v>530961</v>
          </cell>
          <cell r="D4650" t="str">
            <v>VIKASECO</v>
          </cell>
          <cell r="E4650" t="str">
            <v>Specialty Chemicals</v>
          </cell>
        </row>
        <row r="4651">
          <cell r="B4651" t="str">
            <v>Vikas Multicorp Ltd</v>
          </cell>
          <cell r="C4651">
            <v>542655</v>
          </cell>
          <cell r="D4651" t="str">
            <v>VIKASMCORP</v>
          </cell>
          <cell r="E4651" t="str">
            <v>Comm.Trading  &amp;amp; Distribution</v>
          </cell>
        </row>
        <row r="4652">
          <cell r="B4652" t="str">
            <v>VIKAS PROPPANT &amp; GRANITE LTD</v>
          </cell>
          <cell r="C4652">
            <v>531518</v>
          </cell>
          <cell r="D4652" t="str">
            <v>Not Listed</v>
          </cell>
          <cell r="E4652" t="str">
            <v>Other Agricultural Products</v>
          </cell>
        </row>
        <row r="4653">
          <cell r="B4653" t="str">
            <v>VIKAS WSP LTD</v>
          </cell>
          <cell r="C4653">
            <v>519307</v>
          </cell>
          <cell r="D4653" t="str">
            <v>Not Listed</v>
          </cell>
          <cell r="E4653" t="str">
            <v>Specialty Chemicals</v>
          </cell>
        </row>
        <row r="4654">
          <cell r="B4654" t="str">
            <v>VIKRAM THERMO (INDIA) LTD</v>
          </cell>
          <cell r="C4654">
            <v>530477</v>
          </cell>
          <cell r="D4654" t="str">
            <v>Not Listed</v>
          </cell>
          <cell r="E4654" t="str">
            <v>Pharmaceuticals</v>
          </cell>
        </row>
        <row r="4655">
          <cell r="B4655" t="str">
            <v>VIKRAM THERMO INDIA LTD</v>
          </cell>
          <cell r="C4655">
            <v>530477</v>
          </cell>
          <cell r="D4655" t="str">
            <v>Not Listed</v>
          </cell>
          <cell r="E4655" t="str">
            <v>Pharmaceuticals</v>
          </cell>
        </row>
        <row r="4656">
          <cell r="B4656" t="str">
            <v>VIKSIT ENGINEERING LTD</v>
          </cell>
          <cell r="C4656">
            <v>506196</v>
          </cell>
          <cell r="D4656" t="str">
            <v>Not Listed</v>
          </cell>
          <cell r="E4656" t="str">
            <v>Comm.Trading  &amp; Distribution</v>
          </cell>
        </row>
        <row r="4657">
          <cell r="B4657" t="str">
            <v>VIMAL OIL &amp; FOODS LTD</v>
          </cell>
          <cell r="C4657">
            <v>519373</v>
          </cell>
          <cell r="D4657" t="str">
            <v>VIMALOIL</v>
          </cell>
          <cell r="E4657" t="str">
            <v>Edible Oils</v>
          </cell>
        </row>
        <row r="4658">
          <cell r="B4658" t="str">
            <v>VIMTA LABS LTD</v>
          </cell>
          <cell r="C4658">
            <v>524394</v>
          </cell>
          <cell r="D4658" t="str">
            <v>VIMTALABS</v>
          </cell>
          <cell r="E4658" t="str">
            <v>Healthcare Services</v>
          </cell>
        </row>
        <row r="4659">
          <cell r="B4659" t="str">
            <v>VINADITYA TRADING CO LTD</v>
          </cell>
          <cell r="C4659">
            <v>504380</v>
          </cell>
          <cell r="D4659" t="str">
            <v>Not Listed</v>
          </cell>
          <cell r="E4659" t="str">
            <v>Comm.Trading  &amp; Distribution</v>
          </cell>
        </row>
        <row r="4660">
          <cell r="B4660" t="str">
            <v>VINATI ORGANICS LTD</v>
          </cell>
          <cell r="C4660">
            <v>524200</v>
          </cell>
          <cell r="D4660" t="str">
            <v>VINATIORGA</v>
          </cell>
          <cell r="E4660" t="str">
            <v>Commodity Chemicals</v>
          </cell>
        </row>
        <row r="4661">
          <cell r="B4661" t="str">
            <v>VINAYAK POLYCON INTERNATIONAL LTD</v>
          </cell>
          <cell r="C4661">
            <v>534639</v>
          </cell>
          <cell r="D4661" t="str">
            <v>Not Listed</v>
          </cell>
          <cell r="E4661" t="str">
            <v>Containers &amp; Packaging</v>
          </cell>
        </row>
        <row r="4662">
          <cell r="B4662" t="str">
            <v>VINDHYA TELELINKS LTD</v>
          </cell>
          <cell r="C4662">
            <v>517015</v>
          </cell>
          <cell r="D4662" t="str">
            <v>VINDHYATEL</v>
          </cell>
          <cell r="E4662" t="str">
            <v>Telecom Cables</v>
          </cell>
        </row>
        <row r="4663">
          <cell r="B4663" t="str">
            <v>VINNY OVERSEAS LTD</v>
          </cell>
          <cell r="C4663" t="str">
            <v>Not Listed</v>
          </cell>
          <cell r="D4663" t="str">
            <v>VINNY</v>
          </cell>
          <cell r="E4663" t="str">
            <v>SME</v>
          </cell>
        </row>
        <row r="4664">
          <cell r="B4664" t="str">
            <v>VINTAGE SECURITIES LTD</v>
          </cell>
          <cell r="C4664">
            <v>531051</v>
          </cell>
          <cell r="D4664" t="str">
            <v>Not Listed</v>
          </cell>
          <cell r="E4664" t="str">
            <v>Finance (including NBFCs)</v>
          </cell>
        </row>
        <row r="4665">
          <cell r="B4665" t="str">
            <v>VINYL CHEMICALS (INDIA) LTD</v>
          </cell>
          <cell r="C4665">
            <v>524129</v>
          </cell>
          <cell r="D4665" t="str">
            <v>VINYL(INDIA)</v>
          </cell>
          <cell r="E4665" t="str">
            <v>Fibres &amp; Plastics</v>
          </cell>
        </row>
        <row r="4666">
          <cell r="B4666" t="str">
            <v>VINYL CHEMICALS INDIA LTD</v>
          </cell>
          <cell r="C4666">
            <v>524129</v>
          </cell>
          <cell r="D4666" t="str">
            <v>VINYLINDIA</v>
          </cell>
          <cell r="E4666" t="str">
            <v>Fibres &amp; Plastics</v>
          </cell>
        </row>
        <row r="4667">
          <cell r="B4667" t="str">
            <v>VINYOFLEX LTD</v>
          </cell>
          <cell r="C4667">
            <v>530401</v>
          </cell>
          <cell r="D4667" t="str">
            <v>Not Listed</v>
          </cell>
          <cell r="E4667" t="str">
            <v>Commodity Chemicals</v>
          </cell>
        </row>
        <row r="4668">
          <cell r="B4668" t="str">
            <v>VIP CLOTHING LTD</v>
          </cell>
          <cell r="C4668">
            <v>532613</v>
          </cell>
          <cell r="D4668" t="str">
            <v>VIPCLOTHNG</v>
          </cell>
          <cell r="E4668" t="str">
            <v>Comm.Trading  &amp; Distribution</v>
          </cell>
        </row>
        <row r="4669">
          <cell r="B4669" t="str">
            <v>VIP INDUSTRIES LTD</v>
          </cell>
          <cell r="C4669">
            <v>507880</v>
          </cell>
          <cell r="D4669" t="str">
            <v>VIPIND</v>
          </cell>
          <cell r="E4669" t="str">
            <v>Other Apparels &amp; Accessories</v>
          </cell>
        </row>
        <row r="4670">
          <cell r="B4670" t="str">
            <v>VIPPY SPINPRO LTD</v>
          </cell>
          <cell r="C4670">
            <v>514302</v>
          </cell>
          <cell r="D4670" t="str">
            <v>Not Listed</v>
          </cell>
          <cell r="E4670" t="str">
            <v>Textiles</v>
          </cell>
        </row>
        <row r="4671">
          <cell r="B4671" t="str">
            <v>VIPUL LTD</v>
          </cell>
          <cell r="C4671">
            <v>511726</v>
          </cell>
          <cell r="D4671" t="str">
            <v>VIPULLTD</v>
          </cell>
          <cell r="E4671" t="str">
            <v>Realty</v>
          </cell>
        </row>
        <row r="4672">
          <cell r="B4672" t="str">
            <v>VIPUL ORGANICS LTD</v>
          </cell>
          <cell r="C4672">
            <v>530627</v>
          </cell>
          <cell r="D4672" t="str">
            <v>Not Listed</v>
          </cell>
          <cell r="E4672" t="str">
            <v>Specialty Chemicals</v>
          </cell>
        </row>
        <row r="4673">
          <cell r="B4673" t="str">
            <v>VIRAT CRANE INDUSTRIES LTD</v>
          </cell>
          <cell r="C4673">
            <v>519457</v>
          </cell>
          <cell r="D4673" t="str">
            <v>Not Listed</v>
          </cell>
          <cell r="E4673" t="str">
            <v>Packaged Foods</v>
          </cell>
        </row>
        <row r="4674">
          <cell r="B4674" t="str">
            <v>VIRAT INDUSTRIES LTD</v>
          </cell>
          <cell r="C4674">
            <v>530521</v>
          </cell>
          <cell r="D4674" t="str">
            <v>Not Listed</v>
          </cell>
          <cell r="E4674" t="str">
            <v>Other Apparels &amp; Accessories</v>
          </cell>
        </row>
        <row r="4675">
          <cell r="B4675" t="str">
            <v>VIRAT LEASING LTD</v>
          </cell>
          <cell r="C4675">
            <v>539167</v>
          </cell>
          <cell r="D4675" t="str">
            <v>Not Listed</v>
          </cell>
          <cell r="E4675" t="str">
            <v>Finance (including NBFCs)</v>
          </cell>
        </row>
        <row r="4676">
          <cell r="B4676" t="str">
            <v>VIRGO GLOBAL LTD</v>
          </cell>
          <cell r="C4676">
            <v>532354</v>
          </cell>
          <cell r="D4676" t="str">
            <v>Not Listed</v>
          </cell>
          <cell r="E4676" t="str">
            <v>IT Software Products</v>
          </cell>
        </row>
        <row r="4677">
          <cell r="B4677" t="str">
            <v>VIRINCHI LTD</v>
          </cell>
          <cell r="C4677">
            <v>532372</v>
          </cell>
          <cell r="D4677" t="str">
            <v>Not Listed</v>
          </cell>
          <cell r="E4677" t="str">
            <v>IT Software Products</v>
          </cell>
        </row>
        <row r="4678">
          <cell r="B4678" t="str">
            <v>VIRTUAL GLOBAL EDUCATION LTD</v>
          </cell>
          <cell r="C4678">
            <v>534741</v>
          </cell>
          <cell r="D4678" t="str">
            <v>Not Listed</v>
          </cell>
          <cell r="E4678" t="str">
            <v>Education</v>
          </cell>
        </row>
        <row r="4679">
          <cell r="B4679" t="str">
            <v>VIRTUALSOFT SYSTEMS LTD</v>
          </cell>
          <cell r="C4679">
            <v>531126</v>
          </cell>
          <cell r="D4679" t="str">
            <v>Not Listed</v>
          </cell>
          <cell r="E4679" t="str">
            <v>IT Software Products</v>
          </cell>
        </row>
        <row r="4680">
          <cell r="B4680" t="str">
            <v>VISA STEEL LTD</v>
          </cell>
          <cell r="C4680">
            <v>532721</v>
          </cell>
          <cell r="D4680" t="str">
            <v>VISASTEEL</v>
          </cell>
          <cell r="E4680" t="str">
            <v>Iron &amp; Steel/Interm.Products</v>
          </cell>
        </row>
        <row r="4681">
          <cell r="B4681" t="str">
            <v>VISAGAR FINANCIAL SERVICES LTD</v>
          </cell>
          <cell r="C4681">
            <v>531025</v>
          </cell>
          <cell r="D4681" t="str">
            <v>Not Listed</v>
          </cell>
          <cell r="E4681" t="str">
            <v>Other Financial Services</v>
          </cell>
        </row>
        <row r="4682">
          <cell r="B4682" t="str">
            <v>VISAGAR POLYTEX LTD</v>
          </cell>
          <cell r="C4682">
            <v>506146</v>
          </cell>
          <cell r="D4682" t="str">
            <v>VIVIDHA</v>
          </cell>
          <cell r="E4682" t="str">
            <v>Textiles</v>
          </cell>
        </row>
        <row r="4683">
          <cell r="B4683" t="str">
            <v>VISAKA INDUSTRIES LTD</v>
          </cell>
          <cell r="C4683">
            <v>509055</v>
          </cell>
          <cell r="D4683" t="str">
            <v>VISAKAIND</v>
          </cell>
          <cell r="E4683" t="str">
            <v>Cement &amp; Cement Products</v>
          </cell>
        </row>
        <row r="4684">
          <cell r="B4684" t="str">
            <v>VISCO TRADE ASSOCIATES LTD</v>
          </cell>
          <cell r="C4684">
            <v>540097</v>
          </cell>
          <cell r="D4684" t="str">
            <v>Not Listed</v>
          </cell>
          <cell r="E4684" t="str">
            <v>Other Financial Services</v>
          </cell>
        </row>
        <row r="4685">
          <cell r="B4685" t="str">
            <v>VISESH INFOTECNICS LTD</v>
          </cell>
          <cell r="C4685">
            <v>532411</v>
          </cell>
          <cell r="D4685" t="str">
            <v>VISESHINFO</v>
          </cell>
          <cell r="E4685" t="str">
            <v>IT Software Products</v>
          </cell>
        </row>
        <row r="4686">
          <cell r="B4686" t="str">
            <v>VISHAL BEARINGS LTD</v>
          </cell>
          <cell r="C4686">
            <v>539398</v>
          </cell>
          <cell r="D4686" t="str">
            <v>Not Listed</v>
          </cell>
          <cell r="E4686" t="str">
            <v>Industrial Machinery</v>
          </cell>
        </row>
        <row r="4687">
          <cell r="B4687" t="str">
            <v>VISHAL FABRICS LTD</v>
          </cell>
          <cell r="C4687">
            <v>538598</v>
          </cell>
          <cell r="D4687" t="str">
            <v>Not Listed</v>
          </cell>
          <cell r="E4687" t="str">
            <v>Textiles</v>
          </cell>
        </row>
        <row r="4688">
          <cell r="B4688" t="str">
            <v>VISHNU CHEMICALS LTD</v>
          </cell>
          <cell r="C4688">
            <v>516072</v>
          </cell>
          <cell r="D4688" t="str">
            <v>VISHNU</v>
          </cell>
          <cell r="E4688" t="str">
            <v>Commodity Chemicals</v>
          </cell>
        </row>
        <row r="4689">
          <cell r="B4689" t="str">
            <v>Vishvprabha Ventures Ltd</v>
          </cell>
          <cell r="C4689">
            <v>512064</v>
          </cell>
          <cell r="D4689" t="str">
            <v>VISVEN</v>
          </cell>
          <cell r="E4689" t="str">
            <v>Misc.Commercial Services</v>
          </cell>
        </row>
        <row r="4690">
          <cell r="B4690" t="str">
            <v>VISION CINEMAS LTD</v>
          </cell>
          <cell r="C4690">
            <v>526441</v>
          </cell>
          <cell r="D4690" t="str">
            <v>Not Listed</v>
          </cell>
          <cell r="E4690" t="str">
            <v>Advertising &amp; Media</v>
          </cell>
        </row>
        <row r="4691">
          <cell r="B4691" t="str">
            <v>VISION CORPORATION LTD</v>
          </cell>
          <cell r="C4691">
            <v>531668</v>
          </cell>
          <cell r="D4691" t="str">
            <v>Not Listed</v>
          </cell>
          <cell r="E4691" t="str">
            <v>Movies &amp; Entertainment</v>
          </cell>
        </row>
        <row r="4692">
          <cell r="B4692" t="str">
            <v>VISTA PHARMACEUTICALS LTD</v>
          </cell>
          <cell r="C4692">
            <v>524711</v>
          </cell>
          <cell r="D4692" t="str">
            <v>Not Listed</v>
          </cell>
          <cell r="E4692" t="str">
            <v>Pharmaceuticals</v>
          </cell>
        </row>
        <row r="4693">
          <cell r="B4693" t="str">
            <v>VISTAR AMAR LTD</v>
          </cell>
          <cell r="C4693">
            <v>538565</v>
          </cell>
          <cell r="D4693" t="str">
            <v>Not Listed</v>
          </cell>
          <cell r="E4693" t="str">
            <v>Finance (including NBFCs)</v>
          </cell>
        </row>
        <row r="4694">
          <cell r="B4694" t="str">
            <v>VITESSE AGRO LTD</v>
          </cell>
          <cell r="C4694">
            <v>540823</v>
          </cell>
          <cell r="D4694" t="str">
            <v>Not Listed</v>
          </cell>
          <cell r="E4694" t="str">
            <v>Comm.Trading  &amp; Distribution</v>
          </cell>
        </row>
        <row r="4695">
          <cell r="B4695" t="str">
            <v>VIVANTA INDUSTRIES LTD</v>
          </cell>
          <cell r="C4695">
            <v>541735</v>
          </cell>
          <cell r="D4695" t="str">
            <v>Not Listed</v>
          </cell>
          <cell r="E4695" t="str">
            <v>Construction &amp; Engineering</v>
          </cell>
        </row>
        <row r="4696">
          <cell r="B4696" t="str">
            <v>VIVANZA BIOSCIENCES LTD</v>
          </cell>
          <cell r="C4696">
            <v>530057</v>
          </cell>
          <cell r="D4696" t="str">
            <v>Not Listed</v>
          </cell>
          <cell r="E4696" t="str">
            <v>Pharmaceuticals</v>
          </cell>
        </row>
        <row r="4697">
          <cell r="B4697" t="str">
            <v>VIVID GLOBAL INDUSTRIES LTD</v>
          </cell>
          <cell r="C4697">
            <v>524576</v>
          </cell>
          <cell r="D4697" t="str">
            <v>Not Listed</v>
          </cell>
          <cell r="E4697" t="str">
            <v>Commodity Chemicals</v>
          </cell>
        </row>
        <row r="4698">
          <cell r="B4698" t="str">
            <v>VIVIMED LABS LTD</v>
          </cell>
          <cell r="C4698">
            <v>532660</v>
          </cell>
          <cell r="D4698" t="str">
            <v>VIVIMEDLAB</v>
          </cell>
          <cell r="E4698" t="str">
            <v>Pharmaceuticals</v>
          </cell>
        </row>
        <row r="4699">
          <cell r="B4699" t="str">
            <v>VIVO BIO TECH LTD</v>
          </cell>
          <cell r="C4699">
            <v>511509</v>
          </cell>
          <cell r="D4699" t="str">
            <v>Not Listed</v>
          </cell>
          <cell r="E4699" t="str">
            <v>Biotechnology</v>
          </cell>
        </row>
        <row r="4700">
          <cell r="B4700" t="str">
            <v>VJTF EDUSERVICES LTD</v>
          </cell>
          <cell r="C4700">
            <v>509026</v>
          </cell>
          <cell r="D4700" t="str">
            <v>Not Listed</v>
          </cell>
          <cell r="E4700" t="str">
            <v>Education</v>
          </cell>
        </row>
        <row r="4701">
          <cell r="B4701" t="str">
            <v>VKJ INFRADEVELOPERS LTD</v>
          </cell>
          <cell r="C4701">
            <v>536128</v>
          </cell>
          <cell r="D4701" t="str">
            <v>Not Listed</v>
          </cell>
          <cell r="E4701" t="str">
            <v>Construction &amp; Engineering</v>
          </cell>
        </row>
        <row r="4702">
          <cell r="B4702" t="str">
            <v>VLS FINANCE LTD</v>
          </cell>
          <cell r="C4702">
            <v>511333</v>
          </cell>
          <cell r="D4702" t="str">
            <v>VLSFINANCE</v>
          </cell>
          <cell r="E4702" t="str">
            <v>Other Financial Services</v>
          </cell>
        </row>
        <row r="4703">
          <cell r="B4703" t="str">
            <v>V-MART RETAIL LTD</v>
          </cell>
          <cell r="C4703">
            <v>534976</v>
          </cell>
          <cell r="D4703" t="str">
            <v>VMART</v>
          </cell>
          <cell r="E4703" t="str">
            <v>Department Stores</v>
          </cell>
        </row>
        <row r="4704">
          <cell r="B4704" t="str">
            <v>VMS INDUSTRIES LTD</v>
          </cell>
          <cell r="C4704">
            <v>533427</v>
          </cell>
          <cell r="D4704" t="str">
            <v>Not Listed</v>
          </cell>
          <cell r="E4704" t="str">
            <v>Marine Port &amp; Services</v>
          </cell>
        </row>
        <row r="4705">
          <cell r="B4705" t="str">
            <v>VMV HOLIDAYS LTD</v>
          </cell>
          <cell r="C4705">
            <v>539222</v>
          </cell>
          <cell r="D4705" t="str">
            <v>Not Listed</v>
          </cell>
          <cell r="E4705" t="str">
            <v>Travel Support Services</v>
          </cell>
        </row>
        <row r="4706">
          <cell r="B4706" t="str">
            <v>VODAFONE IDEA LTD</v>
          </cell>
          <cell r="C4706">
            <v>532822</v>
          </cell>
          <cell r="D4706" t="str">
            <v>IDEA</v>
          </cell>
          <cell r="E4706" t="str">
            <v>Telecom Services</v>
          </cell>
        </row>
        <row r="4707">
          <cell r="B4707" t="str">
            <v>VOITH PAPER FABRICS (INDIA) LTD</v>
          </cell>
          <cell r="C4707">
            <v>522122</v>
          </cell>
          <cell r="D4707" t="str">
            <v>Not Listed</v>
          </cell>
          <cell r="E4707" t="str">
            <v>Textiles</v>
          </cell>
        </row>
        <row r="4708">
          <cell r="B4708" t="str">
            <v>VOITH PAPER FABRICS INDIA LTD</v>
          </cell>
          <cell r="C4708">
            <v>522122</v>
          </cell>
          <cell r="D4708" t="str">
            <v>Not Listed</v>
          </cell>
          <cell r="E4708" t="str">
            <v>Textiles</v>
          </cell>
        </row>
        <row r="4709">
          <cell r="B4709" t="str">
            <v>VOLTAIRE LEASING &amp; FINANCE LTD</v>
          </cell>
          <cell r="C4709">
            <v>509038</v>
          </cell>
          <cell r="D4709" t="str">
            <v>Not Listed</v>
          </cell>
          <cell r="E4709" t="str">
            <v>Finance (including NBFCs)</v>
          </cell>
        </row>
        <row r="4710">
          <cell r="B4710" t="str">
            <v>VOLTAMP TRANSFORMERS LTD</v>
          </cell>
          <cell r="C4710">
            <v>532757</v>
          </cell>
          <cell r="D4710" t="str">
            <v>VOLTAMP</v>
          </cell>
          <cell r="E4710" t="str">
            <v>Heavy Electrical Equipment</v>
          </cell>
        </row>
        <row r="4711">
          <cell r="B4711" t="str">
            <v>VOLTAS LTD</v>
          </cell>
          <cell r="C4711">
            <v>500575</v>
          </cell>
          <cell r="D4711" t="str">
            <v>VOLTAS</v>
          </cell>
          <cell r="E4711" t="str">
            <v>Consumer Electronics</v>
          </cell>
        </row>
        <row r="4712">
          <cell r="B4712" t="str">
            <v>VORA CONSTRUCTIONS LTD</v>
          </cell>
          <cell r="C4712">
            <v>512215</v>
          </cell>
          <cell r="D4712" t="str">
            <v>Not Listed</v>
          </cell>
          <cell r="E4712" t="str">
            <v>Other Financial Services</v>
          </cell>
        </row>
        <row r="4713">
          <cell r="B4713" t="str">
            <v>VRL LOGISTICS LTD</v>
          </cell>
          <cell r="C4713">
            <v>539118</v>
          </cell>
          <cell r="D4713" t="str">
            <v>VRLLOG</v>
          </cell>
          <cell r="E4713" t="str">
            <v>Transportation - Logistics</v>
          </cell>
        </row>
        <row r="4714">
          <cell r="B4714" t="str">
            <v>VSF PROJECTS LTD</v>
          </cell>
          <cell r="C4714">
            <v>519331</v>
          </cell>
          <cell r="D4714" t="str">
            <v>Not Listed</v>
          </cell>
          <cell r="E4714" t="str">
            <v>Construction &amp; Engineering</v>
          </cell>
        </row>
        <row r="4715">
          <cell r="B4715" t="str">
            <v>VST INDUSTRIES LTD</v>
          </cell>
          <cell r="C4715">
            <v>509966</v>
          </cell>
          <cell r="D4715" t="str">
            <v>VSTIND</v>
          </cell>
          <cell r="E4715" t="str">
            <v>Cigarettes-Tobacco Products</v>
          </cell>
        </row>
        <row r="4716">
          <cell r="B4716" t="str">
            <v>VTM LTD</v>
          </cell>
          <cell r="C4716">
            <v>532893</v>
          </cell>
          <cell r="D4716" t="str">
            <v>Not Listed</v>
          </cell>
          <cell r="E4716" t="str">
            <v>Textiles</v>
          </cell>
        </row>
        <row r="4717">
          <cell r="B4717" t="str">
            <v>VXL INSTRUMENTS LTD.</v>
          </cell>
          <cell r="C4717">
            <v>517399</v>
          </cell>
          <cell r="D4717" t="str">
            <v>VXLINSTR</v>
          </cell>
          <cell r="E4717" t="str">
            <v>Consumer Electronics</v>
          </cell>
        </row>
        <row r="4718">
          <cell r="B4718" t="str">
            <v>VYAPAR INDUSTRIES LTD</v>
          </cell>
          <cell r="C4718">
            <v>506142</v>
          </cell>
          <cell r="D4718" t="str">
            <v>Not Listed</v>
          </cell>
          <cell r="E4718" t="str">
            <v>Other Financial Services</v>
          </cell>
        </row>
        <row r="4719">
          <cell r="B4719" t="str">
            <v>W H BRADY &amp; CO LTD</v>
          </cell>
          <cell r="C4719">
            <v>501391</v>
          </cell>
          <cell r="D4719" t="str">
            <v>Not Listed</v>
          </cell>
          <cell r="E4719" t="str">
            <v>Comm.Trading  &amp; Distribution</v>
          </cell>
        </row>
        <row r="4720">
          <cell r="B4720" t="str">
            <v>W S INDUSTRIES (INDIA) LTD</v>
          </cell>
          <cell r="C4720">
            <v>504220</v>
          </cell>
          <cell r="D4720" t="str">
            <v>Not Listed</v>
          </cell>
          <cell r="E4720" t="str">
            <v>Industrial Machinery</v>
          </cell>
        </row>
        <row r="4721">
          <cell r="B4721" t="str">
            <v>W S INDUSTRIES I LTD</v>
          </cell>
          <cell r="C4721" t="str">
            <v>Not Listed</v>
          </cell>
          <cell r="D4721" t="str">
            <v>WSI</v>
          </cell>
          <cell r="E4721" t="str">
            <v>Others</v>
          </cell>
        </row>
        <row r="4722">
          <cell r="B4722" t="str">
            <v>W S INDUSTRIES INDIA LTD</v>
          </cell>
          <cell r="C4722">
            <v>504220</v>
          </cell>
          <cell r="D4722" t="str">
            <v>Not Listed</v>
          </cell>
          <cell r="E4722" t="str">
            <v>Industrial Machinery</v>
          </cell>
        </row>
        <row r="4723">
          <cell r="B4723" t="str">
            <v>W W TECHNOLOGY HOLDINGS LTD</v>
          </cell>
          <cell r="C4723">
            <v>505583</v>
          </cell>
          <cell r="D4723" t="str">
            <v>Not Listed</v>
          </cell>
          <cell r="E4723" t="str">
            <v>Realty</v>
          </cell>
        </row>
        <row r="4724">
          <cell r="B4724" t="str">
            <v>WAA SOLAR LTD</v>
          </cell>
          <cell r="C4724">
            <v>541445</v>
          </cell>
          <cell r="D4724" t="str">
            <v>Not Listed</v>
          </cell>
          <cell r="E4724" t="str">
            <v>Other Elect.Equip./ Prod.</v>
          </cell>
        </row>
        <row r="4725">
          <cell r="B4725" t="str">
            <v>WABCO (INDIA) LTD</v>
          </cell>
          <cell r="C4725">
            <v>533023</v>
          </cell>
          <cell r="D4725" t="str">
            <v>WABCO(INDIA)</v>
          </cell>
          <cell r="E4725" t="str">
            <v>Auto Parts &amp; Equipment</v>
          </cell>
        </row>
        <row r="4726">
          <cell r="B4726" t="str">
            <v>WABCO INDIA LTD</v>
          </cell>
          <cell r="C4726">
            <v>533023</v>
          </cell>
          <cell r="D4726" t="str">
            <v>WABCOINDIA</v>
          </cell>
          <cell r="E4726" t="str">
            <v>Auto Parts &amp; Equipment</v>
          </cell>
        </row>
        <row r="4727">
          <cell r="B4727" t="str">
            <v>WAGEND INFRA VENTURE LTD</v>
          </cell>
          <cell r="C4727">
            <v>503675</v>
          </cell>
          <cell r="D4727" t="str">
            <v>Not Listed</v>
          </cell>
          <cell r="E4727" t="str">
            <v>Misc.Commercial Services</v>
          </cell>
        </row>
        <row r="4728">
          <cell r="B4728" t="str">
            <v>WALCHAND PEOPLEFIRST LTD</v>
          </cell>
          <cell r="C4728">
            <v>501370</v>
          </cell>
          <cell r="D4728" t="str">
            <v>Not Listed</v>
          </cell>
          <cell r="E4728" t="str">
            <v>Consulting Services</v>
          </cell>
        </row>
        <row r="4729">
          <cell r="B4729" t="str">
            <v>WALCHANDNAGAR INDUSTRIES LTD</v>
          </cell>
          <cell r="C4729">
            <v>507410</v>
          </cell>
          <cell r="D4729" t="str">
            <v>WALCHANNAG</v>
          </cell>
          <cell r="E4729" t="str">
            <v>Diversified</v>
          </cell>
        </row>
        <row r="4730">
          <cell r="B4730" t="str">
            <v>WALL STREET FINANCE LTD</v>
          </cell>
          <cell r="C4730">
            <v>511147</v>
          </cell>
          <cell r="D4730" t="str">
            <v>Not Listed</v>
          </cell>
          <cell r="E4730" t="str">
            <v>Finance (including NBFCs)</v>
          </cell>
        </row>
        <row r="4731">
          <cell r="B4731" t="str">
            <v>WALLFORT FINANCIAL SERVICES LTD</v>
          </cell>
          <cell r="C4731">
            <v>532053</v>
          </cell>
          <cell r="D4731" t="str">
            <v>Not Listed</v>
          </cell>
          <cell r="E4731" t="str">
            <v>Other Financial Services</v>
          </cell>
        </row>
        <row r="4732">
          <cell r="B4732" t="str">
            <v>WANBURY LTD</v>
          </cell>
          <cell r="C4732">
            <v>524212</v>
          </cell>
          <cell r="D4732" t="str">
            <v>WANBURY</v>
          </cell>
          <cell r="E4732" t="str">
            <v>Pharmaceuticals</v>
          </cell>
        </row>
        <row r="4733">
          <cell r="B4733" t="str">
            <v>WARNER MULTIMEDIA LTD</v>
          </cell>
          <cell r="C4733">
            <v>511690</v>
          </cell>
          <cell r="D4733" t="str">
            <v>Not Listed</v>
          </cell>
          <cell r="E4733" t="str">
            <v>Finance (including NBFCs)</v>
          </cell>
        </row>
        <row r="4734">
          <cell r="B4734" t="str">
            <v>WARREN TEA LTD</v>
          </cell>
          <cell r="C4734">
            <v>508494</v>
          </cell>
          <cell r="D4734" t="str">
            <v>Not Listed</v>
          </cell>
          <cell r="E4734" t="str">
            <v>Tea &amp; Coffee</v>
          </cell>
        </row>
        <row r="4735">
          <cell r="B4735" t="str">
            <v>WATERBASE LTD</v>
          </cell>
          <cell r="C4735">
            <v>523660</v>
          </cell>
          <cell r="D4735" t="str">
            <v>Not Listed</v>
          </cell>
          <cell r="E4735" t="str">
            <v>Other Food Products</v>
          </cell>
        </row>
        <row r="4736">
          <cell r="B4736" t="str">
            <v>WEALTH FIRST PORTFOLIO MANAGERS LTD</v>
          </cell>
          <cell r="C4736" t="str">
            <v>Not Listed</v>
          </cell>
          <cell r="D4736" t="str">
            <v>WEALTH</v>
          </cell>
          <cell r="E4736" t="str">
            <v>SME</v>
          </cell>
        </row>
        <row r="4737">
          <cell r="B4737" t="str">
            <v>WEB ELEMENT SOLUTIONS LTD</v>
          </cell>
          <cell r="C4737">
            <v>780016</v>
          </cell>
          <cell r="D4737" t="str">
            <v>Not Listed</v>
          </cell>
          <cell r="E4737" t="str">
            <v>Others</v>
          </cell>
        </row>
        <row r="4738">
          <cell r="B4738" t="str">
            <v>WEBSOL ENERGY SYSTEM LTD</v>
          </cell>
          <cell r="C4738">
            <v>517498</v>
          </cell>
          <cell r="D4738" t="str">
            <v>WEBELSOLAR</v>
          </cell>
          <cell r="E4738" t="str">
            <v>Other Elect.Equip./ Prod.</v>
          </cell>
        </row>
        <row r="4739">
          <cell r="B4739" t="str">
            <v>WEIZMANN FINCORP LTD</v>
          </cell>
          <cell r="C4739">
            <v>511074</v>
          </cell>
          <cell r="D4739" t="str">
            <v>Not Listed</v>
          </cell>
          <cell r="E4739" t="str">
            <v>Finance (including NBFCs)</v>
          </cell>
        </row>
        <row r="4740">
          <cell r="B4740" t="str">
            <v>WEIZMANN FOREX LTD</v>
          </cell>
          <cell r="C4740">
            <v>533452</v>
          </cell>
          <cell r="D4740" t="str">
            <v>WEIZFOREX</v>
          </cell>
          <cell r="E4740" t="str">
            <v>Other Financial Services</v>
          </cell>
        </row>
        <row r="4741">
          <cell r="B4741" t="str">
            <v>WEIZMANN LTD</v>
          </cell>
          <cell r="C4741">
            <v>523011</v>
          </cell>
          <cell r="D4741" t="str">
            <v>WEIZMANIND</v>
          </cell>
          <cell r="E4741" t="str">
            <v>Comm.Trading  &amp; Distribution</v>
          </cell>
        </row>
        <row r="4742">
          <cell r="B4742" t="str">
            <v>WELCAST STEELS LTD</v>
          </cell>
          <cell r="C4742">
            <v>504988</v>
          </cell>
          <cell r="D4742" t="str">
            <v>Not Listed</v>
          </cell>
          <cell r="E4742" t="str">
            <v>Other Industrial Products</v>
          </cell>
        </row>
        <row r="4743">
          <cell r="B4743" t="str">
            <v>WELCURE DRUGS &amp; PHARMACEUTICALS LTD</v>
          </cell>
          <cell r="C4743">
            <v>524661</v>
          </cell>
          <cell r="D4743" t="str">
            <v>Not Listed</v>
          </cell>
          <cell r="E4743" t="str">
            <v>Pharmaceuticals</v>
          </cell>
        </row>
        <row r="4744">
          <cell r="B4744" t="str">
            <v>WELLESLEY CORPORATION LTD</v>
          </cell>
          <cell r="C4744">
            <v>532016</v>
          </cell>
          <cell r="D4744" t="str">
            <v>Not Listed</v>
          </cell>
          <cell r="E4744" t="str">
            <v>Realty</v>
          </cell>
        </row>
        <row r="4745">
          <cell r="B4745" t="str">
            <v>WELLNESS NONI LTD</v>
          </cell>
          <cell r="C4745">
            <v>531211</v>
          </cell>
          <cell r="D4745" t="str">
            <v>Not Listed</v>
          </cell>
          <cell r="E4745" t="str">
            <v>Other Financial Services</v>
          </cell>
        </row>
        <row r="4746">
          <cell r="B4746" t="str">
            <v>WELSPUN (INDIA) LTD</v>
          </cell>
          <cell r="C4746">
            <v>514162</v>
          </cell>
          <cell r="D4746" t="str">
            <v>WELSPUNIND</v>
          </cell>
          <cell r="E4746" t="str">
            <v>Textiles</v>
          </cell>
        </row>
        <row r="4747">
          <cell r="B4747" t="str">
            <v>WELSPUN CORP LTD</v>
          </cell>
          <cell r="C4747">
            <v>532144</v>
          </cell>
          <cell r="D4747" t="str">
            <v>WELCORP</v>
          </cell>
          <cell r="E4747" t="str">
            <v>Construction &amp; Engineering</v>
          </cell>
        </row>
        <row r="4748">
          <cell r="B4748" t="str">
            <v>WELSPUN ENTERPRISES LTD</v>
          </cell>
          <cell r="C4748">
            <v>532553</v>
          </cell>
          <cell r="D4748" t="str">
            <v>WELENT</v>
          </cell>
          <cell r="E4748" t="str">
            <v>Construction &amp; Engineering</v>
          </cell>
        </row>
        <row r="4749">
          <cell r="B4749" t="str">
            <v>WELSPUN INDIA LTD</v>
          </cell>
          <cell r="C4749">
            <v>514162</v>
          </cell>
          <cell r="D4749" t="str">
            <v>WELSPUNIND</v>
          </cell>
          <cell r="E4749" t="str">
            <v>Textiles</v>
          </cell>
        </row>
        <row r="4750">
          <cell r="B4750" t="str">
            <v>WELSPUN INVESTMENTS AND COMMERCIALS LTD</v>
          </cell>
          <cell r="C4750">
            <v>533252</v>
          </cell>
          <cell r="D4750" t="str">
            <v>WELINV</v>
          </cell>
          <cell r="E4750" t="str">
            <v>Other Financial Services</v>
          </cell>
        </row>
        <row r="4751">
          <cell r="B4751" t="str">
            <v>WELTERMAN INTERNATIONAL LTD</v>
          </cell>
          <cell r="C4751">
            <v>526431</v>
          </cell>
          <cell r="D4751" t="str">
            <v>Not Listed</v>
          </cell>
          <cell r="E4751" t="str">
            <v>Footwear</v>
          </cell>
        </row>
        <row r="4752">
          <cell r="B4752" t="str">
            <v>WENDT (INDIA) LTD</v>
          </cell>
          <cell r="C4752">
            <v>505412</v>
          </cell>
          <cell r="D4752" t="str">
            <v>WENDT</v>
          </cell>
          <cell r="E4752" t="str">
            <v>Industrial Machinery</v>
          </cell>
        </row>
        <row r="4753">
          <cell r="B4753" t="str">
            <v>WENDT INDIA LTD</v>
          </cell>
          <cell r="C4753">
            <v>505412</v>
          </cell>
          <cell r="D4753" t="str">
            <v>WENDT</v>
          </cell>
          <cell r="E4753" t="str">
            <v>Industrial Machinery</v>
          </cell>
        </row>
        <row r="4754">
          <cell r="B4754" t="str">
            <v>WEP SOLUTIONS LTD</v>
          </cell>
          <cell r="C4754">
            <v>532373</v>
          </cell>
          <cell r="D4754" t="str">
            <v>Not Listed</v>
          </cell>
          <cell r="E4754" t="str">
            <v>Comm.Trading  &amp; Distribution</v>
          </cell>
        </row>
        <row r="4755">
          <cell r="B4755" t="str">
            <v>WEST COAST PAPER MILLS LTD</v>
          </cell>
          <cell r="C4755">
            <v>500444</v>
          </cell>
          <cell r="D4755" t="str">
            <v>WSTCSTPAPR</v>
          </cell>
          <cell r="E4755" t="str">
            <v>Paper &amp; Paper Products</v>
          </cell>
        </row>
        <row r="4756">
          <cell r="B4756" t="str">
            <v>WEST LEISURE RESORTS LTD</v>
          </cell>
          <cell r="C4756">
            <v>538382</v>
          </cell>
          <cell r="D4756" t="str">
            <v>Not Listed</v>
          </cell>
          <cell r="E4756" t="str">
            <v>Comm.Trading  &amp; Distribution</v>
          </cell>
        </row>
        <row r="4757">
          <cell r="B4757" t="str">
            <v>WESTERN MINISTIL LTD</v>
          </cell>
          <cell r="C4757">
            <v>504998</v>
          </cell>
          <cell r="D4757" t="str">
            <v>Not Listed</v>
          </cell>
          <cell r="E4757" t="str">
            <v>Iron &amp; Steel/Interm.Products</v>
          </cell>
        </row>
        <row r="4758">
          <cell r="B4758" t="str">
            <v>WESTLIFE DEVELOPMENT LTD</v>
          </cell>
          <cell r="C4758">
            <v>505533</v>
          </cell>
          <cell r="D4758" t="str">
            <v>Not Listed</v>
          </cell>
          <cell r="E4758" t="str">
            <v>Restaurants</v>
          </cell>
        </row>
        <row r="4759">
          <cell r="B4759" t="str">
            <v>WHEELS (INDIA) LTD</v>
          </cell>
          <cell r="C4759">
            <v>590073</v>
          </cell>
          <cell r="D4759" t="str">
            <v>WHEELS</v>
          </cell>
          <cell r="E4759" t="str">
            <v>Auto Parts &amp; Equipment</v>
          </cell>
        </row>
        <row r="4760">
          <cell r="B4760" t="str">
            <v>WHEELS INDIA LTD</v>
          </cell>
          <cell r="C4760">
            <v>590073</v>
          </cell>
          <cell r="D4760" t="str">
            <v>WHEELS</v>
          </cell>
          <cell r="E4760" t="str">
            <v>Auto Parts &amp; Equipment</v>
          </cell>
        </row>
        <row r="4761">
          <cell r="B4761" t="str">
            <v>WHIRLPOOL OF (INDIA) LTD</v>
          </cell>
          <cell r="C4761">
            <v>500238</v>
          </cell>
          <cell r="D4761" t="str">
            <v>WHIRLPOOL</v>
          </cell>
          <cell r="E4761" t="str">
            <v>Consumer Electronics</v>
          </cell>
        </row>
        <row r="4762">
          <cell r="B4762" t="str">
            <v>WHIRLPOOL OF INDIA LTD</v>
          </cell>
          <cell r="C4762">
            <v>500238</v>
          </cell>
          <cell r="D4762" t="str">
            <v>WHIRLPOOL</v>
          </cell>
          <cell r="E4762" t="str">
            <v>Consumer Electronics</v>
          </cell>
        </row>
        <row r="4763">
          <cell r="B4763" t="str">
            <v>WHITE ORGANIC AGRO LTD</v>
          </cell>
          <cell r="C4763">
            <v>513713</v>
          </cell>
          <cell r="D4763" t="str">
            <v>Not Listed</v>
          </cell>
          <cell r="E4763" t="str">
            <v>Other Apparels &amp; Accessories</v>
          </cell>
        </row>
        <row r="4764">
          <cell r="B4764" t="str">
            <v>White Organic Retail Ltd</v>
          </cell>
          <cell r="C4764">
            <v>542667</v>
          </cell>
          <cell r="D4764" t="str">
            <v>WORL</v>
          </cell>
          <cell r="E4764" t="str">
            <v>Comm.Trading  &amp;amp; Distribution</v>
          </cell>
        </row>
        <row r="4765">
          <cell r="B4765" t="str">
            <v>WILLIAMSON FINANCIAL SERVICES LTD</v>
          </cell>
          <cell r="C4765">
            <v>519214</v>
          </cell>
          <cell r="D4765" t="str">
            <v>Not Listed</v>
          </cell>
          <cell r="E4765" t="str">
            <v>Finance (including NBFCs)</v>
          </cell>
        </row>
        <row r="4766">
          <cell r="B4766" t="str">
            <v>WILLIAMSON MAGOR &amp; COMPANY LTD</v>
          </cell>
          <cell r="C4766">
            <v>519224</v>
          </cell>
          <cell r="D4766" t="str">
            <v>WILLAMAGOR</v>
          </cell>
          <cell r="E4766" t="str">
            <v>Comm.Trading  &amp; Distribution</v>
          </cell>
        </row>
        <row r="4767">
          <cell r="B4767" t="str">
            <v>WIM PLAST LTD</v>
          </cell>
          <cell r="C4767">
            <v>526586</v>
          </cell>
          <cell r="D4767" t="str">
            <v>Not Listed</v>
          </cell>
          <cell r="E4767" t="str">
            <v>Plastic Products</v>
          </cell>
        </row>
        <row r="4768">
          <cell r="B4768" t="str">
            <v>WINDSOR MACHINES LTD</v>
          </cell>
          <cell r="C4768">
            <v>522029</v>
          </cell>
          <cell r="D4768" t="str">
            <v>WINDMACHIN</v>
          </cell>
          <cell r="E4768" t="str">
            <v>Industrial Machinery</v>
          </cell>
        </row>
        <row r="4769">
          <cell r="B4769" t="str">
            <v>WINRO COMMERCIAL (INDIA) LTD</v>
          </cell>
          <cell r="C4769">
            <v>512022</v>
          </cell>
          <cell r="D4769" t="str">
            <v>Not Listed</v>
          </cell>
          <cell r="E4769" t="str">
            <v>Other Financial Services</v>
          </cell>
        </row>
        <row r="4770">
          <cell r="B4770" t="str">
            <v>WINRO COMMERCIAL INDIA LTD</v>
          </cell>
          <cell r="C4770">
            <v>512022</v>
          </cell>
          <cell r="D4770" t="str">
            <v>Not Listed</v>
          </cell>
          <cell r="E4770" t="str">
            <v>Other Financial Services</v>
          </cell>
        </row>
        <row r="4771">
          <cell r="B4771" t="str">
            <v>WINSOME BREWERIES LTD</v>
          </cell>
          <cell r="C4771">
            <v>526471</v>
          </cell>
          <cell r="D4771" t="str">
            <v>Not Listed</v>
          </cell>
          <cell r="E4771" t="str">
            <v>Breweries &amp; Distilleries</v>
          </cell>
        </row>
        <row r="4772">
          <cell r="B4772" t="str">
            <v>WINSOME TEXTILE INDUSTRIES LTD</v>
          </cell>
          <cell r="C4772">
            <v>514470</v>
          </cell>
          <cell r="D4772" t="str">
            <v>Not Listed</v>
          </cell>
          <cell r="E4772" t="str">
            <v>Textiles</v>
          </cell>
        </row>
        <row r="4773">
          <cell r="B4773" t="str">
            <v>WINSOME YARNS LTD</v>
          </cell>
          <cell r="C4773">
            <v>514348</v>
          </cell>
          <cell r="D4773" t="str">
            <v>WINSOME</v>
          </cell>
          <cell r="E4773" t="str">
            <v>Textiles</v>
          </cell>
        </row>
        <row r="4774">
          <cell r="B4774" t="str">
            <v>WINTAC LTD</v>
          </cell>
          <cell r="C4774">
            <v>524758</v>
          </cell>
          <cell r="D4774" t="str">
            <v>Not Listed</v>
          </cell>
          <cell r="E4774" t="str">
            <v>Pharmaceuticals</v>
          </cell>
        </row>
        <row r="4775">
          <cell r="B4775" t="str">
            <v>WINY COMMERCIAL &amp; FISCAL SERVICES LTD</v>
          </cell>
          <cell r="C4775">
            <v>538873</v>
          </cell>
          <cell r="D4775" t="str">
            <v>Not Listed</v>
          </cell>
          <cell r="E4775" t="str">
            <v>Finance (including NBFCs)</v>
          </cell>
        </row>
        <row r="4776">
          <cell r="B4776" t="str">
            <v>WIPRO LTD</v>
          </cell>
          <cell r="C4776">
            <v>507685</v>
          </cell>
          <cell r="D4776" t="str">
            <v>WIPRO</v>
          </cell>
          <cell r="E4776" t="str">
            <v>IT Consulting &amp; Software</v>
          </cell>
        </row>
        <row r="4777">
          <cell r="B4777" t="str">
            <v>WIRES &amp; FABRIKS SA LTD</v>
          </cell>
          <cell r="C4777">
            <v>507817</v>
          </cell>
          <cell r="D4777" t="str">
            <v>Not Listed</v>
          </cell>
          <cell r="E4777" t="str">
            <v>Textiles</v>
          </cell>
        </row>
        <row r="4778">
          <cell r="B4778" t="str">
            <v>WISEC GLOBAL LTD</v>
          </cell>
          <cell r="C4778">
            <v>511642</v>
          </cell>
          <cell r="D4778" t="str">
            <v>Not Listed</v>
          </cell>
          <cell r="E4778" t="str">
            <v>Finance (including NBFCs)</v>
          </cell>
        </row>
        <row r="4779">
          <cell r="B4779" t="str">
            <v>WOCKHARDT LTD</v>
          </cell>
          <cell r="C4779">
            <v>532300</v>
          </cell>
          <cell r="D4779" t="str">
            <v>WOCKPHARMA</v>
          </cell>
          <cell r="E4779" t="str">
            <v>Pharmaceuticals</v>
          </cell>
        </row>
        <row r="4780">
          <cell r="B4780" t="str">
            <v>WOMEN NETWORKS LTD</v>
          </cell>
          <cell r="C4780">
            <v>531396</v>
          </cell>
          <cell r="D4780" t="str">
            <v>Not Listed</v>
          </cell>
          <cell r="E4780" t="str">
            <v>IT Software Products</v>
          </cell>
        </row>
        <row r="4781">
          <cell r="B4781" t="str">
            <v>WOMENS NEXT LOUNGERIES LTD</v>
          </cell>
          <cell r="C4781">
            <v>538128</v>
          </cell>
          <cell r="D4781" t="str">
            <v>Not Listed</v>
          </cell>
          <cell r="E4781" t="str">
            <v>Other Apparels &amp; Accessories</v>
          </cell>
        </row>
        <row r="4782">
          <cell r="B4782" t="str">
            <v>WONDERLA HOLIDAYS LTD</v>
          </cell>
          <cell r="C4782">
            <v>538268</v>
          </cell>
          <cell r="D4782" t="str">
            <v>WONDERLA</v>
          </cell>
          <cell r="E4782" t="str">
            <v>Other Leisure Facilities</v>
          </cell>
        </row>
        <row r="4783">
          <cell r="B4783" t="str">
            <v>WOODSVILLA LTD</v>
          </cell>
          <cell r="C4783">
            <v>526959</v>
          </cell>
          <cell r="D4783" t="str">
            <v>Not Listed</v>
          </cell>
          <cell r="E4783" t="str">
            <v>Hotels</v>
          </cell>
        </row>
        <row r="4784">
          <cell r="B4784" t="str">
            <v>WORLDWIDE LEATHER EXPORTS LTD</v>
          </cell>
          <cell r="C4784">
            <v>526525</v>
          </cell>
          <cell r="D4784" t="str">
            <v>Not Listed</v>
          </cell>
          <cell r="E4784" t="str">
            <v>Other Apparels &amp; Accessories</v>
          </cell>
        </row>
        <row r="4785">
          <cell r="B4785" t="str">
            <v>WORTH INVESTMENT &amp; TRADING CO LTD</v>
          </cell>
          <cell r="C4785">
            <v>538451</v>
          </cell>
          <cell r="D4785" t="str">
            <v>Not Listed</v>
          </cell>
          <cell r="E4785" t="str">
            <v>Investment Companies</v>
          </cell>
        </row>
        <row r="4786">
          <cell r="B4786" t="str">
            <v>WORTH PERIPHERALS LTD</v>
          </cell>
          <cell r="C4786" t="str">
            <v>Not Listed</v>
          </cell>
          <cell r="D4786" t="str">
            <v>WORTH</v>
          </cell>
          <cell r="E4786" t="str">
            <v>SME</v>
          </cell>
        </row>
        <row r="4787">
          <cell r="B4787" t="str">
            <v>WPIL LTD</v>
          </cell>
          <cell r="C4787">
            <v>505872</v>
          </cell>
          <cell r="D4787" t="str">
            <v>Not Listed</v>
          </cell>
          <cell r="E4787" t="str">
            <v>Industrial Machinery</v>
          </cell>
        </row>
        <row r="4788">
          <cell r="B4788" t="str">
            <v>XCHANGING SOLUTIONS LTD</v>
          </cell>
          <cell r="C4788">
            <v>532616</v>
          </cell>
          <cell r="D4788" t="str">
            <v>XCHANGING</v>
          </cell>
          <cell r="E4788" t="str">
            <v>BPO/KPO</v>
          </cell>
        </row>
        <row r="4789">
          <cell r="B4789" t="str">
            <v>Xelpmoc Design and Tech Ltd</v>
          </cell>
          <cell r="C4789">
            <v>542367</v>
          </cell>
          <cell r="D4789" t="str">
            <v>XELPMOC</v>
          </cell>
          <cell r="E4789" t="str">
            <v>Internet Software &amp;amp; Services</v>
          </cell>
        </row>
        <row r="4790">
          <cell r="B4790" t="str">
            <v>XL ENERGY LTD</v>
          </cell>
          <cell r="C4790">
            <v>532788</v>
          </cell>
          <cell r="D4790" t="str">
            <v>XLENERGY</v>
          </cell>
          <cell r="E4790" t="str">
            <v>Telecom Equipment</v>
          </cell>
        </row>
        <row r="4791">
          <cell r="B4791" t="str">
            <v>XPRO (INDIA) LTD</v>
          </cell>
          <cell r="C4791">
            <v>590013</v>
          </cell>
          <cell r="D4791" t="str">
            <v>XPRO(INDIA)</v>
          </cell>
          <cell r="E4791" t="str">
            <v>Commodity Chemicals</v>
          </cell>
        </row>
        <row r="4792">
          <cell r="B4792" t="str">
            <v>XPRO INDIA LTD</v>
          </cell>
          <cell r="C4792">
            <v>590013</v>
          </cell>
          <cell r="D4792" t="str">
            <v>XPROINDIA</v>
          </cell>
          <cell r="E4792" t="str">
            <v>Commodity Chemicals</v>
          </cell>
        </row>
        <row r="4793">
          <cell r="B4793" t="str">
            <v>YAMINI INVESTMENTS COMPANY LTD</v>
          </cell>
          <cell r="C4793">
            <v>511012</v>
          </cell>
          <cell r="D4793" t="str">
            <v>Not Listed</v>
          </cell>
          <cell r="E4793" t="str">
            <v>Investment Companies</v>
          </cell>
        </row>
        <row r="4794">
          <cell r="B4794" t="str">
            <v>YARN SYNDICATE LTD</v>
          </cell>
          <cell r="C4794">
            <v>514378</v>
          </cell>
          <cell r="D4794" t="str">
            <v>Not Listed</v>
          </cell>
          <cell r="E4794" t="str">
            <v>Comm.Trading  &amp; Distribution</v>
          </cell>
        </row>
        <row r="4795">
          <cell r="B4795" t="str">
            <v>YASH CHEMEX LTD</v>
          </cell>
          <cell r="C4795">
            <v>539939</v>
          </cell>
          <cell r="D4795" t="str">
            <v>Not Listed</v>
          </cell>
          <cell r="E4795" t="str">
            <v>Specialty Chemicals</v>
          </cell>
        </row>
        <row r="4796">
          <cell r="B4796" t="str">
            <v>YASH MANAGEMENT &amp; SATELLITE LTD</v>
          </cell>
          <cell r="C4796">
            <v>511601</v>
          </cell>
          <cell r="D4796" t="str">
            <v>Not Listed</v>
          </cell>
          <cell r="E4796" t="str">
            <v>Comm.Trading  &amp; Distribution</v>
          </cell>
        </row>
        <row r="4797">
          <cell r="B4797" t="str">
            <v>YASH PAPERS LTD</v>
          </cell>
          <cell r="C4797">
            <v>516030</v>
          </cell>
          <cell r="D4797" t="str">
            <v>Not Listed</v>
          </cell>
          <cell r="E4797" t="str">
            <v>Paper &amp; Paper Products</v>
          </cell>
        </row>
        <row r="4798">
          <cell r="B4798" t="str">
            <v>YASHO INDUSTRIES LTD</v>
          </cell>
          <cell r="C4798">
            <v>541167</v>
          </cell>
          <cell r="D4798" t="str">
            <v>Not Listed</v>
          </cell>
          <cell r="E4798" t="str">
            <v>Specialty Chemicals</v>
          </cell>
        </row>
        <row r="4799">
          <cell r="B4799" t="str">
            <v>YASHRAJ CONTAINEURS LTD</v>
          </cell>
          <cell r="C4799">
            <v>530063</v>
          </cell>
          <cell r="D4799" t="str">
            <v>Not Listed</v>
          </cell>
          <cell r="E4799" t="str">
            <v>Containers &amp; Packaging</v>
          </cell>
        </row>
        <row r="4800">
          <cell r="B4800" t="str">
            <v>YES BANK LTD</v>
          </cell>
          <cell r="C4800">
            <v>532648</v>
          </cell>
          <cell r="D4800" t="str">
            <v>YESBANK</v>
          </cell>
          <cell r="E4800" t="str">
            <v>Banks</v>
          </cell>
        </row>
        <row r="4801">
          <cell r="B4801" t="str">
            <v>YKM INDUSTRIES LTD</v>
          </cell>
          <cell r="C4801">
            <v>531260</v>
          </cell>
          <cell r="D4801" t="str">
            <v>Not Listed</v>
          </cell>
          <cell r="E4801" t="str">
            <v>Packaged Foods</v>
          </cell>
        </row>
        <row r="4802">
          <cell r="B4802" t="str">
            <v>YOGI SUNG-WON (INDIA) LTD</v>
          </cell>
          <cell r="C4802">
            <v>522209</v>
          </cell>
          <cell r="D4802" t="str">
            <v>Not Listed</v>
          </cell>
          <cell r="E4802" t="str">
            <v>Other Financial Services</v>
          </cell>
        </row>
        <row r="4803">
          <cell r="B4803" t="str">
            <v>YOGI SUNG-WON INDIA LTD</v>
          </cell>
          <cell r="C4803">
            <v>522209</v>
          </cell>
          <cell r="D4803" t="str">
            <v>Not Listed</v>
          </cell>
          <cell r="E4803" t="str">
            <v>Other Financial Services</v>
          </cell>
        </row>
        <row r="4804">
          <cell r="B4804" t="str">
            <v>YOGYA ENTERPRISES LTD</v>
          </cell>
          <cell r="C4804">
            <v>539097</v>
          </cell>
          <cell r="D4804" t="str">
            <v>Not Listed</v>
          </cell>
          <cell r="E4804" t="str">
            <v>Comm.Trading  &amp; Distribution</v>
          </cell>
        </row>
        <row r="4805">
          <cell r="B4805" t="str">
            <v>YORK EXPORTS LTD</v>
          </cell>
          <cell r="C4805">
            <v>530675</v>
          </cell>
          <cell r="D4805" t="str">
            <v>Not Listed</v>
          </cell>
          <cell r="E4805" t="str">
            <v>Other Apparels &amp; Accessories</v>
          </cell>
        </row>
        <row r="4806">
          <cell r="B4806" t="str">
            <v>YUG DECOR LTD</v>
          </cell>
          <cell r="C4806">
            <v>540550</v>
          </cell>
          <cell r="D4806" t="str">
            <v>Not Listed</v>
          </cell>
          <cell r="E4806" t="str">
            <v>Specialty Chemicals</v>
          </cell>
        </row>
        <row r="4807">
          <cell r="B4807" t="str">
            <v>YUKEN (INDIA) LTD</v>
          </cell>
          <cell r="C4807">
            <v>522108</v>
          </cell>
          <cell r="D4807" t="str">
            <v>Not Listed</v>
          </cell>
          <cell r="E4807" t="str">
            <v>Auto Parts &amp; Equipment</v>
          </cell>
        </row>
        <row r="4808">
          <cell r="B4808" t="str">
            <v>YUKEN INDIA LTD</v>
          </cell>
          <cell r="C4808">
            <v>522108</v>
          </cell>
          <cell r="D4808" t="str">
            <v>Not Listed</v>
          </cell>
          <cell r="E4808" t="str">
            <v>Auto Parts &amp; Equipment</v>
          </cell>
        </row>
        <row r="4809">
          <cell r="B4809" t="str">
            <v>YURANUS INFRASTRUCTURE LTD</v>
          </cell>
          <cell r="C4809">
            <v>536846</v>
          </cell>
          <cell r="D4809" t="str">
            <v>Not Listed</v>
          </cell>
          <cell r="E4809" t="str">
            <v>Construction &amp; Engineering</v>
          </cell>
        </row>
        <row r="4810">
          <cell r="B4810" t="str">
            <v>YUVRAAJ HYGIENE PRODUCTS LTD.</v>
          </cell>
          <cell r="C4810">
            <v>531663</v>
          </cell>
          <cell r="D4810" t="str">
            <v>YUVRAAJHPL</v>
          </cell>
          <cell r="E4810" t="str">
            <v>Household Products</v>
          </cell>
        </row>
        <row r="4811">
          <cell r="B4811" t="str">
            <v>Z F STEERING GEAR (INDIA) LTD</v>
          </cell>
          <cell r="C4811">
            <v>505163</v>
          </cell>
          <cell r="D4811" t="str">
            <v>Not Listed</v>
          </cell>
          <cell r="E4811" t="str">
            <v>Auto Parts &amp; Equipment</v>
          </cell>
        </row>
        <row r="4812">
          <cell r="B4812" t="str">
            <v>Z F STEERING GEAR INDIA LTD</v>
          </cell>
          <cell r="C4812">
            <v>505163</v>
          </cell>
          <cell r="D4812" t="str">
            <v>Not Listed</v>
          </cell>
          <cell r="E4812" t="str">
            <v>Auto Parts &amp; Equipment</v>
          </cell>
        </row>
        <row r="4813">
          <cell r="B4813" t="str">
            <v>ZEAL AQUA LTD</v>
          </cell>
          <cell r="C4813">
            <v>539963</v>
          </cell>
          <cell r="D4813" t="str">
            <v>Not Listed</v>
          </cell>
          <cell r="E4813" t="str">
            <v>Other Food Products</v>
          </cell>
        </row>
        <row r="4814">
          <cell r="B4814" t="str">
            <v>ZEE ENTERTAINMENT ENTERPRISES LTD</v>
          </cell>
          <cell r="C4814">
            <v>505537</v>
          </cell>
          <cell r="D4814" t="str">
            <v>ZEEL</v>
          </cell>
          <cell r="E4814" t="str">
            <v>Broadcasting &amp; Cable TV</v>
          </cell>
        </row>
        <row r="4815">
          <cell r="B4815" t="str">
            <v>ZEE LEARN LTD</v>
          </cell>
          <cell r="C4815">
            <v>533287</v>
          </cell>
          <cell r="D4815" t="str">
            <v>ZEELEARN</v>
          </cell>
          <cell r="E4815" t="str">
            <v>Education</v>
          </cell>
        </row>
        <row r="4816">
          <cell r="B4816" t="str">
            <v>ZEE MEDIA CORPORATION LTD</v>
          </cell>
          <cell r="C4816">
            <v>532794</v>
          </cell>
          <cell r="D4816" t="str">
            <v>ZEEMEDIA</v>
          </cell>
          <cell r="E4816" t="str">
            <v>Broadcasting &amp; Cable TV</v>
          </cell>
        </row>
        <row r="4817">
          <cell r="B4817" t="str">
            <v>ZEN TECHNOLOGIES LTD</v>
          </cell>
          <cell r="C4817">
            <v>533339</v>
          </cell>
          <cell r="D4817" t="str">
            <v>ZENTEC</v>
          </cell>
          <cell r="E4817" t="str">
            <v>IT Software Products</v>
          </cell>
        </row>
        <row r="4818">
          <cell r="B4818" t="str">
            <v>ZENITH BIRLA (INDIA) LTD</v>
          </cell>
          <cell r="C4818">
            <v>531845</v>
          </cell>
          <cell r="D4818" t="str">
            <v>ZENITHBIR</v>
          </cell>
          <cell r="E4818" t="str">
            <v>Construction &amp; Engineering</v>
          </cell>
        </row>
        <row r="4819">
          <cell r="B4819" t="str">
            <v>ZENITH BIRLA INDIA LTD</v>
          </cell>
          <cell r="C4819">
            <v>531845</v>
          </cell>
          <cell r="D4819" t="str">
            <v>ZENITHBIR</v>
          </cell>
          <cell r="E4819" t="str">
            <v>Construction &amp; Engineering</v>
          </cell>
        </row>
        <row r="4820">
          <cell r="B4820" t="str">
            <v>ZENITH EXPORTS LTD</v>
          </cell>
          <cell r="C4820">
            <v>512553</v>
          </cell>
          <cell r="D4820" t="str">
            <v>ZENITHEXPO</v>
          </cell>
          <cell r="E4820" t="str">
            <v>Textiles</v>
          </cell>
        </row>
        <row r="4821">
          <cell r="B4821" t="str">
            <v>ZENITH FIBRES LTD</v>
          </cell>
          <cell r="C4821">
            <v>514266</v>
          </cell>
          <cell r="D4821" t="str">
            <v>Not Listed</v>
          </cell>
          <cell r="E4821" t="str">
            <v>Textiles</v>
          </cell>
        </row>
        <row r="4822">
          <cell r="B4822" t="str">
            <v>ZENITH HEALTH CARE LTD</v>
          </cell>
          <cell r="C4822">
            <v>530665</v>
          </cell>
          <cell r="D4822" t="str">
            <v>Not Listed</v>
          </cell>
          <cell r="E4822" t="str">
            <v>Pharmaceuticals</v>
          </cell>
        </row>
        <row r="4823">
          <cell r="B4823" t="str">
            <v>ZENLABS ETHICA LTD</v>
          </cell>
          <cell r="C4823">
            <v>530697</v>
          </cell>
          <cell r="D4823" t="str">
            <v>Not Listed</v>
          </cell>
          <cell r="E4823" t="str">
            <v>Misc.Commercial Services</v>
          </cell>
        </row>
        <row r="4824">
          <cell r="B4824" t="str">
            <v>ZENOTECH LABORATORIES LTD</v>
          </cell>
          <cell r="C4824">
            <v>532039</v>
          </cell>
          <cell r="D4824" t="str">
            <v>Not Listed</v>
          </cell>
          <cell r="E4824" t="str">
            <v>Pharmaceuticals</v>
          </cell>
        </row>
        <row r="4825">
          <cell r="B4825" t="str">
            <v>ZENSAR TECHNOLOGIES LTD</v>
          </cell>
          <cell r="C4825">
            <v>504067</v>
          </cell>
          <cell r="D4825" t="str">
            <v>ZENSARTECH</v>
          </cell>
          <cell r="E4825" t="str">
            <v>IT Consulting &amp; Software</v>
          </cell>
        </row>
        <row r="4826">
          <cell r="B4826" t="str">
            <v>ZICOM ELECTRONIC SECURITY SYSTEMS LTD</v>
          </cell>
          <cell r="C4826">
            <v>531404</v>
          </cell>
          <cell r="D4826" t="str">
            <v>ZICOM</v>
          </cell>
          <cell r="E4826" t="str">
            <v>Electronic Components</v>
          </cell>
        </row>
        <row r="4827">
          <cell r="B4827" t="str">
            <v>ZIM LABORATORIES LTD</v>
          </cell>
          <cell r="C4827">
            <v>541400</v>
          </cell>
          <cell r="D4827" t="str">
            <v>Not Listed</v>
          </cell>
          <cell r="E4827" t="str">
            <v>Pharmaceuticals</v>
          </cell>
        </row>
        <row r="4828">
          <cell r="B4828" t="str">
            <v>ZODIAC CLOTHING COMPANY LTD</v>
          </cell>
          <cell r="C4828">
            <v>521163</v>
          </cell>
          <cell r="D4828" t="str">
            <v>ZODIACLOTH</v>
          </cell>
          <cell r="E4828" t="str">
            <v>Other Apparels &amp; Accessories</v>
          </cell>
        </row>
        <row r="4829">
          <cell r="B4829" t="str">
            <v>ZODIAC ENERGY LTD</v>
          </cell>
          <cell r="C4829" t="str">
            <v>Not Listed</v>
          </cell>
          <cell r="D4829" t="str">
            <v>ZODIAC</v>
          </cell>
          <cell r="E4829" t="str">
            <v>SME</v>
          </cell>
        </row>
        <row r="4830">
          <cell r="B4830" t="str">
            <v>ZODIAC JRD- MKJ LTD</v>
          </cell>
          <cell r="C4830">
            <v>512587</v>
          </cell>
          <cell r="D4830" t="str">
            <v>ZODJRDMKJ</v>
          </cell>
          <cell r="E4830" t="str">
            <v>Other Apparels &amp; Accessories</v>
          </cell>
        </row>
        <row r="4831">
          <cell r="B4831" t="str">
            <v>Zodiac Ventures LTD</v>
          </cell>
          <cell r="C4831">
            <v>503641</v>
          </cell>
          <cell r="D4831" t="str">
            <v>ZODIACVEN</v>
          </cell>
          <cell r="E4831" t="str">
            <v>Consulting Services</v>
          </cell>
        </row>
        <row r="4832">
          <cell r="B4832" t="str">
            <v>ZOTA HEALTH CARE LTD</v>
          </cell>
          <cell r="C4832" t="str">
            <v>Not Listed</v>
          </cell>
          <cell r="D4832" t="str">
            <v>ZOTA</v>
          </cell>
          <cell r="E4832" t="str">
            <v>SME</v>
          </cell>
        </row>
        <row r="4833">
          <cell r="B4833" t="str">
            <v>ZUARI AGRO CHEMICALS LTD</v>
          </cell>
          <cell r="C4833">
            <v>534742</v>
          </cell>
          <cell r="D4833" t="str">
            <v>ZUARI</v>
          </cell>
          <cell r="E4833" t="str">
            <v>Fertilizers</v>
          </cell>
        </row>
        <row r="4834">
          <cell r="B4834" t="str">
            <v>ZUARI GLOBAL LTD</v>
          </cell>
          <cell r="C4834">
            <v>500780</v>
          </cell>
          <cell r="D4834" t="str">
            <v>ZUARIGLOB</v>
          </cell>
          <cell r="E4834" t="str">
            <v>Fertilizers</v>
          </cell>
        </row>
        <row r="4835">
          <cell r="B4835" t="str">
            <v>ZYDUS WELLNESS LTD</v>
          </cell>
          <cell r="C4835">
            <v>531335</v>
          </cell>
          <cell r="D4835" t="str">
            <v>ZYDUSWELL</v>
          </cell>
          <cell r="E4835" t="str">
            <v>Packaged Foods</v>
          </cell>
        </row>
        <row r="4836">
          <cell r="B4836" t="str">
            <v>ZYLOG SYSTEMS LTD</v>
          </cell>
          <cell r="C4836">
            <v>532883</v>
          </cell>
          <cell r="D4836" t="str">
            <v>ZYLOG</v>
          </cell>
          <cell r="E4836" t="str">
            <v>IT Software Products</v>
          </cell>
        </row>
        <row r="4837">
          <cell r="B4837" t="str">
            <v>INDIA LEASE DEVELOPMENT Ltd</v>
          </cell>
          <cell r="C4837">
            <v>500202</v>
          </cell>
          <cell r="D4837" t="str">
            <v>INDLEASE</v>
          </cell>
          <cell r="E4837" t="str">
            <v>Finance (including NBFCs)</v>
          </cell>
        </row>
        <row r="4838">
          <cell r="B4838" t="str">
            <v>Kore Foods Ltd</v>
          </cell>
          <cell r="C4838">
            <v>500458</v>
          </cell>
          <cell r="D4838" t="str">
            <v>KORE</v>
          </cell>
          <cell r="E4838" t="str">
            <v>Other Food Products</v>
          </cell>
        </row>
        <row r="4839">
          <cell r="B4839" t="str">
            <v>GOLD ROCK INVESTMENTS Ltd</v>
          </cell>
          <cell r="C4839">
            <v>501111</v>
          </cell>
          <cell r="D4839" t="str">
            <v>ZGOLDINV</v>
          </cell>
          <cell r="E4839" t="str">
            <v>Comm.Trading  &amp; Distribution</v>
          </cell>
        </row>
        <row r="4840">
          <cell r="B4840" t="str">
            <v>KARTIK INVESTMENTS TRUST Ltd</v>
          </cell>
          <cell r="C4840">
            <v>501151</v>
          </cell>
          <cell r="D4840" t="str">
            <v>KARTKIN</v>
          </cell>
          <cell r="E4840" t="str">
            <v>Other Financial Services</v>
          </cell>
        </row>
        <row r="4841">
          <cell r="B4841" t="str">
            <v>JAYABHARAT CREDIT Ltd</v>
          </cell>
          <cell r="C4841">
            <v>501311</v>
          </cell>
          <cell r="D4841" t="str">
            <v>JAYBHCR</v>
          </cell>
          <cell r="E4841" t="str">
            <v>Finance (including NBFCs)</v>
          </cell>
        </row>
        <row r="4842">
          <cell r="B4842" t="str">
            <v>AMALGAMATED ELECTRICITY CO.Ltd</v>
          </cell>
          <cell r="C4842">
            <v>501622</v>
          </cell>
          <cell r="D4842" t="str">
            <v>AMALGAM</v>
          </cell>
          <cell r="E4842" t="str">
            <v>Diversified Commercial Services</v>
          </cell>
        </row>
        <row r="4843">
          <cell r="B4843" t="str">
            <v>GAEKWAR MILLS Ltd</v>
          </cell>
          <cell r="C4843">
            <v>502850</v>
          </cell>
          <cell r="D4843" t="str">
            <v>ZGAEKWAR</v>
          </cell>
          <cell r="E4843" t="str">
            <v>Textiles</v>
          </cell>
        </row>
        <row r="4844">
          <cell r="B4844" t="str">
            <v>K K Fincorp Limited</v>
          </cell>
          <cell r="C4844">
            <v>503669</v>
          </cell>
          <cell r="D4844" t="str">
            <v>KKFIN</v>
          </cell>
          <cell r="E4844" t="str">
            <v>Diversified Commercial Services</v>
          </cell>
        </row>
        <row r="4845">
          <cell r="B4845" t="str">
            <v>RAJASTHAN PETRO SYNTHETICS Ltd</v>
          </cell>
          <cell r="C4845">
            <v>506975</v>
          </cell>
          <cell r="D4845" t="str">
            <v>RAJSPTR</v>
          </cell>
          <cell r="E4845" t="str">
            <v>Textiles</v>
          </cell>
        </row>
        <row r="4846">
          <cell r="B4846" t="str">
            <v>NORTHERN PROJECTS Ltd</v>
          </cell>
          <cell r="C4846">
            <v>508924</v>
          </cell>
          <cell r="D4846" t="str">
            <v>NORTHPR</v>
          </cell>
          <cell r="E4846" t="str">
            <v>Diversified Commercial Services</v>
          </cell>
        </row>
        <row r="4847">
          <cell r="B4847" t="str">
            <v>ID Info Business Services Ltd</v>
          </cell>
          <cell r="C4847">
            <v>511260</v>
          </cell>
          <cell r="D4847" t="str">
            <v>IDINFO</v>
          </cell>
          <cell r="E4847" t="str">
            <v>Other Financial Services</v>
          </cell>
        </row>
        <row r="4848">
          <cell r="B4848" t="str">
            <v>TRC FINANCIAL SERVICES Ltd</v>
          </cell>
          <cell r="C4848">
            <v>511730</v>
          </cell>
          <cell r="D4848" t="str">
            <v>TRCFIN</v>
          </cell>
          <cell r="E4848" t="str">
            <v>Finance (including NBFCs)</v>
          </cell>
        </row>
        <row r="4849">
          <cell r="B4849" t="str">
            <v>SPV Global Trading Ltd</v>
          </cell>
          <cell r="C4849">
            <v>512221</v>
          </cell>
          <cell r="D4849" t="str">
            <v>SPVGLOBAL</v>
          </cell>
          <cell r="E4849" t="str">
            <v>Finance (including NBFCs)</v>
          </cell>
        </row>
        <row r="4850">
          <cell r="B4850" t="str">
            <v>ARAVALI SECURITIES &amp; FINANCE Ltd</v>
          </cell>
          <cell r="C4850">
            <v>512344</v>
          </cell>
          <cell r="D4850" t="str">
            <v>ARAVALIS</v>
          </cell>
          <cell r="E4850" t="str">
            <v>Comm.Trading  &amp; Distribution</v>
          </cell>
        </row>
        <row r="4851">
          <cell r="B4851" t="str">
            <v>YASH TRADING &amp; FINANCE Ltd</v>
          </cell>
          <cell r="C4851">
            <v>512345</v>
          </cell>
          <cell r="D4851" t="str">
            <v>YASTF</v>
          </cell>
          <cell r="E4851" t="str">
            <v>Other Financial Services</v>
          </cell>
        </row>
        <row r="4852">
          <cell r="B4852" t="str">
            <v>GAYATRI TISSUE &amp; PAPERS Ltd</v>
          </cell>
          <cell r="C4852">
            <v>512479</v>
          </cell>
          <cell r="D4852" t="str">
            <v>GYTRIPA</v>
          </cell>
          <cell r="E4852" t="str">
            <v>Realty</v>
          </cell>
        </row>
        <row r="4853">
          <cell r="B4853" t="str">
            <v>GRAND FOUNDRY Ltd</v>
          </cell>
          <cell r="C4853">
            <v>513343</v>
          </cell>
          <cell r="D4853" t="str">
            <v>GRANDFONRY</v>
          </cell>
          <cell r="E4853" t="str">
            <v>Iron &amp; Steel Products</v>
          </cell>
        </row>
        <row r="4854">
          <cell r="B4854" t="str">
            <v>Smiths &amp; Founders (India) Limited</v>
          </cell>
          <cell r="C4854">
            <v>513418</v>
          </cell>
          <cell r="D4854" t="str">
            <v>SMFIL</v>
          </cell>
          <cell r="E4854" t="str">
            <v>Other Industrial Products</v>
          </cell>
        </row>
        <row r="4855">
          <cell r="B4855" t="str">
            <v>MODERN INSULATORS Ltd</v>
          </cell>
          <cell r="C4855">
            <v>515008</v>
          </cell>
          <cell r="D4855" t="str">
            <v>MODINSU</v>
          </cell>
          <cell r="E4855" t="str">
            <v>Other Elect.Equip./ Prod.</v>
          </cell>
        </row>
        <row r="4856">
          <cell r="B4856" t="str">
            <v>S&amp;S POWER SWITCHGEAR Ltd</v>
          </cell>
          <cell r="C4856">
            <v>517273</v>
          </cell>
          <cell r="D4856" t="str">
            <v>S&amp;SPOWER</v>
          </cell>
          <cell r="E4856" t="str">
            <v>Other Elect.Equip./ Prod.</v>
          </cell>
        </row>
        <row r="4857">
          <cell r="B4857" t="str">
            <v>SBEC SYSTEMS (INDIA) Ltd</v>
          </cell>
          <cell r="C4857">
            <v>517360</v>
          </cell>
          <cell r="D4857" t="str">
            <v>SBECSYS</v>
          </cell>
          <cell r="E4857" t="str">
            <v>Comm.Trading  &amp; Distribution</v>
          </cell>
        </row>
        <row r="4858">
          <cell r="B4858" t="str">
            <v>VINTRON INFORMATICS Ltd</v>
          </cell>
          <cell r="C4858">
            <v>517393</v>
          </cell>
          <cell r="D4858" t="str">
            <v>VINTRON</v>
          </cell>
          <cell r="E4858" t="str">
            <v>Computer Hardware</v>
          </cell>
        </row>
        <row r="4859">
          <cell r="B4859" t="str">
            <v>SHARAT INDUSTRIES Ltd</v>
          </cell>
          <cell r="C4859">
            <v>519397</v>
          </cell>
          <cell r="D4859" t="str">
            <v>SHINDL</v>
          </cell>
          <cell r="E4859" t="str">
            <v>Packaged Foods</v>
          </cell>
        </row>
        <row r="4860">
          <cell r="B4860" t="str">
            <v>BKV INDUSTRIES Ltd</v>
          </cell>
          <cell r="C4860">
            <v>519500</v>
          </cell>
          <cell r="D4860" t="str">
            <v>BKV</v>
          </cell>
          <cell r="E4860" t="str">
            <v>Packaged Foods</v>
          </cell>
        </row>
        <row r="4861">
          <cell r="B4861" t="str">
            <v>TMT (INDIA) Ltd</v>
          </cell>
          <cell r="C4861">
            <v>522171</v>
          </cell>
          <cell r="D4861" t="str">
            <v>TMTIND-B1</v>
          </cell>
          <cell r="E4861" t="str">
            <v>Industrial Machinery</v>
          </cell>
        </row>
        <row r="4862">
          <cell r="B4862" t="str">
            <v>PHARMAIDS PHARMACEUTICALS Ltd</v>
          </cell>
          <cell r="C4862">
            <v>524572</v>
          </cell>
          <cell r="D4862" t="str">
            <v>PHARMAID</v>
          </cell>
          <cell r="E4862" t="str">
            <v>Pharmaceuticals</v>
          </cell>
        </row>
        <row r="4863">
          <cell r="B4863" t="str">
            <v>SURAJ INDUSTRIES Ltd</v>
          </cell>
          <cell r="C4863">
            <v>526211</v>
          </cell>
          <cell r="D4863" t="str">
            <v>SURJIND</v>
          </cell>
          <cell r="E4863" t="str">
            <v>Edible Oils</v>
          </cell>
        </row>
        <row r="4864">
          <cell r="B4864" t="str">
            <v>TEXEL INDUSTRIES Ltd</v>
          </cell>
          <cell r="C4864">
            <v>526638</v>
          </cell>
          <cell r="D4864" t="str">
            <v>TEXELIN</v>
          </cell>
          <cell r="E4864" t="str">
            <v>Plastic Products</v>
          </cell>
        </row>
        <row r="4865">
          <cell r="B4865" t="str">
            <v>Paos Industries Ltd</v>
          </cell>
          <cell r="C4865">
            <v>530291</v>
          </cell>
          <cell r="D4865" t="str">
            <v>PAOS</v>
          </cell>
          <cell r="E4865" t="str">
            <v>Edible Oils</v>
          </cell>
        </row>
        <row r="4866">
          <cell r="B4866" t="str">
            <v>SIDDHA VENTURES Ltd</v>
          </cell>
          <cell r="C4866">
            <v>530439</v>
          </cell>
          <cell r="D4866" t="str">
            <v>SIDDHA</v>
          </cell>
          <cell r="E4866" t="str">
            <v>Finance (including NBFCs)</v>
          </cell>
        </row>
        <row r="4867">
          <cell r="B4867" t="str">
            <v>KIRAN SYNTEX Ltd</v>
          </cell>
          <cell r="C4867">
            <v>530443</v>
          </cell>
          <cell r="D4867" t="str">
            <v>KIRANSY-B</v>
          </cell>
          <cell r="E4867" t="str">
            <v>Textiles</v>
          </cell>
        </row>
        <row r="4868">
          <cell r="B4868" t="str">
            <v>KANSAL FIBRES Ltd</v>
          </cell>
          <cell r="C4868">
            <v>531205</v>
          </cell>
          <cell r="D4868" t="str">
            <v>KANSAFB</v>
          </cell>
          <cell r="E4868" t="str">
            <v>Comm.Trading  &amp; Distribution</v>
          </cell>
        </row>
        <row r="4869">
          <cell r="B4869" t="str">
            <v>Xtglobal Infotech Ltd</v>
          </cell>
          <cell r="C4869">
            <v>531225</v>
          </cell>
          <cell r="D4869" t="str">
            <v>XTGLOBAL</v>
          </cell>
          <cell r="E4869" t="str">
            <v>IT Software Products</v>
          </cell>
        </row>
        <row r="4870">
          <cell r="B4870" t="str">
            <v>Saffron Industries Limited</v>
          </cell>
          <cell r="C4870">
            <v>531436</v>
          </cell>
          <cell r="D4870" t="str">
            <v>SAFFRON</v>
          </cell>
          <cell r="E4870" t="str">
            <v>Paper &amp; Paper Products</v>
          </cell>
        </row>
        <row r="4871">
          <cell r="B4871" t="str">
            <v>CENTERAC TECHNOLOGIES Ltd</v>
          </cell>
          <cell r="C4871">
            <v>531621</v>
          </cell>
          <cell r="D4871" t="str">
            <v>CENTERAC</v>
          </cell>
          <cell r="E4871" t="str">
            <v>Internet Software &amp; Services</v>
          </cell>
        </row>
        <row r="4872">
          <cell r="B4872" t="str">
            <v>Servoteach Industries Ltd</v>
          </cell>
          <cell r="C4872">
            <v>531944</v>
          </cell>
          <cell r="D4872" t="str">
            <v>SERVOTEACH</v>
          </cell>
          <cell r="E4872" t="str">
            <v>Industrial Machinery</v>
          </cell>
        </row>
        <row r="4873">
          <cell r="B4873" t="str">
            <v>SMC CREDITS Ltd</v>
          </cell>
          <cell r="C4873">
            <v>532138</v>
          </cell>
          <cell r="D4873" t="str">
            <v>SMCREDT</v>
          </cell>
          <cell r="E4873" t="str">
            <v>Finance (including NBFCs)</v>
          </cell>
        </row>
        <row r="4874">
          <cell r="B4874" t="str">
            <v>RAJ OIL MILLS Ltd</v>
          </cell>
          <cell r="C4874">
            <v>533093</v>
          </cell>
          <cell r="D4874" t="str">
            <v>RAJOIL</v>
          </cell>
          <cell r="E4874" t="str">
            <v>Edible Oils</v>
          </cell>
        </row>
        <row r="4875">
          <cell r="B4875" t="str">
            <v>Axis Mutual Fund - Axis Gold Exchange Traded Fund</v>
          </cell>
          <cell r="C4875">
            <v>533570</v>
          </cell>
          <cell r="D4875" t="str">
            <v>AXISGOLD</v>
          </cell>
          <cell r="E4875" t="str">
            <v xml:space="preserve"> </v>
          </cell>
        </row>
        <row r="4876">
          <cell r="B4876" t="str">
            <v>IDBI Mutual Fund - IDBI Gold ETF</v>
          </cell>
          <cell r="C4876">
            <v>533719</v>
          </cell>
          <cell r="D4876" t="str">
            <v>IDBIGOLD</v>
          </cell>
          <cell r="E4876" t="str">
            <v xml:space="preserve"> </v>
          </cell>
        </row>
        <row r="4877">
          <cell r="B4877" t="str">
            <v>SBI Mutual Fund - SBI Sensex ETF</v>
          </cell>
          <cell r="C4877">
            <v>535276</v>
          </cell>
          <cell r="D4877" t="str">
            <v>SBISENSEX</v>
          </cell>
          <cell r="E4877" t="str">
            <v xml:space="preserve"> </v>
          </cell>
        </row>
        <row r="4878">
          <cell r="B4878" t="str">
            <v>Motilal Oswal Mutual Fund - Motilal Oswal MOSt Shares Midcap 100 ETF- Growth option</v>
          </cell>
          <cell r="C4878">
            <v>536960</v>
          </cell>
          <cell r="D4878" t="str">
            <v>M100</v>
          </cell>
          <cell r="E4878" t="str">
            <v xml:space="preserve"> </v>
          </cell>
        </row>
        <row r="4879">
          <cell r="B4879" t="str">
            <v>ICICI Prudential Nifty ETF</v>
          </cell>
          <cell r="C4879">
            <v>537007</v>
          </cell>
          <cell r="D4879" t="str">
            <v>ICICINIFTY</v>
          </cell>
          <cell r="E4879" t="str">
            <v xml:space="preserve"> </v>
          </cell>
        </row>
        <row r="4880">
          <cell r="B4880" t="str">
            <v>ICICI Prudential Nifty 100 ETF</v>
          </cell>
          <cell r="C4880">
            <v>537008</v>
          </cell>
          <cell r="D4880" t="str">
            <v>ICICINF100</v>
          </cell>
          <cell r="E4880" t="str">
            <v xml:space="preserve"> </v>
          </cell>
        </row>
        <row r="4881">
          <cell r="B4881" t="str">
            <v>NIPPON INDIA ETF NIFTY 100</v>
          </cell>
          <cell r="C4881">
            <v>537483</v>
          </cell>
          <cell r="D4881" t="str">
            <v>NETFNIF100</v>
          </cell>
          <cell r="E4881" t="str">
            <v xml:space="preserve"> </v>
          </cell>
        </row>
        <row r="4882">
          <cell r="B4882" t="str">
            <v>Kotak Mahindra Mutual Fund - Kotak Nifty ETF</v>
          </cell>
          <cell r="C4882">
            <v>537708</v>
          </cell>
          <cell r="D4882" t="str">
            <v>KOTAKNIFTY</v>
          </cell>
          <cell r="E4882" t="str">
            <v xml:space="preserve"> </v>
          </cell>
        </row>
        <row r="4883">
          <cell r="B4883" t="str">
            <v>CPSE ETF</v>
          </cell>
          <cell r="C4883">
            <v>538057</v>
          </cell>
          <cell r="D4883" t="str">
            <v>CPSEETF</v>
          </cell>
          <cell r="E4883" t="str">
            <v xml:space="preserve"> </v>
          </cell>
        </row>
        <row r="4884">
          <cell r="B4884" t="str">
            <v>Response Informatics Ltd</v>
          </cell>
          <cell r="C4884">
            <v>538273</v>
          </cell>
          <cell r="D4884" t="str">
            <v>RESPONSINF</v>
          </cell>
          <cell r="E4884" t="str">
            <v>IT Software Products</v>
          </cell>
        </row>
        <row r="4885">
          <cell r="B4885" t="str">
            <v>Quasar India Ltd</v>
          </cell>
          <cell r="C4885">
            <v>538452</v>
          </cell>
          <cell r="D4885" t="str">
            <v>QUASAR</v>
          </cell>
          <cell r="E4885" t="str">
            <v>Comm.Trading  &amp; Distribution</v>
          </cell>
        </row>
        <row r="4886">
          <cell r="B4886" t="str">
            <v>ICICI Prudential Growth Fund Series 1 (Regular Dividend Payout)</v>
          </cell>
          <cell r="C4886">
            <v>538501</v>
          </cell>
          <cell r="D4886" t="str">
            <v>IPRU2401</v>
          </cell>
          <cell r="E4886" t="str">
            <v xml:space="preserve"> </v>
          </cell>
        </row>
        <row r="4887">
          <cell r="B4887" t="str">
            <v>ICICI Prudential Growth Fund Series 1 (Direct Dividend Option)</v>
          </cell>
          <cell r="C4887">
            <v>538502</v>
          </cell>
          <cell r="D4887" t="str">
            <v>IPRU8601</v>
          </cell>
          <cell r="E4887" t="str">
            <v xml:space="preserve"> </v>
          </cell>
        </row>
        <row r="4888">
          <cell r="B4888" t="str">
            <v>ICICI Prudential Growth Fund Series 2 (Regular Plan - Dividend Payout Option)</v>
          </cell>
          <cell r="C4888">
            <v>538577</v>
          </cell>
          <cell r="D4888" t="str">
            <v>IPRU2428</v>
          </cell>
          <cell r="E4888" t="str">
            <v xml:space="preserve"> </v>
          </cell>
        </row>
        <row r="4889">
          <cell r="B4889" t="str">
            <v>ICICI Prudential Growth Fund Series 2 (Direct Plan - Dividend Payout Option)</v>
          </cell>
          <cell r="C4889">
            <v>538578</v>
          </cell>
          <cell r="D4889" t="str">
            <v>IPRU8628</v>
          </cell>
          <cell r="E4889" t="str">
            <v xml:space="preserve"> </v>
          </cell>
        </row>
        <row r="4890">
          <cell r="B4890" t="str">
            <v>QGO Finance Ltd</v>
          </cell>
          <cell r="C4890">
            <v>538646</v>
          </cell>
          <cell r="D4890" t="str">
            <v>QGO</v>
          </cell>
          <cell r="E4890" t="str">
            <v>Finance (including NBFCs)</v>
          </cell>
        </row>
        <row r="4891">
          <cell r="B4891" t="str">
            <v>NIPPON INDIA ETF SENSEX</v>
          </cell>
          <cell r="C4891">
            <v>538683</v>
          </cell>
          <cell r="D4891" t="str">
            <v>NETFSENSEX</v>
          </cell>
          <cell r="E4891" t="str">
            <v xml:space="preserve"> </v>
          </cell>
        </row>
        <row r="4892">
          <cell r="B4892" t="str">
            <v>ICICI Prudential Growth Fund Series 3 (Regular Plan - Dividend Payout Option)</v>
          </cell>
          <cell r="C4892">
            <v>538728</v>
          </cell>
          <cell r="D4892" t="str">
            <v>IPRU2511</v>
          </cell>
          <cell r="E4892" t="str">
            <v xml:space="preserve"> </v>
          </cell>
        </row>
        <row r="4893">
          <cell r="B4893" t="str">
            <v>ICICI Prudential Growth Fund Series 3 (Direct Plan - Dividend Payout Option)</v>
          </cell>
          <cell r="C4893">
            <v>538729</v>
          </cell>
          <cell r="D4893" t="str">
            <v>IPRU8711</v>
          </cell>
          <cell r="E4893" t="str">
            <v xml:space="preserve"> </v>
          </cell>
        </row>
        <row r="4894">
          <cell r="B4894" t="str">
            <v>DSP BlackRock 3 Years Close Ended Equity Fund-Regular- Growth</v>
          </cell>
          <cell r="C4894">
            <v>538808</v>
          </cell>
          <cell r="D4894" t="str">
            <v>D3YRCEERG</v>
          </cell>
          <cell r="E4894" t="str">
            <v xml:space="preserve"> </v>
          </cell>
        </row>
        <row r="4895">
          <cell r="B4895" t="str">
            <v>DSP BlackRock 3 Years Close Ended Equity Fund-Regular- Dividend Payout</v>
          </cell>
          <cell r="C4895">
            <v>538809</v>
          </cell>
          <cell r="D4895" t="str">
            <v>D3YRCEERDP</v>
          </cell>
          <cell r="E4895" t="str">
            <v xml:space="preserve"> </v>
          </cell>
        </row>
        <row r="4896">
          <cell r="B4896" t="str">
            <v>DSP BlackRock 3 Years Close Ended Equity Fund- Direct Plan - Growth</v>
          </cell>
          <cell r="C4896">
            <v>538810</v>
          </cell>
          <cell r="D4896" t="str">
            <v>D3YRCEEDG</v>
          </cell>
          <cell r="E4896" t="str">
            <v xml:space="preserve"> </v>
          </cell>
        </row>
        <row r="4897">
          <cell r="B4897" t="str">
            <v>DSP BlackRock 3 Years Close Ended Equity Fund-Direct Plan - Dividend Payout</v>
          </cell>
          <cell r="C4897">
            <v>538811</v>
          </cell>
          <cell r="D4897" t="str">
            <v>D3YRCEEDDP</v>
          </cell>
          <cell r="E4897" t="str">
            <v xml:space="preserve"> </v>
          </cell>
        </row>
        <row r="4898">
          <cell r="B4898" t="str">
            <v>SBI Mutual Fund - SBI - ETF BSE 100</v>
          </cell>
          <cell r="C4898">
            <v>539031</v>
          </cell>
          <cell r="D4898" t="str">
            <v>SETFBSE100</v>
          </cell>
          <cell r="E4898" t="str">
            <v xml:space="preserve"> </v>
          </cell>
        </row>
        <row r="4899">
          <cell r="B4899" t="str">
            <v>Rajputana Investment and Finance Ltd</v>
          </cell>
          <cell r="C4899">
            <v>539090</v>
          </cell>
          <cell r="D4899" t="str">
            <v>RAJPUTANA</v>
          </cell>
          <cell r="E4899" t="str">
            <v>Finance (including NBFCs)</v>
          </cell>
        </row>
        <row r="4900">
          <cell r="B4900" t="str">
            <v>Edelweiss Mutual Fund - Edelweiss Exchange Traded Scheme - Nifty ( Nifty EES )</v>
          </cell>
          <cell r="C4900">
            <v>539142</v>
          </cell>
          <cell r="D4900" t="str">
            <v>NIFTYEES</v>
          </cell>
          <cell r="E4900" t="str">
            <v xml:space="preserve"> </v>
          </cell>
        </row>
        <row r="4901">
          <cell r="B4901" t="str">
            <v>Boston Leasing and Finance Ltd</v>
          </cell>
          <cell r="C4901">
            <v>539274</v>
          </cell>
          <cell r="D4901" t="str">
            <v>BLFL</v>
          </cell>
          <cell r="E4901" t="str">
            <v>Finance (including NBFCs)</v>
          </cell>
        </row>
        <row r="4902">
          <cell r="B4902" t="str">
            <v>UTI- SENSEX ETF</v>
          </cell>
          <cell r="C4902">
            <v>539312</v>
          </cell>
          <cell r="D4902" t="str">
            <v>UTISENSETF</v>
          </cell>
          <cell r="E4902" t="str">
            <v xml:space="preserve"> </v>
          </cell>
        </row>
        <row r="4903">
          <cell r="B4903" t="str">
            <v>UTI NIFTY ETF</v>
          </cell>
          <cell r="C4903">
            <v>539313</v>
          </cell>
          <cell r="D4903" t="str">
            <v>UTINIFTETF</v>
          </cell>
          <cell r="E4903" t="str">
            <v xml:space="preserve"> </v>
          </cell>
        </row>
        <row r="4904">
          <cell r="B4904" t="str">
            <v>LIC MF EXCHANGE TRADED FUND- NIFTY 50</v>
          </cell>
          <cell r="C4904">
            <v>539480</v>
          </cell>
          <cell r="D4904" t="str">
            <v>LICNETFN50</v>
          </cell>
          <cell r="E4904" t="str">
            <v xml:space="preserve"> </v>
          </cell>
        </row>
        <row r="4905">
          <cell r="B4905" t="str">
            <v>LIC MF EXCHANGE TRADED FUND- SENSEX</v>
          </cell>
          <cell r="C4905">
            <v>539487</v>
          </cell>
          <cell r="D4905" t="str">
            <v>LICNETFSEN</v>
          </cell>
          <cell r="E4905" t="str">
            <v xml:space="preserve"> </v>
          </cell>
        </row>
        <row r="4906">
          <cell r="B4906" t="str">
            <v>HDFC Nifty ETF</v>
          </cell>
          <cell r="C4906">
            <v>539516</v>
          </cell>
          <cell r="D4906" t="str">
            <v>HDFCNIFETF</v>
          </cell>
          <cell r="E4906" t="str">
            <v xml:space="preserve"> </v>
          </cell>
        </row>
        <row r="4907">
          <cell r="B4907" t="str">
            <v>HDFC Sensex ETF - Open Ended Traded Fund</v>
          </cell>
          <cell r="C4907">
            <v>539517</v>
          </cell>
          <cell r="D4907" t="str">
            <v>SXETF</v>
          </cell>
          <cell r="E4907" t="str">
            <v xml:space="preserve"> </v>
          </cell>
        </row>
        <row r="4908">
          <cell r="B4908" t="str">
            <v>Roxy Exports Ltd</v>
          </cell>
          <cell r="C4908">
            <v>539561</v>
          </cell>
          <cell r="D4908" t="str">
            <v>ROXY</v>
          </cell>
          <cell r="E4908" t="str">
            <v>Comm.Trading  &amp; Distribution</v>
          </cell>
        </row>
        <row r="4909">
          <cell r="B4909" t="str">
            <v>LIC MF Exchange Traded Fund- NIFTY 100</v>
          </cell>
          <cell r="C4909">
            <v>539784</v>
          </cell>
          <cell r="D4909" t="str">
            <v>LICNFNHGP</v>
          </cell>
          <cell r="E4909" t="str">
            <v xml:space="preserve"> </v>
          </cell>
        </row>
        <row r="4910">
          <cell r="B4910" t="str">
            <v>ICICI Prudential NV20 ETF</v>
          </cell>
          <cell r="C4910">
            <v>539945</v>
          </cell>
          <cell r="D4910" t="str">
            <v>ICICINV20</v>
          </cell>
          <cell r="E4910" t="str">
            <v xml:space="preserve"> </v>
          </cell>
        </row>
        <row r="4911">
          <cell r="B4911" t="str">
            <v>ICICI Prudential Midcap Select ETF</v>
          </cell>
          <cell r="C4911">
            <v>539980</v>
          </cell>
          <cell r="D4911" t="str">
            <v>ICICIMCAP</v>
          </cell>
          <cell r="E4911" t="str">
            <v xml:space="preserve"> </v>
          </cell>
        </row>
        <row r="4912">
          <cell r="B4912" t="str">
            <v>BIRLA SUN LIFE SENSEX ETF</v>
          </cell>
          <cell r="C4912">
            <v>540008</v>
          </cell>
          <cell r="D4912" t="str">
            <v>BSLSENETFG</v>
          </cell>
          <cell r="E4912" t="str">
            <v xml:space="preserve"> </v>
          </cell>
        </row>
        <row r="4913">
          <cell r="B4913" t="str">
            <v>IDFC SENSEX ETF</v>
          </cell>
          <cell r="C4913">
            <v>540154</v>
          </cell>
          <cell r="D4913" t="str">
            <v>IDFSENSEXE</v>
          </cell>
          <cell r="E4913" t="str">
            <v xml:space="preserve"> </v>
          </cell>
        </row>
        <row r="4914">
          <cell r="B4914" t="str">
            <v>Axis Emerging Opportunities Fund-SR 2 (1400 D)-Direct Plan-Dividend Payout</v>
          </cell>
          <cell r="C4914">
            <v>540333</v>
          </cell>
          <cell r="D4914" t="str">
            <v>AXISE2D1D</v>
          </cell>
          <cell r="E4914" t="str">
            <v xml:space="preserve"> </v>
          </cell>
        </row>
        <row r="4915">
          <cell r="B4915" t="str">
            <v>Axis Emerging Opportunities Fund-SR 2 (1400 D)-Direct Plan-Growth</v>
          </cell>
          <cell r="C4915">
            <v>540334</v>
          </cell>
          <cell r="D4915" t="str">
            <v>AXISE2DGG</v>
          </cell>
          <cell r="E4915" t="str">
            <v xml:space="preserve"> </v>
          </cell>
        </row>
        <row r="4916">
          <cell r="B4916" t="str">
            <v>Axis Emerging Opportunities Fund-SR 2 (1400 D)-Regular Plan-Dividend Payout</v>
          </cell>
          <cell r="C4916">
            <v>540335</v>
          </cell>
          <cell r="D4916" t="str">
            <v>AXISE2DPD</v>
          </cell>
          <cell r="E4916" t="str">
            <v xml:space="preserve"> </v>
          </cell>
        </row>
        <row r="4917">
          <cell r="B4917" t="str">
            <v>Axis Emerging Opportunities Fund-SR 2 (1400 D)-Regular Plan-Growth</v>
          </cell>
          <cell r="C4917">
            <v>540336</v>
          </cell>
          <cell r="D4917" t="str">
            <v>AXISE2GPG</v>
          </cell>
          <cell r="E4917" t="str">
            <v xml:space="preserve"> </v>
          </cell>
        </row>
        <row r="4918">
          <cell r="B4918" t="str">
            <v>ICICI Prudential Value Fund Series 12 - Dividend Payout Option</v>
          </cell>
          <cell r="C4918">
            <v>540469</v>
          </cell>
          <cell r="D4918" t="str">
            <v>IPRU2933</v>
          </cell>
          <cell r="E4918" t="str">
            <v xml:space="preserve"> </v>
          </cell>
        </row>
        <row r="4919">
          <cell r="B4919" t="str">
            <v>ICICI Prudential Value Fund Series 12 - Direct Plan Dividend Payout Option</v>
          </cell>
          <cell r="C4919">
            <v>540470</v>
          </cell>
          <cell r="D4919" t="str">
            <v>IPRU9135</v>
          </cell>
          <cell r="E4919" t="str">
            <v xml:space="preserve"> </v>
          </cell>
        </row>
        <row r="4920">
          <cell r="B4920" t="str">
            <v>ICICI Prudential Value Fund- Series 13- Dividend Payout Option</v>
          </cell>
          <cell r="C4920">
            <v>540538</v>
          </cell>
          <cell r="D4920" t="str">
            <v>IPRU2955</v>
          </cell>
          <cell r="E4920" t="str">
            <v xml:space="preserve"> </v>
          </cell>
        </row>
        <row r="4921">
          <cell r="B4921" t="str">
            <v>ICICI Prudential Value Fund Series- 13- Direct Plan Dividend Payout Option</v>
          </cell>
          <cell r="C4921">
            <v>540539</v>
          </cell>
          <cell r="D4921" t="str">
            <v>IPRU9157</v>
          </cell>
          <cell r="E4921" t="str">
            <v xml:space="preserve"> </v>
          </cell>
        </row>
        <row r="4922">
          <cell r="B4922" t="str">
            <v>Axis Equity Advantage Fund- Series 1 Direct Plan- Growth</v>
          </cell>
          <cell r="C4922">
            <v>540551</v>
          </cell>
          <cell r="D4922" t="str">
            <v>AXISAEDGG</v>
          </cell>
          <cell r="E4922" t="str">
            <v xml:space="preserve"> </v>
          </cell>
        </row>
        <row r="4923">
          <cell r="B4923" t="str">
            <v>Axis Equity Advantage Fund- Series 1 Regular Plan- Growth</v>
          </cell>
          <cell r="C4923">
            <v>540552</v>
          </cell>
          <cell r="D4923" t="str">
            <v>AXISAEGPG</v>
          </cell>
          <cell r="E4923" t="str">
            <v xml:space="preserve"> </v>
          </cell>
        </row>
        <row r="4924">
          <cell r="B4924" t="str">
            <v>ICICI Prudential Value Fund Series 14 - Cumulative</v>
          </cell>
          <cell r="C4924">
            <v>540586</v>
          </cell>
          <cell r="D4924" t="str">
            <v>IPRU2969</v>
          </cell>
          <cell r="E4924" t="str">
            <v xml:space="preserve"> </v>
          </cell>
        </row>
        <row r="4925">
          <cell r="B4925" t="str">
            <v>ICICI Prudential Value Fund Series 14 - Dividend Payout</v>
          </cell>
          <cell r="C4925">
            <v>540587</v>
          </cell>
          <cell r="D4925" t="str">
            <v>IPRU2970</v>
          </cell>
          <cell r="E4925" t="str">
            <v xml:space="preserve"> </v>
          </cell>
        </row>
        <row r="4926">
          <cell r="B4926" t="str">
            <v>ICICI Prudential Value Fund Series 14 - Direct Plan Cumulative</v>
          </cell>
          <cell r="C4926">
            <v>540588</v>
          </cell>
          <cell r="D4926" t="str">
            <v>IPRU9171</v>
          </cell>
          <cell r="E4926" t="str">
            <v xml:space="preserve"> </v>
          </cell>
        </row>
        <row r="4927">
          <cell r="B4927" t="str">
            <v>ICICI Prudential Value Fund Series 14 - Direct Plan Dividend Payout</v>
          </cell>
          <cell r="C4927">
            <v>540589</v>
          </cell>
          <cell r="D4927" t="str">
            <v>IPRU9172</v>
          </cell>
          <cell r="E4927" t="str">
            <v xml:space="preserve"> </v>
          </cell>
        </row>
        <row r="4928">
          <cell r="B4928" t="str">
            <v>HDFC EOF- II- 1126D May 2017(1)  plan under HDFC Equity Opportunities Fund- Series 2- Direct</v>
          </cell>
          <cell r="C4928">
            <v>540591</v>
          </cell>
          <cell r="D4928" t="str">
            <v>HEOFDG1126</v>
          </cell>
          <cell r="E4928" t="str">
            <v xml:space="preserve"> </v>
          </cell>
        </row>
        <row r="4929">
          <cell r="B4929" t="str">
            <v>HDFC EOF - II - 1126D May 2017(1)  plan under HDFC Equity Opportunities Fund - Series 2 - Direct</v>
          </cell>
          <cell r="C4929">
            <v>540592</v>
          </cell>
          <cell r="D4929" t="str">
            <v>HEOFDD1126</v>
          </cell>
          <cell r="E4929" t="str">
            <v xml:space="preserve"> </v>
          </cell>
        </row>
        <row r="4930">
          <cell r="B4930" t="str">
            <v>HDFC EOF- II - 1126D May 2017(1) plan under HDFC Equity Opportunities Fund - Series2 - Regular</v>
          </cell>
          <cell r="C4930">
            <v>540593</v>
          </cell>
          <cell r="D4930" t="str">
            <v>HEOFRG1126</v>
          </cell>
          <cell r="E4930" t="str">
            <v xml:space="preserve"> </v>
          </cell>
        </row>
        <row r="4931">
          <cell r="B4931" t="str">
            <v>HDFC EOF - II - 1126D May 2017(1)  plan under HDFC Equity Opportunities Fund - Series 2 - Regular</v>
          </cell>
          <cell r="C4931">
            <v>540594</v>
          </cell>
          <cell r="D4931" t="str">
            <v>HEOFRD1126</v>
          </cell>
          <cell r="E4931" t="str">
            <v xml:space="preserve"> </v>
          </cell>
        </row>
        <row r="4932">
          <cell r="B4932" t="str">
            <v>ICICI Prudential Nifty Low Vol 30 ETF</v>
          </cell>
          <cell r="C4932">
            <v>540612</v>
          </cell>
          <cell r="D4932" t="str">
            <v>ICICILOVOL</v>
          </cell>
          <cell r="E4932" t="str">
            <v xml:space="preserve"> </v>
          </cell>
        </row>
        <row r="4933">
          <cell r="B4933" t="str">
            <v>Aditya Birla Sun Life RESURGENT INDIA FUND â€“ SERIES 4 REGULAR GROWTH</v>
          </cell>
          <cell r="C4933">
            <v>540617</v>
          </cell>
          <cell r="D4933" t="str">
            <v>BSLRIFS4RG</v>
          </cell>
          <cell r="E4933" t="str">
            <v xml:space="preserve"> </v>
          </cell>
        </row>
        <row r="4934">
          <cell r="B4934" t="str">
            <v>Aditya Birla Sun Life RESURGENT INDIA FUND â€“ SERIES 4 REGULAR DIVIDEND</v>
          </cell>
          <cell r="C4934">
            <v>540618</v>
          </cell>
          <cell r="D4934" t="str">
            <v>BSLRIFS4RD</v>
          </cell>
          <cell r="E4934" t="str">
            <v xml:space="preserve"> </v>
          </cell>
        </row>
        <row r="4935">
          <cell r="B4935" t="str">
            <v>Aditya Birla Sun Life RESURGENT INDIA FUND â€“ SERIES 4 DIRECT GROWTH</v>
          </cell>
          <cell r="C4935">
            <v>540619</v>
          </cell>
          <cell r="D4935" t="str">
            <v>BSLRIFS4DG</v>
          </cell>
          <cell r="E4935" t="str">
            <v xml:space="preserve"> </v>
          </cell>
        </row>
        <row r="4936">
          <cell r="B4936" t="str">
            <v>Aditya Birla Sun Life RESURGENT INDIA FUND â€“ SERIES 4 DIRECT DIVIDEND</v>
          </cell>
          <cell r="C4936">
            <v>540620</v>
          </cell>
          <cell r="D4936" t="str">
            <v>BSLRIFS4DD</v>
          </cell>
          <cell r="E4936" t="str">
            <v xml:space="preserve"> </v>
          </cell>
        </row>
        <row r="4937">
          <cell r="B4937" t="str">
            <v>ICICI PRUDENTIAL VALUE FUND-SERIES 15-CUMULATIVE</v>
          </cell>
          <cell r="C4937">
            <v>540626</v>
          </cell>
          <cell r="D4937" t="str">
            <v>IPRU2987</v>
          </cell>
          <cell r="E4937" t="str">
            <v xml:space="preserve"> </v>
          </cell>
        </row>
        <row r="4938">
          <cell r="B4938" t="str">
            <v>ICICI PRUDENTIAL VALUE FUND-SERIES 15-DIVIDEND PAYOUT</v>
          </cell>
          <cell r="C4938">
            <v>540627</v>
          </cell>
          <cell r="D4938" t="str">
            <v>IPRU2988</v>
          </cell>
          <cell r="E4938" t="str">
            <v xml:space="preserve"> </v>
          </cell>
        </row>
        <row r="4939">
          <cell r="B4939" t="str">
            <v>ICICI PRUDENTIAL VALUE FUND-SERIES 15-DIRECT PLAN CUMULATIVE</v>
          </cell>
          <cell r="C4939">
            <v>540629</v>
          </cell>
          <cell r="D4939" t="str">
            <v>IPRU9189</v>
          </cell>
          <cell r="E4939" t="str">
            <v xml:space="preserve"> </v>
          </cell>
        </row>
        <row r="4940">
          <cell r="B4940" t="str">
            <v>ICICI PRUDENTIAL VALUE FUND-SERIES 15-DIRECT PLAN DIVIDEND PAYOUT</v>
          </cell>
          <cell r="C4940">
            <v>540631</v>
          </cell>
          <cell r="D4940" t="str">
            <v>IPRU9190</v>
          </cell>
          <cell r="E4940" t="str">
            <v xml:space="preserve"> </v>
          </cell>
        </row>
        <row r="4941">
          <cell r="B4941" t="str">
            <v>HDFC EQUITY OPPORTUNITIES FUND-II-1100D JUNE 2017(1) SERIES 2-DIRECT OPTION-GROWTH OPTION</v>
          </cell>
          <cell r="C4941">
            <v>540634</v>
          </cell>
          <cell r="D4941" t="str">
            <v>HEOFDG1100</v>
          </cell>
          <cell r="E4941" t="str">
            <v xml:space="preserve"> </v>
          </cell>
        </row>
        <row r="4942">
          <cell r="B4942" t="str">
            <v>HDFC EQUITY OPPORTUNITIES FUND-II-1100D JUNE 2017(1) SERIES 2-DIRECT OPTION-DIVIDEND PAYOUT OPTION</v>
          </cell>
          <cell r="C4942">
            <v>540635</v>
          </cell>
          <cell r="D4942" t="str">
            <v>HEOFDD1100</v>
          </cell>
          <cell r="E4942" t="str">
            <v xml:space="preserve"> </v>
          </cell>
        </row>
        <row r="4943">
          <cell r="B4943" t="str">
            <v>HDFC EQUITY OPPORTUNITIES FUND-II-1100D JUNE 2017(1) SERIES 2-REGULAR OPTION-GROWTH OPTION</v>
          </cell>
          <cell r="C4943">
            <v>540636</v>
          </cell>
          <cell r="D4943" t="str">
            <v>HEOFRG1100</v>
          </cell>
          <cell r="E4943" t="str">
            <v xml:space="preserve"> </v>
          </cell>
        </row>
        <row r="4944">
          <cell r="B4944" t="str">
            <v>HDFC EQUITY OPPORTUNITIES FUND-II-1100D JUNE 2017(1) SERIES 2-REGULAR OPTION-DIVIDEND PAYOUT OPTION</v>
          </cell>
          <cell r="C4944">
            <v>540637</v>
          </cell>
          <cell r="D4944" t="str">
            <v>HEOFRD1100</v>
          </cell>
          <cell r="E4944" t="str">
            <v xml:space="preserve"> </v>
          </cell>
        </row>
        <row r="4945">
          <cell r="B4945" t="str">
            <v>UTI Nifty Next 50 ETF</v>
          </cell>
          <cell r="C4945">
            <v>540669</v>
          </cell>
          <cell r="D4945" t="str">
            <v>UTINEXT50</v>
          </cell>
          <cell r="E4945" t="str">
            <v xml:space="preserve"> </v>
          </cell>
        </row>
        <row r="4946">
          <cell r="B4946" t="str">
            <v>Axis Equity Advantage Fund - Series 2 Direct Plan - Growth</v>
          </cell>
          <cell r="C4946">
            <v>540671</v>
          </cell>
          <cell r="D4946" t="str">
            <v>AXISAHDGG</v>
          </cell>
          <cell r="E4946" t="str">
            <v xml:space="preserve"> </v>
          </cell>
        </row>
        <row r="4947">
          <cell r="B4947" t="str">
            <v>Axis Equity Advantage Fund - Series 2 Regular Plan - Growth</v>
          </cell>
          <cell r="C4947">
            <v>540672</v>
          </cell>
          <cell r="D4947" t="str">
            <v>AXISAHGPG</v>
          </cell>
          <cell r="E4947" t="str">
            <v xml:space="preserve"> </v>
          </cell>
        </row>
        <row r="4948">
          <cell r="B4948" t="str">
            <v>ICICI Prudential Value Fund - Series 16 - Cumulative Option</v>
          </cell>
          <cell r="C4948">
            <v>540682</v>
          </cell>
          <cell r="D4948" t="str">
            <v>IPRU2991</v>
          </cell>
          <cell r="E4948" t="str">
            <v xml:space="preserve"> </v>
          </cell>
        </row>
        <row r="4949">
          <cell r="B4949" t="str">
            <v>ICICI Prudential Value Fund - Series 16 - Dividend Payout Option</v>
          </cell>
          <cell r="C4949">
            <v>540683</v>
          </cell>
          <cell r="D4949" t="str">
            <v>IPRU2992</v>
          </cell>
          <cell r="E4949" t="str">
            <v xml:space="preserve"> </v>
          </cell>
        </row>
        <row r="4950">
          <cell r="B4950" t="str">
            <v>ICICI Prudential Value Fund - Series 16 - Direct Plan Cumulative Option</v>
          </cell>
          <cell r="C4950">
            <v>540684</v>
          </cell>
          <cell r="D4950" t="str">
            <v>IPRU9193</v>
          </cell>
          <cell r="E4950" t="str">
            <v xml:space="preserve"> </v>
          </cell>
        </row>
        <row r="4951">
          <cell r="B4951" t="str">
            <v>ICICI Prudential Value Fund - Series 16 - Direct Plan Dividend Payout Option</v>
          </cell>
          <cell r="C4951">
            <v>540685</v>
          </cell>
          <cell r="D4951" t="str">
            <v>IPRU9194</v>
          </cell>
          <cell r="E4951" t="str">
            <v xml:space="preserve"> </v>
          </cell>
        </row>
        <row r="4952">
          <cell r="B4952" t="str">
            <v>ICICI PRUDENTIAL VALUE FUND SERIES 17 - CUMULATIVE OPTION</v>
          </cell>
          <cell r="C4952">
            <v>540711</v>
          </cell>
          <cell r="D4952" t="str">
            <v>IPRU3003</v>
          </cell>
          <cell r="E4952" t="str">
            <v xml:space="preserve"> </v>
          </cell>
        </row>
        <row r="4953">
          <cell r="B4953" t="str">
            <v>ICICI PRUDENTIAL VALUE FUND SERIES 17 - DIVIDEND OPTION</v>
          </cell>
          <cell r="C4953">
            <v>540712</v>
          </cell>
          <cell r="D4953" t="str">
            <v>IPRU3004</v>
          </cell>
          <cell r="E4953" t="str">
            <v xml:space="preserve"> </v>
          </cell>
        </row>
        <row r="4954">
          <cell r="B4954" t="str">
            <v>ICICI PRUDENTIAL VALUE FUND SERIES 17 - DIRECT PLAN CUMULATIVE OPTION</v>
          </cell>
          <cell r="C4954">
            <v>540713</v>
          </cell>
          <cell r="D4954" t="str">
            <v>IPRU9205</v>
          </cell>
          <cell r="E4954" t="str">
            <v xml:space="preserve"> </v>
          </cell>
        </row>
        <row r="4955">
          <cell r="B4955" t="str">
            <v>ICICI PRUDENTIAL VALUE FUND SERIES 17 - DIRECT PLAN DIVIDEND OPTION</v>
          </cell>
          <cell r="C4955">
            <v>540714</v>
          </cell>
          <cell r="D4955" t="str">
            <v>IPRU9206</v>
          </cell>
          <cell r="E4955" t="str">
            <v xml:space="preserve"> </v>
          </cell>
        </row>
        <row r="4956">
          <cell r="B4956" t="str">
            <v>Aditya Birla Sun Life Resurgent India Fund - Series 5 - Regular Plan Growth</v>
          </cell>
          <cell r="C4956">
            <v>540739</v>
          </cell>
          <cell r="D4956" t="str">
            <v>ABSLRIF5RG</v>
          </cell>
          <cell r="E4956" t="str">
            <v xml:space="preserve"> </v>
          </cell>
        </row>
        <row r="4957">
          <cell r="B4957" t="str">
            <v>Aditya Birla Sun Life Resurgent India Fund - Series 5 - Regular Plan Dividend Payout</v>
          </cell>
          <cell r="C4957">
            <v>540740</v>
          </cell>
          <cell r="D4957" t="str">
            <v>ABSLRIF5RD</v>
          </cell>
          <cell r="E4957" t="str">
            <v xml:space="preserve"> </v>
          </cell>
        </row>
        <row r="4958">
          <cell r="B4958" t="str">
            <v>Aditya Birla Sun Life Resurgent India Fund - Series 5 - Direct Plan Growth</v>
          </cell>
          <cell r="C4958">
            <v>540741</v>
          </cell>
          <cell r="D4958" t="str">
            <v>ABSLRIF5DG</v>
          </cell>
          <cell r="E4958" t="str">
            <v xml:space="preserve"> </v>
          </cell>
        </row>
        <row r="4959">
          <cell r="B4959" t="str">
            <v>Aditya Birla Sun Life Resurgent India Fund - Series 5 - Direct Plan Dividend Payout</v>
          </cell>
          <cell r="C4959">
            <v>540742</v>
          </cell>
          <cell r="D4959" t="str">
            <v>ABSLRIF5DD</v>
          </cell>
          <cell r="E4959" t="str">
            <v xml:space="preserve"> </v>
          </cell>
        </row>
        <row r="4960">
          <cell r="B4960" t="str">
            <v>ICICI Prudential Value Fund Series 18 - Cumulative Option</v>
          </cell>
          <cell r="C4960">
            <v>540763</v>
          </cell>
          <cell r="D4960" t="str">
            <v>IPRU3013</v>
          </cell>
          <cell r="E4960" t="str">
            <v xml:space="preserve"> </v>
          </cell>
        </row>
        <row r="4961">
          <cell r="B4961" t="str">
            <v>ICICI Prudential Value Fund Series 18 - Dividend Payout Option</v>
          </cell>
          <cell r="C4961">
            <v>540764</v>
          </cell>
          <cell r="D4961" t="str">
            <v>IPRU3014</v>
          </cell>
          <cell r="E4961" t="str">
            <v xml:space="preserve"> </v>
          </cell>
        </row>
        <row r="4962">
          <cell r="B4962" t="str">
            <v>ICICI Prudential Value Fund Series 18 - Direct Plan Cumulative Option</v>
          </cell>
          <cell r="C4962">
            <v>540765</v>
          </cell>
          <cell r="D4962" t="str">
            <v>IPRU9215</v>
          </cell>
          <cell r="E4962" t="str">
            <v xml:space="preserve"> </v>
          </cell>
        </row>
        <row r="4963">
          <cell r="B4963" t="str">
            <v>ICICI Prudential Value Fund Series 18 - Direct Plan Dividend Payout Option</v>
          </cell>
          <cell r="C4963">
            <v>540766</v>
          </cell>
          <cell r="D4963" t="str">
            <v>IPRU9216</v>
          </cell>
          <cell r="E4963" t="str">
            <v xml:space="preserve"> </v>
          </cell>
        </row>
        <row r="4964">
          <cell r="B4964" t="str">
            <v>NIPPON INDIA MUTUAL FUND  CAPITAL BUILDER FD SR B DR DVP 06JN21</v>
          </cell>
          <cell r="C4964">
            <v>540778</v>
          </cell>
          <cell r="D4964" t="str">
            <v>NCBFIVBDD</v>
          </cell>
          <cell r="E4964" t="str">
            <v xml:space="preserve"> </v>
          </cell>
        </row>
        <row r="4965">
          <cell r="B4965" t="str">
            <v>NIPPON INDIA MUTUAL FUND  CAPITAL BUILDER FD SR B DR GWTH 06JN21</v>
          </cell>
          <cell r="C4965">
            <v>540779</v>
          </cell>
          <cell r="D4965" t="str">
            <v>NCBFIVBDG</v>
          </cell>
          <cell r="E4965" t="str">
            <v xml:space="preserve"> </v>
          </cell>
        </row>
        <row r="4966">
          <cell r="B4966" t="str">
            <v>NIPPON INDIA MUTUAL FUND  CAPITAL BUILDER FD SR B RG DVP 06JN21</v>
          </cell>
          <cell r="C4966">
            <v>540780</v>
          </cell>
          <cell r="D4966" t="str">
            <v>NCBFIVBD</v>
          </cell>
          <cell r="E4966" t="str">
            <v xml:space="preserve"> </v>
          </cell>
        </row>
        <row r="4967">
          <cell r="B4967" t="str">
            <v>NIPPON INDIA MUTUAL FUND  CAPITAL BUILDER FD SR B RG GWTH 06JN21</v>
          </cell>
          <cell r="C4967">
            <v>540781</v>
          </cell>
          <cell r="D4967" t="str">
            <v>NCBFIVBG</v>
          </cell>
          <cell r="E4967" t="str">
            <v xml:space="preserve"> </v>
          </cell>
        </row>
        <row r="4968">
          <cell r="B4968" t="str">
            <v>BHARAT 22 ETF - ICICI Prudential AMC</v>
          </cell>
          <cell r="C4968">
            <v>540787</v>
          </cell>
          <cell r="D4968" t="str">
            <v>ICICIB22</v>
          </cell>
          <cell r="E4968" t="str">
            <v xml:space="preserve"> </v>
          </cell>
        </row>
        <row r="4969">
          <cell r="B4969" t="str">
            <v>HDFC HOF-I-1140D November 2017(1) - Direct Option - Growth Option</v>
          </cell>
          <cell r="C4969">
            <v>540791</v>
          </cell>
          <cell r="D4969" t="str">
            <v>HHOF1140DG</v>
          </cell>
          <cell r="E4969" t="str">
            <v xml:space="preserve"> </v>
          </cell>
        </row>
        <row r="4970">
          <cell r="B4970" t="str">
            <v>HDFC HOF-I-1140D November 2017(1) - Direct Option - Dividend Payout Option</v>
          </cell>
          <cell r="C4970">
            <v>540792</v>
          </cell>
          <cell r="D4970" t="str">
            <v>HHOF1140DD</v>
          </cell>
          <cell r="E4970" t="str">
            <v xml:space="preserve"> </v>
          </cell>
        </row>
        <row r="4971">
          <cell r="B4971" t="str">
            <v>HDFC HOF-I-1140D November 2017(1) - Regular Option - Growth Option</v>
          </cell>
          <cell r="C4971">
            <v>540793</v>
          </cell>
          <cell r="D4971" t="str">
            <v>HHOF1140RG</v>
          </cell>
          <cell r="E4971" t="str">
            <v xml:space="preserve"> </v>
          </cell>
        </row>
        <row r="4972">
          <cell r="B4972" t="str">
            <v>HDFC HOF-I-1140D November 2017(1) - Regular  Option - Dividend Payout Option</v>
          </cell>
          <cell r="C4972">
            <v>540794</v>
          </cell>
          <cell r="D4972" t="str">
            <v>HHOF1140RD</v>
          </cell>
          <cell r="E4972" t="str">
            <v xml:space="preserve"> </v>
          </cell>
        </row>
        <row r="4973">
          <cell r="B4973" t="str">
            <v>DSP BLACKROCK A.C.E. Fund Series 1 - Regular Growth</v>
          </cell>
          <cell r="C4973">
            <v>540799</v>
          </cell>
          <cell r="D4973" t="str">
            <v>DACEFRG</v>
          </cell>
          <cell r="E4973" t="str">
            <v xml:space="preserve"> </v>
          </cell>
        </row>
        <row r="4974">
          <cell r="B4974" t="str">
            <v>DSP BLACKROCK A.C.E. Fund Series 1 - Regular-Dividend Payout</v>
          </cell>
          <cell r="C4974">
            <v>540800</v>
          </cell>
          <cell r="D4974" t="str">
            <v>DACEFRDP</v>
          </cell>
          <cell r="E4974" t="str">
            <v xml:space="preserve"> </v>
          </cell>
        </row>
        <row r="4975">
          <cell r="B4975" t="str">
            <v>DSP BLACKROCK A.C.E. Fund Series 1 - Direct Growth</v>
          </cell>
          <cell r="C4975">
            <v>540801</v>
          </cell>
          <cell r="D4975" t="str">
            <v>DACEFDG</v>
          </cell>
          <cell r="E4975" t="str">
            <v xml:space="preserve"> </v>
          </cell>
        </row>
        <row r="4976">
          <cell r="B4976" t="str">
            <v>DSP BLACKROCK A.C.E. Fund Series 1 - Direct - Dividend Payout</v>
          </cell>
          <cell r="C4976">
            <v>540802</v>
          </cell>
          <cell r="D4976" t="str">
            <v>DACEFDDP</v>
          </cell>
          <cell r="E4976" t="str">
            <v xml:space="preserve"> </v>
          </cell>
        </row>
        <row r="4977">
          <cell r="B4977" t="str">
            <v>NIPPON INDIA MUTUAL FUND  CAPITAL BUILDER FD IV SR C DR DVP 20MR21</v>
          </cell>
          <cell r="C4977">
            <v>540825</v>
          </cell>
          <cell r="D4977" t="str">
            <v>NCBFIVBCD</v>
          </cell>
          <cell r="E4977" t="str">
            <v xml:space="preserve"> </v>
          </cell>
        </row>
        <row r="4978">
          <cell r="B4978" t="str">
            <v>NIPPON INDIA MUTUAL FUND  CAPITAL BUILDER FD IV SR C RG GWTH 20MR21</v>
          </cell>
          <cell r="C4978">
            <v>540826</v>
          </cell>
          <cell r="D4978" t="str">
            <v>NCBFIVCG</v>
          </cell>
          <cell r="E4978" t="str">
            <v xml:space="preserve"> </v>
          </cell>
        </row>
        <row r="4979">
          <cell r="B4979" t="str">
            <v>NIPPON INDIA MUTUAL FUND  CAPITAL BUILDER FD IV SR C DR GWTH 20MR21</v>
          </cell>
          <cell r="C4979">
            <v>540827</v>
          </cell>
          <cell r="D4979" t="str">
            <v>NCBFIVBCG</v>
          </cell>
          <cell r="E4979" t="str">
            <v xml:space="preserve"> </v>
          </cell>
        </row>
        <row r="4980">
          <cell r="B4980" t="str">
            <v>NIPPON INDIA MUTUAL FUND  CAPITAL BUILDER FD IV SR C RG DVP 20MR21</v>
          </cell>
          <cell r="C4980">
            <v>540828</v>
          </cell>
          <cell r="D4980" t="str">
            <v>NCBFIVCD</v>
          </cell>
          <cell r="E4980" t="str">
            <v xml:space="preserve"> </v>
          </cell>
        </row>
        <row r="4981">
          <cell r="B4981" t="str">
            <v>ICICI PRUDENTIAL VALUE FUND - SERIES 19 - CUMULATIVE OPTION</v>
          </cell>
          <cell r="C4981">
            <v>540861</v>
          </cell>
          <cell r="D4981" t="str">
            <v>IPRU3018</v>
          </cell>
          <cell r="E4981" t="str">
            <v xml:space="preserve"> </v>
          </cell>
        </row>
        <row r="4982">
          <cell r="B4982" t="str">
            <v>ICICI PRUDENTIAL VALUE FUND - SERIES 19  - DIVIDEND PAYOUT OPTION</v>
          </cell>
          <cell r="C4982">
            <v>540862</v>
          </cell>
          <cell r="D4982" t="str">
            <v>IPRU3019</v>
          </cell>
          <cell r="E4982" t="str">
            <v xml:space="preserve"> </v>
          </cell>
        </row>
        <row r="4983">
          <cell r="B4983" t="str">
            <v>ICICI PRUDENTIAL VALUE FUND - SERIES 19  - DIRECT PLAN CUMULATIVE OPTION</v>
          </cell>
          <cell r="C4983">
            <v>540863</v>
          </cell>
          <cell r="D4983" t="str">
            <v>IPRU9220</v>
          </cell>
          <cell r="E4983" t="str">
            <v xml:space="preserve"> </v>
          </cell>
        </row>
        <row r="4984">
          <cell r="B4984" t="str">
            <v>ICICI PRUDENTIAL VALUE FUND - SERIES 19  -DIRECT PLAN DIVIDEND PAYOUT OPTION</v>
          </cell>
          <cell r="C4984">
            <v>540864</v>
          </cell>
          <cell r="D4984" t="str">
            <v>IPRU9221</v>
          </cell>
          <cell r="E4984" t="str">
            <v xml:space="preserve"> </v>
          </cell>
        </row>
        <row r="4985">
          <cell r="B4985" t="str">
            <v>NIPPON INDIA MUTUAL FUND  CAPITAL BUILDER FD IV SRD DR DVP 18JN21</v>
          </cell>
          <cell r="C4985">
            <v>540896</v>
          </cell>
          <cell r="D4985" t="str">
            <v>NCBFIVDDD</v>
          </cell>
          <cell r="E4985" t="str">
            <v xml:space="preserve"> </v>
          </cell>
        </row>
        <row r="4986">
          <cell r="B4986" t="str">
            <v>NIPPON INDIA MUTUAL FUND  CAPITAL BUILDER FD IV SRD RG GWTH 18JN21</v>
          </cell>
          <cell r="C4986">
            <v>540897</v>
          </cell>
          <cell r="D4986" t="str">
            <v>NCBFIVDG</v>
          </cell>
          <cell r="E4986" t="str">
            <v xml:space="preserve"> </v>
          </cell>
        </row>
        <row r="4987">
          <cell r="B4987" t="str">
            <v>NIPPON INDIA MUTUAL FUND  CAPITAL BUILDER FD IV SRD DR GWTH 18JN21</v>
          </cell>
          <cell r="C4987">
            <v>540898</v>
          </cell>
          <cell r="D4987" t="str">
            <v>NCBFIVDDG</v>
          </cell>
          <cell r="E4987" t="str">
            <v xml:space="preserve"> </v>
          </cell>
        </row>
        <row r="4988">
          <cell r="B4988" t="str">
            <v>NIPPON INDIA MUTUAL FUND  CAPITAL BUILDER FD IV SRD RG DVP 18JN21</v>
          </cell>
          <cell r="C4988">
            <v>540899</v>
          </cell>
          <cell r="D4988" t="str">
            <v>NCBFIVDD</v>
          </cell>
          <cell r="E4988" t="str">
            <v xml:space="preserve"> </v>
          </cell>
        </row>
        <row r="4989">
          <cell r="B4989" t="str">
            <v>ICICI Prudential Value Fund - Series 20 - Cumulative Option</v>
          </cell>
          <cell r="C4989">
            <v>540947</v>
          </cell>
          <cell r="D4989" t="str">
            <v>IPRU3034</v>
          </cell>
          <cell r="E4989" t="str">
            <v xml:space="preserve"> </v>
          </cell>
        </row>
        <row r="4990">
          <cell r="B4990" t="str">
            <v>ICICI Prudential Value Fund - Series 20 - Dividend Option</v>
          </cell>
          <cell r="C4990">
            <v>540949</v>
          </cell>
          <cell r="D4990" t="str">
            <v>IPRU3035</v>
          </cell>
          <cell r="E4990" t="str">
            <v xml:space="preserve"> </v>
          </cell>
        </row>
        <row r="4991">
          <cell r="B4991" t="str">
            <v>ICICI Prudential Value Fund - Series 20 - Direct Plan Cumulative Option</v>
          </cell>
          <cell r="C4991">
            <v>540950</v>
          </cell>
          <cell r="D4991" t="str">
            <v>IPRU9236</v>
          </cell>
          <cell r="E4991" t="str">
            <v xml:space="preserve"> </v>
          </cell>
        </row>
        <row r="4992">
          <cell r="B4992" t="str">
            <v>ICICI Prudential Value Fund - Series 20 - Direct Plan Dividend Option</v>
          </cell>
          <cell r="C4992">
            <v>540951</v>
          </cell>
          <cell r="D4992" t="str">
            <v>IPRU9237</v>
          </cell>
          <cell r="E4992" t="str">
            <v xml:space="preserve"> </v>
          </cell>
        </row>
        <row r="4993">
          <cell r="B4993" t="str">
            <v>Kotak India Growth Fund   Series 4 - Regular Plan Growth Option</v>
          </cell>
          <cell r="C4993">
            <v>540981</v>
          </cell>
          <cell r="D4993" t="str">
            <v>KTKIND4RG</v>
          </cell>
          <cell r="E4993" t="str">
            <v xml:space="preserve"> </v>
          </cell>
        </row>
        <row r="4994">
          <cell r="B4994" t="str">
            <v>Kotak India Growth Fund   Series 4 - Regular Plan Dividend Option</v>
          </cell>
          <cell r="C4994">
            <v>540982</v>
          </cell>
          <cell r="D4994" t="str">
            <v>KTKIND4RD</v>
          </cell>
          <cell r="E4994" t="str">
            <v xml:space="preserve"> </v>
          </cell>
        </row>
        <row r="4995">
          <cell r="B4995" t="str">
            <v>KOTAK INDIA GROWTH FUND SERIES 4 DIRECT PLAN DIVIDEND OPTION</v>
          </cell>
          <cell r="C4995">
            <v>540983</v>
          </cell>
          <cell r="D4995" t="str">
            <v>KTKIND4DD</v>
          </cell>
          <cell r="E4995" t="str">
            <v xml:space="preserve"> </v>
          </cell>
        </row>
        <row r="4996">
          <cell r="B4996" t="str">
            <v>Kotak India Growth Fund   Series 4 - Direct Plan Growth Option</v>
          </cell>
          <cell r="C4996">
            <v>540984</v>
          </cell>
          <cell r="D4996" t="str">
            <v>KTKIND4DG</v>
          </cell>
          <cell r="E4996" t="str">
            <v xml:space="preserve"> </v>
          </cell>
        </row>
        <row r="4997">
          <cell r="B4997" t="str">
            <v>Axis Capital Builder Fund - Series 1 (1540 Days) - Direct Plan  - Dividend Payout</v>
          </cell>
          <cell r="C4997">
            <v>541068</v>
          </cell>
          <cell r="D4997" t="str">
            <v>AXISCBD1D</v>
          </cell>
          <cell r="E4997" t="str">
            <v xml:space="preserve"> </v>
          </cell>
        </row>
        <row r="4998">
          <cell r="B4998" t="str">
            <v>Axis Capital Builder Fund - Series 1 (1540 Days) - Direct Plan  - Growth</v>
          </cell>
          <cell r="C4998">
            <v>541069</v>
          </cell>
          <cell r="D4998" t="str">
            <v>AXISCBDGG</v>
          </cell>
          <cell r="E4998" t="str">
            <v xml:space="preserve"> </v>
          </cell>
        </row>
        <row r="4999">
          <cell r="B4999" t="str">
            <v>Axis Capital Builder Fund - Series 1 (1540 Days) - Regular Plan  - Dividend Payout</v>
          </cell>
          <cell r="C4999">
            <v>541070</v>
          </cell>
          <cell r="D4999" t="str">
            <v>AXISCBDPD</v>
          </cell>
          <cell r="E4999" t="str">
            <v xml:space="preserve"> </v>
          </cell>
        </row>
        <row r="5000">
          <cell r="B5000" t="str">
            <v>Axis Capital Builder Fund - Series 1 (1540 Days) - Regular Plan  - Growth</v>
          </cell>
          <cell r="C5000">
            <v>541071</v>
          </cell>
          <cell r="D5000" t="str">
            <v>AXISCBGPG</v>
          </cell>
          <cell r="E5000" t="str">
            <v xml:space="preserve"> </v>
          </cell>
        </row>
        <row r="5001">
          <cell r="B5001" t="str">
            <v>DSP BlackRock A C E Fund - Series 2 - Regular Plan - Growth Option</v>
          </cell>
          <cell r="C5001">
            <v>541084</v>
          </cell>
          <cell r="D5001" t="str">
            <v>DACE2RG</v>
          </cell>
          <cell r="E5001" t="str">
            <v xml:space="preserve"> </v>
          </cell>
        </row>
        <row r="5002">
          <cell r="B5002" t="str">
            <v>DSP BlackRock A C E Fund - Series 2 - Regular Plan - Dividend Payout Option</v>
          </cell>
          <cell r="C5002">
            <v>541085</v>
          </cell>
          <cell r="D5002" t="str">
            <v>DACE2RDP</v>
          </cell>
          <cell r="E5002" t="str">
            <v xml:space="preserve"> </v>
          </cell>
        </row>
        <row r="5003">
          <cell r="B5003" t="str">
            <v>DSP BlackRock A C E Fund - Series 2 - Direct Plan - Growth Option</v>
          </cell>
          <cell r="C5003">
            <v>541086</v>
          </cell>
          <cell r="D5003" t="str">
            <v>DACE2DG</v>
          </cell>
          <cell r="E5003" t="str">
            <v xml:space="preserve"> </v>
          </cell>
        </row>
        <row r="5004">
          <cell r="B5004" t="str">
            <v>DSP BlackRock A C E Fund - Series 2 - Direct Plan - Dividend Payout  Option</v>
          </cell>
          <cell r="C5004">
            <v>541087</v>
          </cell>
          <cell r="D5004" t="str">
            <v>DACE2DDP</v>
          </cell>
          <cell r="E5004" t="str">
            <v xml:space="preserve"> </v>
          </cell>
        </row>
        <row r="5005">
          <cell r="B5005" t="str">
            <v>ADITYA BIRLA SUN LIFE RESURGENT INDIA FUND - SERIES 6- REGULAR PLAN- GROWTH</v>
          </cell>
          <cell r="C5005">
            <v>541092</v>
          </cell>
          <cell r="D5005" t="str">
            <v>ABSLRIF6RG</v>
          </cell>
          <cell r="E5005" t="str">
            <v xml:space="preserve"> </v>
          </cell>
        </row>
        <row r="5006">
          <cell r="B5006" t="str">
            <v>ADITYA BIRLA SUN LIFE RESURGENT INDIA FUND - SERIES 6- REGULAR PLAN- DIVIDEND PAYOUT</v>
          </cell>
          <cell r="C5006">
            <v>541093</v>
          </cell>
          <cell r="D5006" t="str">
            <v>ABSLRIF6RD</v>
          </cell>
          <cell r="E5006" t="str">
            <v xml:space="preserve"> </v>
          </cell>
        </row>
        <row r="5007">
          <cell r="B5007" t="str">
            <v>ADITYA BIRLA SUN LIFE RESURGENT INDIA FUND - SERIES 6- DIRECT PLAN- GROWTH</v>
          </cell>
          <cell r="C5007">
            <v>541094</v>
          </cell>
          <cell r="D5007" t="str">
            <v>ABSLRIF6DG</v>
          </cell>
          <cell r="E5007" t="str">
            <v xml:space="preserve"> </v>
          </cell>
        </row>
        <row r="5008">
          <cell r="B5008" t="str">
            <v>ADITYA BIRLA SUN LIFE RESURGENT INDIA FUND - SERIES 6- DIRECT PLAN- DIVIDEND PAYOUT</v>
          </cell>
          <cell r="C5008">
            <v>541095</v>
          </cell>
          <cell r="D5008" t="str">
            <v>ABSLRIF6DD</v>
          </cell>
          <cell r="E5008" t="str">
            <v xml:space="preserve"> </v>
          </cell>
        </row>
        <row r="5009">
          <cell r="B5009" t="str">
            <v>Aditya Birla Sun Life Resurgent India Fund - Series 7 - Regular Plan - Growth Option</v>
          </cell>
          <cell r="C5009">
            <v>541252</v>
          </cell>
          <cell r="D5009" t="str">
            <v>ABSLRIF7RG</v>
          </cell>
          <cell r="E5009" t="str">
            <v xml:space="preserve"> </v>
          </cell>
        </row>
        <row r="5010">
          <cell r="B5010" t="str">
            <v>Aditya Birla Sun Life Resurgent India Fund - Series 7 - Regular Plan - Dividend Payout</v>
          </cell>
          <cell r="C5010">
            <v>541253</v>
          </cell>
          <cell r="D5010" t="str">
            <v>ABSLRIF7RD</v>
          </cell>
          <cell r="E5010" t="str">
            <v xml:space="preserve"> </v>
          </cell>
        </row>
        <row r="5011">
          <cell r="B5011" t="str">
            <v>Aditya Birla Sun Life Resurgent India Fund - Series 7 - Direct Plan - Growth Option</v>
          </cell>
          <cell r="C5011">
            <v>541254</v>
          </cell>
          <cell r="D5011" t="str">
            <v>ABSLRIF7DG</v>
          </cell>
          <cell r="E5011" t="str">
            <v xml:space="preserve"> </v>
          </cell>
        </row>
        <row r="5012">
          <cell r="B5012" t="str">
            <v>Aditya Birla Sun Life Resurgent India Fund - Series 7 - Direct Plan - Dividend Payout</v>
          </cell>
          <cell r="C5012">
            <v>541255</v>
          </cell>
          <cell r="D5012" t="str">
            <v>ABSLRIF7DD</v>
          </cell>
          <cell r="E5012" t="str">
            <v xml:space="preserve"> </v>
          </cell>
        </row>
        <row r="5013">
          <cell r="B5013" t="str">
            <v>IndInfravit Trust</v>
          </cell>
          <cell r="C5013">
            <v>541300</v>
          </cell>
          <cell r="D5013" t="str">
            <v>INDINFR</v>
          </cell>
          <cell r="E5013" t="str">
            <v xml:space="preserve"> </v>
          </cell>
        </row>
        <row r="5014">
          <cell r="B5014" t="str">
            <v>ICICI Prudential Bharat Consumption Fund - Series 2 - Cumulative Option</v>
          </cell>
          <cell r="C5014">
            <v>541309</v>
          </cell>
          <cell r="D5014" t="str">
            <v>IPRU3095</v>
          </cell>
          <cell r="E5014" t="str">
            <v xml:space="preserve"> </v>
          </cell>
        </row>
        <row r="5015">
          <cell r="B5015" t="str">
            <v>ICICI Prudential Bharat Consumption Fund - Series 2 - Dividend Option</v>
          </cell>
          <cell r="C5015">
            <v>541310</v>
          </cell>
          <cell r="D5015" t="str">
            <v>IPRU3096</v>
          </cell>
          <cell r="E5015" t="str">
            <v xml:space="preserve"> </v>
          </cell>
        </row>
        <row r="5016">
          <cell r="B5016" t="str">
            <v>ICICI Prudential Bharat Consumption Fund - Series 2 - Direct Plan Cumulative Option</v>
          </cell>
          <cell r="C5016">
            <v>541311</v>
          </cell>
          <cell r="D5016" t="str">
            <v>IPRU9297</v>
          </cell>
          <cell r="E5016" t="str">
            <v xml:space="preserve"> </v>
          </cell>
        </row>
        <row r="5017">
          <cell r="B5017" t="str">
            <v>ICICI Prudential Bharat Consumption Fund - Series 2 - Direct Plan Dividend Option</v>
          </cell>
          <cell r="C5017">
            <v>541312</v>
          </cell>
          <cell r="D5017" t="str">
            <v>IPRU9298</v>
          </cell>
          <cell r="E5017" t="str">
            <v xml:space="preserve"> </v>
          </cell>
        </row>
        <row r="5018">
          <cell r="B5018" t="str">
            <v>ICICI Prudential S&amp;P BSE 500 ETF</v>
          </cell>
          <cell r="C5018">
            <v>541313</v>
          </cell>
          <cell r="D5018" t="str">
            <v>ICICI500</v>
          </cell>
          <cell r="E5018" t="str">
            <v xml:space="preserve"> </v>
          </cell>
        </row>
        <row r="5019">
          <cell r="B5019" t="str">
            <v>Kotak India Growth Fund Series 5 - Regular Plan - Growth Option</v>
          </cell>
          <cell r="C5019">
            <v>541341</v>
          </cell>
          <cell r="D5019" t="str">
            <v>KTKIND5RG</v>
          </cell>
          <cell r="E5019" t="str">
            <v xml:space="preserve"> </v>
          </cell>
        </row>
        <row r="5020">
          <cell r="B5020" t="str">
            <v>Kotak India Growth Fund Series 5 - Regular Plan - Dividend Option</v>
          </cell>
          <cell r="C5020">
            <v>541343</v>
          </cell>
          <cell r="D5020" t="str">
            <v>KTKIND5RD</v>
          </cell>
          <cell r="E5020" t="str">
            <v xml:space="preserve"> </v>
          </cell>
        </row>
        <row r="5021">
          <cell r="B5021" t="str">
            <v>Kotak India Growth Fund Series 5 - Direct Plan - Growth Option</v>
          </cell>
          <cell r="C5021">
            <v>541345</v>
          </cell>
          <cell r="D5021" t="str">
            <v>KTKIND5DG</v>
          </cell>
          <cell r="E5021" t="str">
            <v xml:space="preserve"> </v>
          </cell>
        </row>
        <row r="5022">
          <cell r="B5022" t="str">
            <v>Kotak India Growth Fund Series 5 - Direct Plan - Dividend Option</v>
          </cell>
          <cell r="C5022">
            <v>541346</v>
          </cell>
          <cell r="D5022" t="str">
            <v>KTKIND5DD</v>
          </cell>
          <cell r="E5022" t="str">
            <v xml:space="preserve"> </v>
          </cell>
        </row>
        <row r="5023">
          <cell r="B5023" t="str">
            <v>ICICI Prudential Bharat Consumption Fund  - Series 3 - Cumulative Option</v>
          </cell>
          <cell r="C5023">
            <v>541672</v>
          </cell>
          <cell r="D5023" t="str">
            <v>IPRU3143</v>
          </cell>
          <cell r="E5023" t="str">
            <v xml:space="preserve"> </v>
          </cell>
        </row>
        <row r="5024">
          <cell r="B5024" t="str">
            <v>ICICI Prudential Bharat Consumption Fund  - Series 3 - Dividend Payout Option</v>
          </cell>
          <cell r="C5024">
            <v>541673</v>
          </cell>
          <cell r="D5024" t="str">
            <v>IPRU3144</v>
          </cell>
          <cell r="E5024" t="str">
            <v xml:space="preserve"> </v>
          </cell>
        </row>
        <row r="5025">
          <cell r="B5025" t="str">
            <v>ICICI Prudential Bharat Consumption Fund  - Series 3 -  Direct Plan - Cumulative Option</v>
          </cell>
          <cell r="C5025">
            <v>541674</v>
          </cell>
          <cell r="D5025" t="str">
            <v>IPRU9345</v>
          </cell>
          <cell r="E5025" t="str">
            <v xml:space="preserve"> </v>
          </cell>
        </row>
        <row r="5026">
          <cell r="B5026" t="str">
            <v>ICICI Prudential Bharat Consumption Fund  - Series 3 - Direct Plan - Dividend Payout Option</v>
          </cell>
          <cell r="C5026">
            <v>541675</v>
          </cell>
          <cell r="D5026" t="str">
            <v>IPRU9346</v>
          </cell>
          <cell r="E5026" t="str">
            <v xml:space="preserve"> </v>
          </cell>
        </row>
        <row r="5027">
          <cell r="B5027" t="str">
            <v>Tata Vaue Fund Series 1 - Regular Plan - Dividend Payout Option</v>
          </cell>
          <cell r="C5027">
            <v>541676</v>
          </cell>
          <cell r="D5027" t="str">
            <v>TVF1D</v>
          </cell>
          <cell r="E5027" t="str">
            <v xml:space="preserve"> </v>
          </cell>
        </row>
        <row r="5028">
          <cell r="B5028" t="str">
            <v>Tata Vaue Fund Series 1 - Direct Plan - Dividend Payout Option</v>
          </cell>
          <cell r="C5028">
            <v>541677</v>
          </cell>
          <cell r="D5028" t="str">
            <v>TVF1DZ</v>
          </cell>
          <cell r="E5028" t="str">
            <v xml:space="preserve"> </v>
          </cell>
        </row>
        <row r="5029">
          <cell r="B5029" t="str">
            <v>Tata Vaue Fund Series 1 - Regular Plan - Growth Option</v>
          </cell>
          <cell r="C5029">
            <v>541678</v>
          </cell>
          <cell r="D5029" t="str">
            <v>TVF1G</v>
          </cell>
          <cell r="E5029" t="str">
            <v xml:space="preserve"> </v>
          </cell>
        </row>
        <row r="5030">
          <cell r="B5030" t="str">
            <v>Tata Vaue Fund Series 1 - Direct Plan - Growth Option</v>
          </cell>
          <cell r="C5030">
            <v>541679</v>
          </cell>
          <cell r="D5030" t="str">
            <v>TVF1GZ</v>
          </cell>
          <cell r="E5030" t="str">
            <v xml:space="preserve"> </v>
          </cell>
        </row>
        <row r="5031">
          <cell r="B5031" t="str">
            <v>IDFC Equity Opportunity - Series 6 - Regular Plan - Growth Option</v>
          </cell>
          <cell r="C5031">
            <v>541725</v>
          </cell>
          <cell r="D5031" t="str">
            <v>IDFCEOS6RG</v>
          </cell>
          <cell r="E5031" t="str">
            <v xml:space="preserve"> </v>
          </cell>
        </row>
        <row r="5032">
          <cell r="B5032" t="str">
            <v>IDFC Equity Opportunity - Series 6 - Regular Plan - Dividend Payout  Option</v>
          </cell>
          <cell r="C5032">
            <v>541726</v>
          </cell>
          <cell r="D5032" t="str">
            <v>IDFCEOS6RD</v>
          </cell>
          <cell r="E5032" t="str">
            <v xml:space="preserve"> </v>
          </cell>
        </row>
        <row r="5033">
          <cell r="B5033" t="str">
            <v>IDFC Equity Opportunity - Series 6 - Direct Plan - Growth Option</v>
          </cell>
          <cell r="C5033">
            <v>541727</v>
          </cell>
          <cell r="D5033" t="str">
            <v>IDFCEOS6DG</v>
          </cell>
          <cell r="E5033" t="str">
            <v xml:space="preserve"> </v>
          </cell>
        </row>
        <row r="5034">
          <cell r="B5034" t="str">
            <v>IDFC Equity Opportunity - Series 6 - Direct Plan - Dividend Payout Option</v>
          </cell>
          <cell r="C5034">
            <v>541728</v>
          </cell>
          <cell r="D5034" t="str">
            <v>IDFCEOS6DD</v>
          </cell>
          <cell r="E5034" t="str">
            <v xml:space="preserve"> </v>
          </cell>
        </row>
        <row r="5035">
          <cell r="B5035" t="str">
            <v>TATA Value Fund Series  2 - Regular Plan  - Dividend Payout Option</v>
          </cell>
          <cell r="C5035">
            <v>541742</v>
          </cell>
          <cell r="D5035" t="str">
            <v>TVF2D</v>
          </cell>
          <cell r="E5035" t="str">
            <v xml:space="preserve"> </v>
          </cell>
        </row>
        <row r="5036">
          <cell r="B5036" t="str">
            <v>TATA Value Fund Series  2 - Direct Plan  - Dividend Payout Option</v>
          </cell>
          <cell r="C5036">
            <v>541743</v>
          </cell>
          <cell r="D5036" t="str">
            <v>TVF2DZ</v>
          </cell>
          <cell r="E5036" t="str">
            <v xml:space="preserve"> </v>
          </cell>
        </row>
        <row r="5037">
          <cell r="B5037" t="str">
            <v>TATA Value Fund Series  2 - Regular  Plan  - Growth Option</v>
          </cell>
          <cell r="C5037">
            <v>541744</v>
          </cell>
          <cell r="D5037" t="str">
            <v>TVF2G</v>
          </cell>
          <cell r="E5037" t="str">
            <v xml:space="preserve"> </v>
          </cell>
        </row>
        <row r="5038">
          <cell r="B5038" t="str">
            <v>TATA Value Fund Series  2 - Direct Plan  - Growth Option</v>
          </cell>
          <cell r="C5038">
            <v>541745</v>
          </cell>
          <cell r="D5038" t="str">
            <v>TVF2GZ</v>
          </cell>
          <cell r="E5038" t="str">
            <v xml:space="preserve"> </v>
          </cell>
        </row>
        <row r="5039">
          <cell r="B5039" t="str">
            <v>ICICI PRU Bharat Consumption Fund - Sr 4 - Cumulative</v>
          </cell>
          <cell r="C5039">
            <v>541804</v>
          </cell>
          <cell r="D5039" t="str">
            <v>IPRU3168</v>
          </cell>
          <cell r="E5039" t="str">
            <v xml:space="preserve"> </v>
          </cell>
        </row>
        <row r="5040">
          <cell r="B5040" t="str">
            <v>ICICI PRU Bharat Consumption Fund - Sr 4 - Dividend Payout Option</v>
          </cell>
          <cell r="C5040">
            <v>541805</v>
          </cell>
          <cell r="D5040" t="str">
            <v>IPRU3169</v>
          </cell>
          <cell r="E5040" t="str">
            <v xml:space="preserve"> </v>
          </cell>
        </row>
        <row r="5041">
          <cell r="B5041" t="str">
            <v>ICICI PRU Bharat Consumption Fund - Sr 4 - Direct Plan Cumulative</v>
          </cell>
          <cell r="C5041">
            <v>541806</v>
          </cell>
          <cell r="D5041" t="str">
            <v>IPRU9370</v>
          </cell>
          <cell r="E5041" t="str">
            <v xml:space="preserve"> </v>
          </cell>
        </row>
        <row r="5042">
          <cell r="B5042" t="str">
            <v>ICICI PRU Bharat Consumption Fund - Sr 4 - Direct Plan Dividend Payout</v>
          </cell>
          <cell r="C5042">
            <v>541807</v>
          </cell>
          <cell r="D5042" t="str">
            <v>IPRU9371</v>
          </cell>
          <cell r="E5042" t="str">
            <v xml:space="preserve"> </v>
          </cell>
        </row>
        <row r="5043">
          <cell r="B5043" t="str">
            <v>ICICI Prudential Nifty Next 50 ETF</v>
          </cell>
          <cell r="C5043">
            <v>541809</v>
          </cell>
          <cell r="D5043" t="str">
            <v>ICICINXT50</v>
          </cell>
          <cell r="E5043" t="str">
            <v xml:space="preserve"> </v>
          </cell>
        </row>
        <row r="5044">
          <cell r="B5044" t="str">
            <v>Kotak India Growth Fund Series 7 - Regular Plan - Growth Option</v>
          </cell>
          <cell r="C5044">
            <v>541879</v>
          </cell>
          <cell r="D5044" t="str">
            <v>KTKIND7RG</v>
          </cell>
          <cell r="E5044" t="str">
            <v xml:space="preserve"> </v>
          </cell>
        </row>
        <row r="5045">
          <cell r="B5045" t="str">
            <v>Kotak India Growth Fund Series 7 - Regular Plan - Dividend Option</v>
          </cell>
          <cell r="C5045">
            <v>541881</v>
          </cell>
          <cell r="D5045" t="str">
            <v>KTKIND7RD</v>
          </cell>
          <cell r="E5045" t="str">
            <v xml:space="preserve"> </v>
          </cell>
        </row>
        <row r="5046">
          <cell r="B5046" t="str">
            <v>Kotak India Growth Fund Series 7 - Direct Plan - Growth Option</v>
          </cell>
          <cell r="C5046">
            <v>541882</v>
          </cell>
          <cell r="D5046" t="str">
            <v>KTKIND7DG</v>
          </cell>
          <cell r="E5046" t="str">
            <v xml:space="preserve"> </v>
          </cell>
        </row>
        <row r="5047">
          <cell r="B5047" t="str">
            <v>Kotak India Growth Fund Series 7 - Direct Plan - Dividend Option</v>
          </cell>
          <cell r="C5047">
            <v>541884</v>
          </cell>
          <cell r="D5047" t="str">
            <v>KTKIND7DD</v>
          </cell>
          <cell r="E5047" t="str">
            <v xml:space="preserve"> </v>
          </cell>
        </row>
        <row r="5048">
          <cell r="B5048" t="str">
            <v>SBI - ETF - SENSEX NEXT 50</v>
          </cell>
          <cell r="C5048">
            <v>541972</v>
          </cell>
          <cell r="D5048" t="str">
            <v>SETFSN50</v>
          </cell>
          <cell r="E5048" t="str">
            <v xml:space="preserve"> </v>
          </cell>
        </row>
        <row r="5049">
          <cell r="B5049" t="str">
            <v>NIPPON INDIA MUTUAL FUND  INDIA OPPT FD  SR A RG GWTH31JN22</v>
          </cell>
          <cell r="C5049">
            <v>541984</v>
          </cell>
          <cell r="D5049" t="str">
            <v>NIOSAG</v>
          </cell>
          <cell r="E5049" t="str">
            <v xml:space="preserve"> </v>
          </cell>
        </row>
        <row r="5050">
          <cell r="B5050" t="str">
            <v>NIPPON INDIA MUTUAL FUND  INDIA OPPT FD  SR A RG DVP31JN22</v>
          </cell>
          <cell r="C5050">
            <v>541985</v>
          </cell>
          <cell r="D5050" t="str">
            <v>NIOSAD</v>
          </cell>
          <cell r="E5050" t="str">
            <v xml:space="preserve"> </v>
          </cell>
        </row>
        <row r="5051">
          <cell r="B5051" t="str">
            <v>NIPPON INDIA MUTUAL FUND  INDIA OPPT FD  SR A DR GWTH31JN22</v>
          </cell>
          <cell r="C5051">
            <v>541986</v>
          </cell>
          <cell r="D5051" t="str">
            <v>NIOSADG</v>
          </cell>
          <cell r="E5051" t="str">
            <v xml:space="preserve"> </v>
          </cell>
        </row>
        <row r="5052">
          <cell r="B5052" t="str">
            <v>NIPPON INDIA MUTUAL FUND  INDIA OPPT FD  SR A DR DVP31JN22</v>
          </cell>
          <cell r="C5052">
            <v>541987</v>
          </cell>
          <cell r="D5052" t="str">
            <v>NIOSADD</v>
          </cell>
          <cell r="E5052" t="str">
            <v xml:space="preserve"> </v>
          </cell>
        </row>
        <row r="5053">
          <cell r="B5053" t="str">
            <v>MIRAE ASSET NIFTY 50 ETF (MAN50ETF)</v>
          </cell>
          <cell r="C5053">
            <v>542131</v>
          </cell>
          <cell r="D5053" t="str">
            <v>MAN50ETF</v>
          </cell>
          <cell r="E5053" t="str">
            <v xml:space="preserve"> </v>
          </cell>
        </row>
        <row r="5054">
          <cell r="B5054" t="str">
            <v>ICICI Prudential Bharat Consumption Fund - Series 5 - Cumulative Option</v>
          </cell>
          <cell r="C5054">
            <v>542156</v>
          </cell>
          <cell r="D5054" t="str">
            <v>IPRU3218</v>
          </cell>
          <cell r="E5054" t="str">
            <v xml:space="preserve"> </v>
          </cell>
        </row>
        <row r="5055">
          <cell r="B5055" t="str">
            <v>ICICI Prudential Bharat Consumption Fund - Series 5 - Dividend Payout Option</v>
          </cell>
          <cell r="C5055">
            <v>542158</v>
          </cell>
          <cell r="D5055" t="str">
            <v>IPRU3219</v>
          </cell>
          <cell r="E5055" t="str">
            <v xml:space="preserve"> </v>
          </cell>
        </row>
        <row r="5056">
          <cell r="B5056" t="str">
            <v>ICICI Prudential Bharat Consumption Fund - Series 5 -  Direct Plan - Cumulative Option</v>
          </cell>
          <cell r="C5056">
            <v>542160</v>
          </cell>
          <cell r="D5056" t="str">
            <v>IPRU9420</v>
          </cell>
          <cell r="E5056" t="str">
            <v xml:space="preserve"> </v>
          </cell>
        </row>
        <row r="5057">
          <cell r="B5057" t="str">
            <v>ICICI Prudential Bharat Consumption Fund - Series 5 -  Direct Plan - Dividend Payout  Option</v>
          </cell>
          <cell r="C5057">
            <v>542163</v>
          </cell>
          <cell r="D5057" t="str">
            <v>IPRU9421</v>
          </cell>
          <cell r="E5057" t="str">
            <v xml:space="preserve"> </v>
          </cell>
        </row>
        <row r="5058">
          <cell r="B5058" t="str">
            <v>Aditya Birla Sun Life Nifty Next 50 ETF</v>
          </cell>
          <cell r="C5058">
            <v>542230</v>
          </cell>
          <cell r="D5058" t="str">
            <v>ABSLNN50ET</v>
          </cell>
          <cell r="E5058" t="str">
            <v xml:space="preserve"> </v>
          </cell>
        </row>
        <row r="5059">
          <cell r="B5059" t="str">
            <v>Axis&amp;#160;Capital&amp;#160;Builder&amp;#160;Fund&amp;#160;-&amp;#160;Series&amp;#160;4&amp;#160;(1582&amp;#160;days)&amp;#160;-</v>
          </cell>
          <cell r="C5059">
            <v>542244</v>
          </cell>
          <cell r="D5059" t="str">
            <v>AXISCCDID</v>
          </cell>
          <cell r="E5059" t="str">
            <v xml:space="preserve"> </v>
          </cell>
        </row>
        <row r="5060">
          <cell r="B5060" t="str">
            <v>Axis&amp;#160;Capital&amp;#160;Builder&amp;#160;Fund&amp;#160;-&amp;#160;Series&amp;#160;4&amp;#160;(1582&amp;#160;days)&amp;#160;-Direct&amp;#160;Plan&amp;#160;-&amp;#160;Growth&amp;#160;Option</v>
          </cell>
          <cell r="C5060">
            <v>542245</v>
          </cell>
          <cell r="D5060" t="str">
            <v>AXISCCDGG</v>
          </cell>
          <cell r="E5060" t="str">
            <v xml:space="preserve"> </v>
          </cell>
        </row>
        <row r="5061">
          <cell r="B5061" t="str">
            <v>Axis&amp;#160;Capital&amp;#160;Builder&amp;#160;Fund&amp;#160;-&amp;#160;Series&amp;#160;4&amp;#160;(1582&amp;#160;days)&amp;#160;-Regular&amp;#160;Plan&amp;#160;-&amp;#160;Dividend&amp;#160;Payout&amp;#160;Option</v>
          </cell>
          <cell r="C5061">
            <v>542246</v>
          </cell>
          <cell r="D5061" t="str">
            <v>AXISCCDPD</v>
          </cell>
          <cell r="E5061" t="str">
            <v xml:space="preserve"> </v>
          </cell>
        </row>
        <row r="5062">
          <cell r="B5062" t="str">
            <v>Axis&amp;#160;Capital&amp;#160;Builder&amp;#160;Fund&amp;#160;-&amp;#160;Series&amp;#160;4&amp;#160;(1582&amp;#160;days)&amp;#160;- Regular&amp;#160;Plan&amp;#160;-&amp;#160;Growth&amp;#160;Option</v>
          </cell>
          <cell r="C5062">
            <v>542247</v>
          </cell>
          <cell r="D5062" t="str">
            <v>AXISCCGPG</v>
          </cell>
          <cell r="E5062" t="str">
            <v xml:space="preserve"> </v>
          </cell>
        </row>
        <row r="5063">
          <cell r="B5063" t="str">
            <v>UTI S&amp;P BSE Sensex Next 50 ETF</v>
          </cell>
          <cell r="C5063">
            <v>542513</v>
          </cell>
          <cell r="D5063" t="str">
            <v>UTISXN50</v>
          </cell>
          <cell r="E5063" t="str">
            <v xml:space="preserve"> </v>
          </cell>
        </row>
        <row r="5064">
          <cell r="B5064" t="str">
            <v>India Infrastructure Trust</v>
          </cell>
          <cell r="C5064">
            <v>542543</v>
          </cell>
          <cell r="D5064" t="str">
            <v>INFRATRUST</v>
          </cell>
          <cell r="E5064" t="str">
            <v xml:space="preserve"> </v>
          </cell>
        </row>
        <row r="5065">
          <cell r="B5065" t="str">
            <v>Parshva Enterprises Ltd</v>
          </cell>
          <cell r="C5065">
            <v>542694</v>
          </cell>
          <cell r="D5065" t="str">
            <v>PARSHVA</v>
          </cell>
          <cell r="E5065" t="str">
            <v>Comm.Trading  &amp; Distribution</v>
          </cell>
        </row>
        <row r="5066">
          <cell r="B5066" t="str">
            <v>Anand Rayons Ltd</v>
          </cell>
          <cell r="C5066">
            <v>542721</v>
          </cell>
          <cell r="D5066" t="str">
            <v>ARL</v>
          </cell>
          <cell r="E5066" t="str">
            <v>Comm.Trading  &amp; Distribution</v>
          </cell>
        </row>
        <row r="5067">
          <cell r="B5067" t="str">
            <v>Earum Pharmaceuticals Ltd</v>
          </cell>
          <cell r="C5067">
            <v>542724</v>
          </cell>
          <cell r="D5067" t="str">
            <v>EARUM</v>
          </cell>
          <cell r="E5067" t="str">
            <v>Pharmaceuticals</v>
          </cell>
        </row>
        <row r="5068">
          <cell r="B5068" t="str">
            <v>SBC Exports Ltd</v>
          </cell>
          <cell r="C5068">
            <v>542725</v>
          </cell>
          <cell r="D5068" t="str">
            <v>SBC</v>
          </cell>
          <cell r="E5068" t="str">
            <v>Other Apparels &amp; Accessories</v>
          </cell>
        </row>
        <row r="5069">
          <cell r="B5069" t="str">
            <v>IndiaMART InterMESH Ltd</v>
          </cell>
          <cell r="C5069">
            <v>542726</v>
          </cell>
          <cell r="D5069" t="str">
            <v>INDIAMART</v>
          </cell>
          <cell r="E5069" t="str">
            <v>Internet Software &amp; Services</v>
          </cell>
        </row>
        <row r="5070">
          <cell r="B5070" t="str">
            <v>City Pulse Multiplex Ltd</v>
          </cell>
          <cell r="C5070">
            <v>542727</v>
          </cell>
          <cell r="D5070" t="str">
            <v>CPML</v>
          </cell>
          <cell r="E5070" t="str">
            <v>Specialty Retail</v>
          </cell>
        </row>
        <row r="5071">
          <cell r="B5071" t="str">
            <v>SK International Export Ltd</v>
          </cell>
          <cell r="C5071">
            <v>542728</v>
          </cell>
          <cell r="D5071" t="str">
            <v>SKIEL</v>
          </cell>
          <cell r="E5071" t="str">
            <v>Other Apparels &amp; Accessories</v>
          </cell>
        </row>
        <row r="5072">
          <cell r="B5072" t="str">
            <v>DCM Nouvelle Ltd</v>
          </cell>
          <cell r="C5072">
            <v>542729</v>
          </cell>
          <cell r="D5072" t="str">
            <v>DCMNVL</v>
          </cell>
          <cell r="E5072" t="str">
            <v>Textiles</v>
          </cell>
        </row>
        <row r="5073">
          <cell r="B5073" t="str">
            <v>ICICI Prudential Bank ETF</v>
          </cell>
          <cell r="C5073">
            <v>542730</v>
          </cell>
          <cell r="D5073" t="str">
            <v>ICICIBANKN</v>
          </cell>
          <cell r="E5073" t="str">
            <v xml:space="preserve"> </v>
          </cell>
        </row>
        <row r="5074">
          <cell r="B5074" t="str">
            <v>NIPPON INDIA ETF SENSEX NEXT 50</v>
          </cell>
          <cell r="C5074">
            <v>542747</v>
          </cell>
          <cell r="D5074" t="str">
            <v>NETFSNX150</v>
          </cell>
          <cell r="E5074" t="str">
            <v xml:space="preserve"> </v>
          </cell>
        </row>
        <row r="5075">
          <cell r="B5075" t="str">
            <v>Affle (India) Ltd</v>
          </cell>
          <cell r="C5075">
            <v>542752</v>
          </cell>
          <cell r="D5075" t="str">
            <v>AFFLE</v>
          </cell>
          <cell r="E5075" t="str">
            <v>Advertising &amp; Media</v>
          </cell>
        </row>
        <row r="5076">
          <cell r="B5076" t="str">
            <v>Seacoast Shipping Services Ltd</v>
          </cell>
          <cell r="C5076">
            <v>542753</v>
          </cell>
          <cell r="D5076" t="str">
            <v>SEACOAST</v>
          </cell>
          <cell r="E5076" t="str">
            <v>Distributors</v>
          </cell>
        </row>
        <row r="5077">
          <cell r="B5077" t="str">
            <v>ICICI Prudential Private Banks ETF</v>
          </cell>
          <cell r="C5077">
            <v>542758</v>
          </cell>
          <cell r="D5077" t="str">
            <v>ICICIBANKP</v>
          </cell>
          <cell r="E5077" t="str">
            <v xml:space="preserve"> </v>
          </cell>
        </row>
        <row r="5078">
          <cell r="B5078" t="str">
            <v>Spandana Sphoorty Financial Ltd</v>
          </cell>
          <cell r="C5078">
            <v>542759</v>
          </cell>
          <cell r="D5078" t="str">
            <v>SPANDANA</v>
          </cell>
          <cell r="E5078" t="str">
            <v>Finance (including NBFCs)</v>
          </cell>
        </row>
        <row r="5079">
          <cell r="B5079" t="str">
            <v>Sterling and Wilson Solar Ltd</v>
          </cell>
          <cell r="C5079">
            <v>542760</v>
          </cell>
          <cell r="D5079" t="str">
            <v>SWSOLAR</v>
          </cell>
          <cell r="E5079" t="str">
            <v>Heavy Electrical Equipment</v>
          </cell>
        </row>
        <row r="5080">
          <cell r="B5080" t="str">
            <v>Transpact Enterprises Ltd</v>
          </cell>
          <cell r="C5080">
            <v>542765</v>
          </cell>
          <cell r="D5080" t="str">
            <v>TRANSPACT</v>
          </cell>
          <cell r="E5080" t="str">
            <v>Medical Equipment</v>
          </cell>
        </row>
        <row r="5081">
          <cell r="B5081" t="str">
            <v>Alphalogic Techsys Ltd</v>
          </cell>
          <cell r="C5081">
            <v>542770</v>
          </cell>
          <cell r="D5081" t="str">
            <v>ALPHALOGIC</v>
          </cell>
          <cell r="E5081" t="str">
            <v>IT Consulting &amp; Software</v>
          </cell>
        </row>
        <row r="5082">
          <cell r="B5082" t="str">
            <v>Novateor Research Laboratories Ltd</v>
          </cell>
          <cell r="C5082">
            <v>542771</v>
          </cell>
          <cell r="D5082" t="str">
            <v>NOVATEOR</v>
          </cell>
          <cell r="E5082" t="str">
            <v>Personal Products</v>
          </cell>
        </row>
        <row r="5083">
          <cell r="B5083" t="str">
            <v>IIFL Wealth Management Ltd</v>
          </cell>
          <cell r="C5083">
            <v>542772</v>
          </cell>
          <cell r="D5083" t="str">
            <v>IIFLWAM</v>
          </cell>
          <cell r="E5083" t="str">
            <v>Other Financial Services</v>
          </cell>
        </row>
        <row r="5084">
          <cell r="B5084" t="str">
            <v>IIFL Securities Ltd</v>
          </cell>
          <cell r="C5084">
            <v>542773</v>
          </cell>
          <cell r="D5084" t="str">
            <v>IIFLSEC</v>
          </cell>
          <cell r="E5084" t="str">
            <v>Other Financial Services</v>
          </cell>
        </row>
        <row r="5085">
          <cell r="B5085" t="str">
            <v>APM Finvest Ltd</v>
          </cell>
          <cell r="C5085">
            <v>542774</v>
          </cell>
          <cell r="D5085" t="str">
            <v>APMFINVEST</v>
          </cell>
          <cell r="E5085" t="str">
            <v>Finance (including NBFCs)</v>
          </cell>
        </row>
        <row r="5086">
          <cell r="B5086" t="str">
            <v>Misquita Engineering Ltd</v>
          </cell>
          <cell r="C5086">
            <v>542801</v>
          </cell>
          <cell r="D5086" t="str">
            <v>MISQUITA</v>
          </cell>
          <cell r="E5086" t="str">
            <v>Industrial Machinery</v>
          </cell>
        </row>
        <row r="5087">
          <cell r="B5087" t="str">
            <v>Galactico Corporate Services Ltd</v>
          </cell>
          <cell r="C5087">
            <v>542802</v>
          </cell>
          <cell r="D5087" t="str">
            <v>GALACTICO</v>
          </cell>
          <cell r="E5087" t="str">
            <v>Other Financial Services</v>
          </cell>
        </row>
        <row r="5088">
          <cell r="B5088" t="str">
            <v>Ellora Trading Ltd</v>
          </cell>
          <cell r="C5088">
            <v>542803</v>
          </cell>
          <cell r="D5088" t="str">
            <v>ELLORATRAD</v>
          </cell>
          <cell r="E5088" t="str">
            <v>Comm.Trading  &amp; Distribution</v>
          </cell>
        </row>
        <row r="5089">
          <cell r="B5089" t="str">
            <v>NIPPON INDIA EQUITY SAVINGS FUND - SEGREGATED PORTFOLIO 1 - DIVIDEND PLANDIVIDEND PAYOUT</v>
          </cell>
          <cell r="C5089">
            <v>542804</v>
          </cell>
          <cell r="D5089" t="str">
            <v>NIESSPJ</v>
          </cell>
          <cell r="E5089" t="str">
            <v xml:space="preserve"> </v>
          </cell>
        </row>
        <row r="5090">
          <cell r="B5090" t="str">
            <v>NIPPON INDIA EQUITY SAVINGS FUND - SEGREGATED PORTFOLIO 1 - DIRECT QUARTERLY DIVIDEND PLAN REINVESTMENT</v>
          </cell>
          <cell r="C5090">
            <v>542805</v>
          </cell>
          <cell r="D5090" t="str">
            <v>NIESSPI</v>
          </cell>
          <cell r="E5090" t="str">
            <v xml:space="preserve"> </v>
          </cell>
        </row>
        <row r="5091">
          <cell r="B5091" t="str">
            <v>NIPPON INDIA EQUITY SAVINGS FUND - SEGREGATED PORTFOLIO 1 - DIRECT BONUS PLAN BONUS</v>
          </cell>
          <cell r="C5091">
            <v>542806</v>
          </cell>
          <cell r="D5091" t="str">
            <v>NIESSPB</v>
          </cell>
          <cell r="E5091" t="str">
            <v xml:space="preserve"> </v>
          </cell>
        </row>
        <row r="5092">
          <cell r="B5092" t="str">
            <v>NIPPON INDIA EQUITY SAVINGS FUND - SEGREGATED PORTFOLIO 1 - QUARTERLY DIVIDEND PLANDIVIDEND PAYOUT</v>
          </cell>
          <cell r="C5092">
            <v>542807</v>
          </cell>
          <cell r="D5092" t="str">
            <v>NIESSPO</v>
          </cell>
          <cell r="E5092" t="str">
            <v xml:space="preserve"> </v>
          </cell>
        </row>
        <row r="5093">
          <cell r="B5093" t="str">
            <v>NIPPON INDIA EQUITY SAVINGS FUND - SEGREGATED PORTFOLIO 1 - DIRECT DIVIDEND PLAN DIVIDEND PAYOUT</v>
          </cell>
          <cell r="C5093">
            <v>542808</v>
          </cell>
          <cell r="D5093" t="str">
            <v>NIESSPC</v>
          </cell>
          <cell r="E5093" t="str">
            <v xml:space="preserve"> </v>
          </cell>
        </row>
        <row r="5094">
          <cell r="B5094" t="str">
            <v>NIPPON INDIA EQUITY SAVINGS FUND - SEGREGATED PORTFOLIO 1 - QUARTERLY DIVIDEND PLAN REINVESTMENT</v>
          </cell>
          <cell r="C5094">
            <v>542809</v>
          </cell>
          <cell r="D5094" t="str">
            <v>NIESSPP</v>
          </cell>
          <cell r="E5094" t="str">
            <v xml:space="preserve"> </v>
          </cell>
        </row>
        <row r="5095">
          <cell r="B5095" t="str">
            <v>NIPPON INDIA EQUITY SAVINGS FUND - SEGREGATED PORTFOLIO 1 - BONUS PLANBONUS</v>
          </cell>
          <cell r="C5095">
            <v>542810</v>
          </cell>
          <cell r="D5095" t="str">
            <v>NIESSPA</v>
          </cell>
          <cell r="E5095" t="str">
            <v xml:space="preserve"> </v>
          </cell>
        </row>
        <row r="5096">
          <cell r="B5096" t="str">
            <v>NIPPON INDIA EQUITY SAVINGS FUND - SEGREGATED PORTFOLIO 1 - DIRECT MONTHLY DIVIDEND PLAN REINVESTMENT</v>
          </cell>
          <cell r="C5096">
            <v>542811</v>
          </cell>
          <cell r="D5096" t="str">
            <v>NIESSPG</v>
          </cell>
          <cell r="E5096" t="str">
            <v xml:space="preserve"> </v>
          </cell>
        </row>
        <row r="5097">
          <cell r="B5097" t="str">
            <v>Gujarat Fluorochemicals Ltd</v>
          </cell>
          <cell r="C5097">
            <v>542812</v>
          </cell>
          <cell r="D5097" t="str">
            <v>FLUOROCHEM</v>
          </cell>
          <cell r="E5097" t="str">
            <v>Specialty Chemicals</v>
          </cell>
        </row>
        <row r="5098">
          <cell r="B5098" t="str">
            <v>NIPPON INDIA EQUITY HYBRID FUND -&amp;#160;SEGREGATED PORTFOLIO 1- DIRECT DIVIDEND PLAN REINVESTMENT</v>
          </cell>
          <cell r="C5098">
            <v>542813</v>
          </cell>
          <cell r="D5098" t="str">
            <v>NIEHSPA</v>
          </cell>
          <cell r="E5098" t="str">
            <v xml:space="preserve"> </v>
          </cell>
        </row>
        <row r="5099">
          <cell r="B5099" t="str">
            <v>NIPPON INDIA EQUITY HYBRID FUND -&amp;#160;SEGREGATED PORTFOLIO 1 - DIRECT MONTHLY DIVIDEND PLAN DIVIDEND PAYOUT</v>
          </cell>
          <cell r="C5099">
            <v>542814</v>
          </cell>
          <cell r="D5099" t="str">
            <v>NIEHSPB</v>
          </cell>
          <cell r="E5099" t="str">
            <v xml:space="preserve"> </v>
          </cell>
        </row>
        <row r="5100">
          <cell r="B5100" t="str">
            <v>NIPPON INDIA EQUITY HYBRID FUND -&amp;#160;SEGREGATED PORTFOLIO 1 - DIRECT MONTHLY DIVIDEND PLAN REINVESTMENT</v>
          </cell>
          <cell r="C5100">
            <v>542815</v>
          </cell>
          <cell r="D5100" t="str">
            <v>NIEHSPC</v>
          </cell>
          <cell r="E5100" t="str">
            <v xml:space="preserve"> </v>
          </cell>
        </row>
        <row r="5101">
          <cell r="B5101" t="str">
            <v>NIPPON INDIA EQUITY HYBRID FUND -&amp;#160;SEGREGATED PORTFOLIO 1 - QUARTERLY DIVIDEND PLAN REINVESTMENT</v>
          </cell>
          <cell r="C5101">
            <v>542816</v>
          </cell>
          <cell r="D5101" t="str">
            <v>NIEHSPF</v>
          </cell>
          <cell r="E5101" t="str">
            <v xml:space="preserve"> </v>
          </cell>
        </row>
        <row r="5102">
          <cell r="B5102" t="str">
            <v>NIPPON INDIA EQUITY HYBRID FUND -&amp;#160;SEGREGATED PORTFOLIO 1 - DIRECT QUARTERLY DIVIDEND PLAN DIVIDEND PAYOUT</v>
          </cell>
          <cell r="C5102">
            <v>542817</v>
          </cell>
          <cell r="D5102" t="str">
            <v>NIEHSPI</v>
          </cell>
          <cell r="E5102" t="str">
            <v xml:space="preserve"> </v>
          </cell>
        </row>
        <row r="5103">
          <cell r="B5103" t="str">
            <v>NIPPON INDIA EQUITY HYBRID FUND -&amp;#160;SEGREGATED PORTFOLIO 1 - DIRECT QUARTERLY DIVIDEND PLAN REINVESTMENT</v>
          </cell>
          <cell r="C5103">
            <v>542818</v>
          </cell>
          <cell r="D5103" t="str">
            <v>NIEHSPK</v>
          </cell>
          <cell r="E5103" t="str">
            <v xml:space="preserve"> </v>
          </cell>
        </row>
        <row r="5104">
          <cell r="B5104" t="str">
            <v>NIPPON INDIA EQUITY HYBRID FUND -&amp;#160;SEGREGATED PORTFOLIO 1 - DIRECT DIVIDEND PLAN DIVIDEND PAYOUT</v>
          </cell>
          <cell r="C5104">
            <v>542819</v>
          </cell>
          <cell r="D5104" t="str">
            <v>NIEHSPM</v>
          </cell>
          <cell r="E5104" t="str">
            <v xml:space="preserve"> </v>
          </cell>
        </row>
        <row r="5105">
          <cell r="B5105" t="str">
            <v>NIPPON INDIA EQUITY HYBRID FUND -&amp;#160;SEGREGATED PORTFOLIO 1 - MONTHLY DIVIDEND PLAN REINVESTMENT</v>
          </cell>
          <cell r="C5105">
            <v>542820</v>
          </cell>
          <cell r="D5105" t="str">
            <v>NIEHSPN</v>
          </cell>
          <cell r="E5105" t="str">
            <v xml:space="preserve"> </v>
          </cell>
        </row>
        <row r="5106">
          <cell r="B5106" t="str">
            <v>Indian Railway Catering and Tourism Corporation Ltd</v>
          </cell>
          <cell r="C5106">
            <v>542830</v>
          </cell>
          <cell r="D5106" t="str">
            <v>IRCTC</v>
          </cell>
          <cell r="E5106" t="str">
            <v>Travel Support Services</v>
          </cell>
        </row>
        <row r="5107">
          <cell r="B5107" t="str">
            <v>NIPPON INDIA EQUITY SAVINGS FUND - SEGREGATED PORTFOLIO 1 - DIRECT DIVIDEND PLAN REINVESTMENT</v>
          </cell>
          <cell r="C5107">
            <v>542836</v>
          </cell>
          <cell r="D5107" t="str">
            <v>NIESSPD</v>
          </cell>
          <cell r="E5107" t="str">
            <v xml:space="preserve"> </v>
          </cell>
        </row>
        <row r="5108">
          <cell r="B5108" t="str">
            <v>NIPPON INDIA EQUITY SAVINGS FUND - SEGREGATED PORTFOLIO 1 - DIRECT GROWTH PLAN GROWTH</v>
          </cell>
          <cell r="C5108">
            <v>542837</v>
          </cell>
          <cell r="D5108" t="str">
            <v>NIESSPE</v>
          </cell>
          <cell r="E5108" t="str">
            <v xml:space="preserve"> </v>
          </cell>
        </row>
        <row r="5109">
          <cell r="B5109" t="str">
            <v>NIPPON INDIA EQUITY SAVINGS FUND - SEGREGATED PORTFOLIO 1 - DIRECT MONTHLY DIVIDEND PLAN DIVIDEND PAYOUT</v>
          </cell>
          <cell r="C5109">
            <v>542838</v>
          </cell>
          <cell r="D5109" t="str">
            <v>NIESSPF</v>
          </cell>
          <cell r="E5109" t="str">
            <v xml:space="preserve"> </v>
          </cell>
        </row>
        <row r="5110">
          <cell r="B5110" t="str">
            <v>NIPPON INDIA EQUITY HYBRID FUND -&amp;#160;SEGREGATED PORTFOLIO 1 - GROWTH PLAN GROWTH</v>
          </cell>
          <cell r="C5110">
            <v>542839</v>
          </cell>
          <cell r="D5110" t="str">
            <v>NIEHSPD</v>
          </cell>
          <cell r="E5110" t="str">
            <v xml:space="preserve"> </v>
          </cell>
        </row>
        <row r="5111">
          <cell r="B5111" t="str">
            <v>NIPPON INDIA EQUITY SAVINGS FUND - SEGREGATED PORTFOLIO 1 - DIRECT QUARTERLY DIVIDEND PLAN DIVIDEND PAYOUT</v>
          </cell>
          <cell r="C5111">
            <v>542840</v>
          </cell>
          <cell r="D5111" t="str">
            <v>NIESSPH</v>
          </cell>
          <cell r="E5111" t="str">
            <v xml:space="preserve"> </v>
          </cell>
        </row>
        <row r="5112">
          <cell r="B5112" t="str">
            <v>NIPPON INDIA EQUITY HYBRID FUND -&amp;#160;SEGREGATED PORTFOLIO 1 - QUARTERLY DIVIDEND PLAN DIVIDEND PAYOUT</v>
          </cell>
          <cell r="C5112">
            <v>542841</v>
          </cell>
          <cell r="D5112" t="str">
            <v>NIEHSPE</v>
          </cell>
          <cell r="E5112" t="str">
            <v xml:space="preserve"> </v>
          </cell>
        </row>
        <row r="5113">
          <cell r="B5113" t="str">
            <v>NIPPON INDIA EQUITY SAVINGS FUND - SEGREGATED PORTFOLIO 1 - DIVIDEND PLAN REINVESTMENT</v>
          </cell>
          <cell r="C5113">
            <v>542842</v>
          </cell>
          <cell r="D5113" t="str">
            <v>NIESSPK</v>
          </cell>
          <cell r="E5113" t="str">
            <v xml:space="preserve"> </v>
          </cell>
        </row>
        <row r="5114">
          <cell r="B5114" t="str">
            <v>NIPPON INDIA EQUITY HYBRID FUND -&amp;#160;SEGREGATED PORTFOLIO 1 - DIRECT GROWTH PLAN GROWTH</v>
          </cell>
          <cell r="C5114">
            <v>542843</v>
          </cell>
          <cell r="D5114" t="str">
            <v>NIEHSPG</v>
          </cell>
          <cell r="E5114" t="str">
            <v xml:space="preserve"> </v>
          </cell>
        </row>
        <row r="5115">
          <cell r="B5115" t="str">
            <v>NIPPON INDIA EQUITY HYBRID FUND -&amp;#160;SEGREGATED PORTFOLIO 1 - DIVIDEND PLAN DIVIDEND PAYOUT</v>
          </cell>
          <cell r="C5115">
            <v>542844</v>
          </cell>
          <cell r="D5115" t="str">
            <v>NIEHSPH</v>
          </cell>
          <cell r="E5115" t="str">
            <v xml:space="preserve"> </v>
          </cell>
        </row>
        <row r="5116">
          <cell r="B5116" t="str">
            <v>NIPPON INDIA EQUITY HYBRID FUND -&amp;#160;SEGREGATED PORTFOLIO 1 - DIVIDEND PLAN REINVESTMENT</v>
          </cell>
          <cell r="C5116">
            <v>542845</v>
          </cell>
          <cell r="D5116" t="str">
            <v>NIEHSPJ</v>
          </cell>
          <cell r="E5116" t="str">
            <v xml:space="preserve"> </v>
          </cell>
        </row>
        <row r="5117">
          <cell r="B5117" t="str">
            <v>NIPPON INDIA EQUITY HYBRID FUND -&amp;#160;SEGREGATED PORTFOLIO 1 - MONTHLY DIVIDEND PLAN DIVIDEND PAYOUT</v>
          </cell>
          <cell r="C5117">
            <v>542846</v>
          </cell>
          <cell r="D5117" t="str">
            <v>NIEHSPL</v>
          </cell>
          <cell r="E5117" t="str">
            <v xml:space="preserve"> </v>
          </cell>
        </row>
        <row r="5118">
          <cell r="B5118" t="str">
            <v>NIPPON INDIA EQUITY SAVINGS FUND - SEGREGATED PORTFOLIO 1 - GROWTH PLAN GROWTH</v>
          </cell>
          <cell r="C5118">
            <v>542847</v>
          </cell>
          <cell r="D5118" t="str">
            <v>NIESSPL</v>
          </cell>
          <cell r="E5118" t="str">
            <v xml:space="preserve"> </v>
          </cell>
        </row>
        <row r="5119">
          <cell r="B5119" t="str">
            <v>NIPPON INDIA EQUITY SAVINGS FUND - SEGREGATED PORTFOLIO 1 - MONTHLY DIVIDEND PLANDIVIDEND PAYOUT</v>
          </cell>
          <cell r="C5119">
            <v>542848</v>
          </cell>
          <cell r="D5119" t="str">
            <v>NIESSPM</v>
          </cell>
          <cell r="E5119" t="str">
            <v xml:space="preserve"> </v>
          </cell>
        </row>
        <row r="5120">
          <cell r="B5120" t="str">
            <v>NIPPON INDIA EQUITY SAVINGS FUND - SEGREGATED PORTFOLIO 1 - MONTHLY DIVIDEND PLAN REINVESTMENT</v>
          </cell>
          <cell r="C5120">
            <v>542849</v>
          </cell>
          <cell r="D5120" t="str">
            <v>NIESSPN</v>
          </cell>
          <cell r="E5120" t="str">
            <v xml:space="preserve"> </v>
          </cell>
        </row>
        <row r="5121">
          <cell r="B5121" t="str">
            <v>Goblin India Ltd</v>
          </cell>
          <cell r="C5121">
            <v>542850</v>
          </cell>
          <cell r="D5121" t="str">
            <v>GOBLIN</v>
          </cell>
          <cell r="E5121" t="str">
            <v>Other Apparels &amp; Accessories</v>
          </cell>
        </row>
        <row r="5122">
          <cell r="B5122" t="str">
            <v>Gensol Engineering Ltd</v>
          </cell>
          <cell r="C5122">
            <v>542851</v>
          </cell>
          <cell r="D5122" t="str">
            <v>GENSOL</v>
          </cell>
          <cell r="E5122" t="str">
            <v>Consulting Services</v>
          </cell>
        </row>
        <row r="5123">
          <cell r="B5123" t="str">
            <v>Vishwaraj Sugar Industries Ltd</v>
          </cell>
          <cell r="C5123">
            <v>542852</v>
          </cell>
          <cell r="D5123" t="str">
            <v>VISHWARAJ</v>
          </cell>
          <cell r="E5123" t="str">
            <v>Sugar</v>
          </cell>
        </row>
        <row r="5124">
          <cell r="B5124" t="str">
            <v>Greenpanel Industries Ltd</v>
          </cell>
          <cell r="C5124">
            <v>542857</v>
          </cell>
          <cell r="D5124" t="str">
            <v>GREENPANEL</v>
          </cell>
          <cell r="E5124" t="str">
            <v>Forest Products</v>
          </cell>
        </row>
        <row r="5125">
          <cell r="B5125" t="str">
            <v>Shahlon Silk Industries Ltd</v>
          </cell>
          <cell r="C5125">
            <v>542862</v>
          </cell>
          <cell r="D5125" t="str">
            <v>SHAHLON</v>
          </cell>
          <cell r="E5125" t="str">
            <v>Textiles</v>
          </cell>
        </row>
        <row r="5126">
          <cell r="B5126" t="str">
            <v>ADITYA BIRLA SUN LIFE BANKING ETF</v>
          </cell>
          <cell r="C5126">
            <v>542863</v>
          </cell>
          <cell r="D5126" t="str">
            <v>ABSLBANETF</v>
          </cell>
          <cell r="E5126" t="str">
            <v xml:space="preserve"> </v>
          </cell>
        </row>
        <row r="5127">
          <cell r="B5127" t="str">
            <v>Mount Housing and Infrastructure Ltd</v>
          </cell>
          <cell r="C5127">
            <v>542864</v>
          </cell>
          <cell r="D5127" t="str">
            <v>MOUNT</v>
          </cell>
          <cell r="E5127" t="str">
            <v>Realty</v>
          </cell>
        </row>
        <row r="5128">
          <cell r="B5128" t="str">
            <v>Anuroop Packaging Ltd</v>
          </cell>
          <cell r="C5128">
            <v>542865</v>
          </cell>
          <cell r="D5128" t="str">
            <v>ANUROOP</v>
          </cell>
          <cell r="E5128" t="str">
            <v>Containers &amp; Packaging</v>
          </cell>
        </row>
        <row r="5129">
          <cell r="B5129" t="str">
            <v>JSG Leasing Ltd</v>
          </cell>
          <cell r="C5129">
            <v>542866</v>
          </cell>
          <cell r="D5129" t="str">
            <v>JSGLEASING</v>
          </cell>
          <cell r="E5129" t="str">
            <v>Other Financial Services</v>
          </cell>
        </row>
        <row r="5130">
          <cell r="B5130" t="str">
            <v>CSB Bank Ltd</v>
          </cell>
          <cell r="C5130">
            <v>542867</v>
          </cell>
          <cell r="D5130" t="str">
            <v>CSBBANK</v>
          </cell>
          <cell r="E5130" t="str">
            <v>Banks</v>
          </cell>
        </row>
        <row r="5131">
          <cell r="B5131" t="str">
            <v>Ujjivan Small Finance Bank Ltd</v>
          </cell>
          <cell r="C5131">
            <v>542904</v>
          </cell>
          <cell r="D5131" t="str">
            <v>UJJIVANSFB</v>
          </cell>
          <cell r="E5131" t="str">
            <v>Banks</v>
          </cell>
        </row>
        <row r="5132">
          <cell r="B5132" t="str">
            <v>Somany Home Innovation Ltd</v>
          </cell>
          <cell r="C5132">
            <v>542905</v>
          </cell>
          <cell r="D5132" t="str">
            <v>SHIL</v>
          </cell>
          <cell r="E5132" t="str">
            <v>Other Elect.Equip./ Prod.</v>
          </cell>
        </row>
        <row r="5133">
          <cell r="B5133" t="str">
            <v>Easun Capital Markets Ltd</v>
          </cell>
          <cell r="C5133">
            <v>542906</v>
          </cell>
          <cell r="D5133" t="str">
            <v>EASUN</v>
          </cell>
          <cell r="E5133" t="str">
            <v>Finance (including NBFCs)</v>
          </cell>
        </row>
        <row r="5134">
          <cell r="B5134" t="str">
            <v>Prince Pipes and Fittings Ltd</v>
          </cell>
          <cell r="C5134">
            <v>542907</v>
          </cell>
          <cell r="D5134" t="str">
            <v>PRINCEPIPE</v>
          </cell>
          <cell r="E5134" t="str">
            <v>Plastic Products</v>
          </cell>
        </row>
        <row r="5135">
          <cell r="B5135" t="str">
            <v>Valencia Nutrition Ltd</v>
          </cell>
          <cell r="C5135">
            <v>542910</v>
          </cell>
          <cell r="D5135" t="str">
            <v>VALENCIA</v>
          </cell>
          <cell r="E5135" t="str">
            <v>Non-alcoholic Beverages</v>
          </cell>
        </row>
        <row r="5136">
          <cell r="B5136" t="str">
            <v>Assam Entrade Ltd</v>
          </cell>
          <cell r="C5136">
            <v>542911</v>
          </cell>
          <cell r="D5136" t="str">
            <v>ASSAMENT</v>
          </cell>
          <cell r="E5136" t="str">
            <v>Finance (including NBFCs)</v>
          </cell>
        </row>
        <row r="5137">
          <cell r="B5137" t="str">
            <v>Gian Life Care Ltd</v>
          </cell>
          <cell r="C5137">
            <v>542918</v>
          </cell>
          <cell r="D5137" t="str">
            <v>GIANLIFE</v>
          </cell>
          <cell r="E5137" t="str">
            <v>Healthcare Services</v>
          </cell>
        </row>
        <row r="5138">
          <cell r="B5138" t="str">
            <v>Artemis Medicare Services Ltd</v>
          </cell>
          <cell r="C5138">
            <v>542919</v>
          </cell>
          <cell r="D5138" t="str">
            <v>ARTEMISMED</v>
          </cell>
          <cell r="E5138" t="str">
            <v>Healthcare Services</v>
          </cell>
        </row>
        <row r="5139">
          <cell r="B5139" t="str">
            <v>Sumitomo Chemical India Ltd</v>
          </cell>
          <cell r="C5139">
            <v>542920</v>
          </cell>
          <cell r="D5139" t="str">
            <v>SUMICHEM</v>
          </cell>
          <cell r="E5139" t="str">
            <v>Agrochemicals</v>
          </cell>
        </row>
        <row r="5140">
          <cell r="B5140" t="str">
            <v>ICICI Prudential Midcap 150 ETF</v>
          </cell>
          <cell r="C5140">
            <v>542921</v>
          </cell>
          <cell r="D5140" t="str">
            <v>ICICIM150</v>
          </cell>
          <cell r="E5140" t="str">
            <v xml:space="preserve"> </v>
          </cell>
        </row>
        <row r="5141">
          <cell r="B5141" t="str">
            <v>Mirae Asset Nifty Next 50 ETF (MANXT50ETF)</v>
          </cell>
          <cell r="C5141">
            <v>542922</v>
          </cell>
          <cell r="D5141" t="str">
            <v>MANXT50ETF</v>
          </cell>
          <cell r="E5141" t="str">
            <v xml:space="preserve"> </v>
          </cell>
        </row>
        <row r="5142">
          <cell r="B5142" t="str">
            <v>Tranway Technologies Ltd</v>
          </cell>
          <cell r="C5142">
            <v>542923</v>
          </cell>
          <cell r="D5142" t="str">
            <v>TRANWAY</v>
          </cell>
          <cell r="E5142" t="str">
            <v>IT Consulting &amp; Software</v>
          </cell>
        </row>
        <row r="5143">
          <cell r="B5143" t="str">
            <v>Janus Corporation Ltd</v>
          </cell>
          <cell r="C5143">
            <v>542924</v>
          </cell>
          <cell r="D5143" t="str">
            <v>JANUSCORP</v>
          </cell>
          <cell r="E5143" t="str">
            <v>Diversified</v>
          </cell>
        </row>
        <row r="5144">
          <cell r="B5144" t="str">
            <v>Vardhan Capital &amp; Finance Ltd</v>
          </cell>
          <cell r="C5144">
            <v>542931</v>
          </cell>
          <cell r="D5144" t="str">
            <v>VARDHANCFL</v>
          </cell>
          <cell r="E5144" t="str">
            <v>Finance (including NBFCs)</v>
          </cell>
        </row>
        <row r="5145">
          <cell r="B5145" t="str">
            <v>Birla Tyres Ltd</v>
          </cell>
          <cell r="C5145">
            <v>542932</v>
          </cell>
          <cell r="D5145" t="str">
            <v>BIRLATYRES</v>
          </cell>
          <cell r="E5145" t="str">
            <v>Auto Tyres &amp; Rubber Products</v>
          </cell>
        </row>
        <row r="5146">
          <cell r="B5146" t="str">
            <v>Universus Photo Imagings Ltd</v>
          </cell>
          <cell r="C5146">
            <v>542933</v>
          </cell>
          <cell r="D5146" t="str">
            <v>UNIVPHOTO</v>
          </cell>
          <cell r="E5146" t="str">
            <v>Photographic Products</v>
          </cell>
        </row>
        <row r="5147">
          <cell r="B5147" t="str">
            <v>Chandra Bhagat Pharma Ltd</v>
          </cell>
          <cell r="C5147">
            <v>542934</v>
          </cell>
          <cell r="D5147" t="str">
            <v>CBPL</v>
          </cell>
          <cell r="E5147" t="str">
            <v>Pharmaceuticals</v>
          </cell>
        </row>
        <row r="5148">
          <cell r="B5148" t="str">
            <v>ICL Organic Dairy Products Ltd</v>
          </cell>
          <cell r="C5148">
            <v>542935</v>
          </cell>
          <cell r="D5148" t="str">
            <v>ICLORGANIC</v>
          </cell>
          <cell r="E5148" t="str">
            <v>Packaged Foods</v>
          </cell>
        </row>
        <row r="5149">
          <cell r="B5149" t="str">
            <v>Octavius Plantations Ltd</v>
          </cell>
          <cell r="C5149">
            <v>542938</v>
          </cell>
          <cell r="D5149" t="str">
            <v>OCTAVIUSPL</v>
          </cell>
          <cell r="E5149" t="str">
            <v>Tea &amp; Coffee</v>
          </cell>
        </row>
        <row r="5150">
          <cell r="B5150" t="str">
            <v>Suven Pharmaceuticals Ltd</v>
          </cell>
          <cell r="C5150">
            <v>543064</v>
          </cell>
          <cell r="D5150" t="str">
            <v>SUVENPHAR</v>
          </cell>
          <cell r="E5150" t="str">
            <v>Pharmaceuticals</v>
          </cell>
        </row>
        <row r="5151">
          <cell r="B5151" t="str">
            <v>SM Auto Stamping Ltd</v>
          </cell>
          <cell r="C5151">
            <v>543065</v>
          </cell>
          <cell r="D5151" t="str">
            <v>SMAUTO</v>
          </cell>
          <cell r="E5151" t="str">
            <v>Other Industrial Goods</v>
          </cell>
        </row>
        <row r="5152">
          <cell r="B5152" t="str">
            <v>SBI Cards and Payment Services Ltd</v>
          </cell>
          <cell r="C5152">
            <v>543066</v>
          </cell>
          <cell r="D5152" t="str">
            <v>SBICARD</v>
          </cell>
          <cell r="E5152" t="str">
            <v>Finance (including NBFCs)</v>
          </cell>
        </row>
        <row r="5153">
          <cell r="B5153" t="str">
            <v>NIPPON INDIA EQUITY SAVINGS FUND -  SEGREGATED PORTFOLIO 2 - MONTHLY DIVIDEND PLAN(Issue Price: 0.01)</v>
          </cell>
          <cell r="C5153">
            <v>543144</v>
          </cell>
          <cell r="D5153" t="str">
            <v>08MPD</v>
          </cell>
          <cell r="E5153" t="str">
            <v xml:space="preserve"> </v>
          </cell>
        </row>
        <row r="5154">
          <cell r="B5154" t="str">
            <v>NIPPON INDIA EQUITY SAVINGS FUND -  SEGREGATED PORTFOLIO 2 - DIRECT DIVIDEND PLAN(Issue Price: 0.01)</v>
          </cell>
          <cell r="C5154">
            <v>543145</v>
          </cell>
          <cell r="D5154" t="str">
            <v>08ADR</v>
          </cell>
          <cell r="E5154" t="str">
            <v xml:space="preserve"> </v>
          </cell>
        </row>
        <row r="5155">
          <cell r="B5155" t="str">
            <v>NIPPON INDIA EQUITY SAVINGS FUND -  SEGREGATED PORTFOLIO 2 - MONTHLY DIVIDEND PLAN(Issue Price: 0.01)</v>
          </cell>
          <cell r="C5155">
            <v>543146</v>
          </cell>
          <cell r="D5155" t="str">
            <v>08MPR</v>
          </cell>
          <cell r="E5155" t="str">
            <v xml:space="preserve"> </v>
          </cell>
        </row>
        <row r="5156">
          <cell r="B5156" t="str">
            <v>NIPPON INDIA EQUITY SAVINGS FUND -  SEGREGATED PORTFOLIO 2 - DIRECT MONTHLY DIVIDEND PLAN(Issue Price: 0.01)</v>
          </cell>
          <cell r="C5156">
            <v>543147</v>
          </cell>
          <cell r="D5156" t="str">
            <v>08AMD</v>
          </cell>
          <cell r="E5156" t="str">
            <v xml:space="preserve"> </v>
          </cell>
        </row>
        <row r="5157">
          <cell r="B5157" t="str">
            <v>NIPPON INDIA EQUITY SAVINGS FUND -  SEGREGATED PORTFOLIO 2 - DIRECT MONTHLY DIVIDEND PLAN(Issue Price: 0.01)</v>
          </cell>
          <cell r="C5157">
            <v>543148</v>
          </cell>
          <cell r="D5157" t="str">
            <v>08AMR</v>
          </cell>
          <cell r="E5157" t="str">
            <v xml:space="preserve"> </v>
          </cell>
        </row>
        <row r="5158">
          <cell r="B5158" t="str">
            <v>NIPPON INDIA EQUITY SAVINGS FUND -  SEGREGATED PORTFOLIO 2 - BONUS PLAN(Issue Price: 0.01)</v>
          </cell>
          <cell r="C5158">
            <v>543149</v>
          </cell>
          <cell r="D5158" t="str">
            <v>08BPB</v>
          </cell>
          <cell r="E5158" t="str">
            <v xml:space="preserve"> </v>
          </cell>
        </row>
        <row r="5159">
          <cell r="B5159" t="str">
            <v>NIPPON INDIA EQUITY SAVINGS FUND -  SEGREGATED PORTFOLIO 2 - GROWTH PLAN(Issue Price: 0.01)</v>
          </cell>
          <cell r="C5159">
            <v>543150</v>
          </cell>
          <cell r="D5159" t="str">
            <v>08GPG</v>
          </cell>
          <cell r="E5159" t="str">
            <v xml:space="preserve"> </v>
          </cell>
        </row>
        <row r="5160">
          <cell r="B5160" t="str">
            <v>NIPPON INDIA EQUITY SAVINGS FUND -  SEGREGATED PORTFOLIO 2 - DIRECT BONUS PLAN(Issue Price: 0.01)</v>
          </cell>
          <cell r="C5160">
            <v>543151</v>
          </cell>
          <cell r="D5160" t="str">
            <v>08ABB</v>
          </cell>
          <cell r="E5160" t="str">
            <v xml:space="preserve"> </v>
          </cell>
        </row>
        <row r="5161">
          <cell r="B5161" t="str">
            <v>NIPPON INDIA EQUITY SAVINGS FUND -  SEGREGATED PORTFOLIO 2 - QUARTERLY DIVIDEND PLAN(Issue Price: 0.01)</v>
          </cell>
          <cell r="C5161">
            <v>543152</v>
          </cell>
          <cell r="D5161" t="str">
            <v>08QPD</v>
          </cell>
          <cell r="E5161" t="str">
            <v xml:space="preserve"> </v>
          </cell>
        </row>
        <row r="5162">
          <cell r="B5162" t="str">
            <v>NIPPON INDIA EQUITY SAVINGS FUND -  SEGREGATED PORTFOLIO 2 - DIRECT GROWTH PLAN(Issue Price: 0.01)</v>
          </cell>
          <cell r="C5162">
            <v>543153</v>
          </cell>
          <cell r="D5162" t="str">
            <v>08AGG</v>
          </cell>
          <cell r="E5162" t="str">
            <v xml:space="preserve"> </v>
          </cell>
        </row>
        <row r="5163">
          <cell r="B5163" t="str">
            <v>NIPPON INDIA EQUITY SAVINGS FUND -  SEGREGATED PORTFOLIO 2 - QUARTERLY DIVIDEND PLAN(Issue Price: 0.01)</v>
          </cell>
          <cell r="C5163">
            <v>543154</v>
          </cell>
          <cell r="D5163" t="str">
            <v>08QPR</v>
          </cell>
          <cell r="E5163" t="str">
            <v xml:space="preserve"> </v>
          </cell>
        </row>
        <row r="5164">
          <cell r="B5164" t="str">
            <v>NIPPON INDIA EQUITY SAVINGS FUND -  SEGREGATED PORTFOLIO 2 - DIRECT QUARTERLY DIVIDEND PLAN(Issue Price: 0.01)</v>
          </cell>
          <cell r="C5164">
            <v>543155</v>
          </cell>
          <cell r="D5164" t="str">
            <v>08AQD</v>
          </cell>
          <cell r="E5164" t="str">
            <v xml:space="preserve"> </v>
          </cell>
        </row>
        <row r="5165">
          <cell r="B5165" t="str">
            <v>NIPPON INDIA EQUITY SAVINGS FUND -  SEGREGATED PORTFOLIO 2 - DIVIDEND PLAN(Issue Price: 0.01)</v>
          </cell>
          <cell r="C5165">
            <v>543156</v>
          </cell>
          <cell r="D5165" t="str">
            <v>08DPD</v>
          </cell>
          <cell r="E5165" t="str">
            <v xml:space="preserve"> </v>
          </cell>
        </row>
        <row r="5166">
          <cell r="B5166" t="str">
            <v>NIPPON INDIA EQUITY SAVINGS FUND -  SEGREGATED PORTFOLIO 2 - DIRECT QUARTERLY DIVIDEND PLAN(Issue Price: 0.01)</v>
          </cell>
          <cell r="C5166">
            <v>543168</v>
          </cell>
          <cell r="D5166" t="str">
            <v>08AQR</v>
          </cell>
          <cell r="E5166" t="str">
            <v xml:space="preserve"> </v>
          </cell>
        </row>
        <row r="5167">
          <cell r="B5167" t="str">
            <v>NIPPON INDIA EQUITY SAVINGS FUND -  SEGREGATED PORTFOLIO 2 - DIVIDEND PLAN(Issue Price: 0.01)</v>
          </cell>
          <cell r="C5167">
            <v>543169</v>
          </cell>
          <cell r="D5167" t="str">
            <v>08DPR</v>
          </cell>
          <cell r="E5167" t="str">
            <v xml:space="preserve"> </v>
          </cell>
        </row>
        <row r="5168">
          <cell r="B5168" t="str">
            <v>NIPPON INDIA EQUITY SAVINGS FUND -  SEGREGATED PORTFOLIO 2 - DIRECT DIVIDEND PLAN(Issue Price: 0.01)</v>
          </cell>
          <cell r="C5168">
            <v>543170</v>
          </cell>
          <cell r="D5168" t="str">
            <v>08ADD</v>
          </cell>
          <cell r="E5168" t="str">
            <v xml:space="preserve"> </v>
          </cell>
        </row>
        <row r="5169">
          <cell r="B5169" t="str">
            <v>RO Jewels Ltd</v>
          </cell>
          <cell r="C5169">
            <v>543171</v>
          </cell>
          <cell r="D5169" t="str">
            <v>ROJL</v>
          </cell>
          <cell r="E5169" t="str">
            <v>Other Apparels &amp; Accessories</v>
          </cell>
        </row>
        <row r="5170">
          <cell r="B5170" t="str">
            <v>Cospower Engineering Ltd</v>
          </cell>
          <cell r="C5170">
            <v>543172</v>
          </cell>
          <cell r="D5170" t="str">
            <v>COSPOWER</v>
          </cell>
          <cell r="E5170" t="str">
            <v>Industrial Machinery</v>
          </cell>
        </row>
        <row r="5171">
          <cell r="B5171" t="str">
            <v>NIPPON INDIA EQUITY HYBRID FUND -  SEGREGATED PORTFOLIO 2DIVIDEND PLANDIVIDEND REINVESTMENT</v>
          </cell>
          <cell r="C5171">
            <v>543173</v>
          </cell>
          <cell r="D5171" t="str">
            <v>11DPR</v>
          </cell>
          <cell r="E5171" t="str">
            <v xml:space="preserve"> </v>
          </cell>
        </row>
        <row r="5172">
          <cell r="B5172" t="str">
            <v>NIPPON INDIA EQUITY HYBRID FUND -  SEGREGATED PORTFOLIO 2GROWTH PLAN GROWTH OPTIONGROWTH</v>
          </cell>
          <cell r="C5172">
            <v>543174</v>
          </cell>
          <cell r="D5172" t="str">
            <v>11GPG</v>
          </cell>
          <cell r="E5172" t="str">
            <v xml:space="preserve"> </v>
          </cell>
        </row>
        <row r="5173">
          <cell r="B5173" t="str">
            <v>NIPPON INDIA EQUITY HYBRID FUND -  SEGREGATED PORTFOLIO 2MONTHLY DIVIDEND PLANDIVIDEND PAYOUT</v>
          </cell>
          <cell r="C5173">
            <v>543175</v>
          </cell>
          <cell r="D5173" t="str">
            <v>11MPD</v>
          </cell>
          <cell r="E5173" t="str">
            <v xml:space="preserve"> </v>
          </cell>
        </row>
        <row r="5174">
          <cell r="B5174" t="str">
            <v>NIPPON INDIA EQUITY HYBRID FUND -  SEGREGATED PORTFOLIO 2MONTHLY DIVIDEND PLANREINVESTMENT</v>
          </cell>
          <cell r="C5174">
            <v>543176</v>
          </cell>
          <cell r="D5174" t="str">
            <v>11MPR</v>
          </cell>
          <cell r="E5174" t="str">
            <v xml:space="preserve"> </v>
          </cell>
        </row>
        <row r="5175">
          <cell r="B5175" t="str">
            <v>NIPPON INDIA EQUITY HYBRID FUND -  SEGREGATED PORTFOLIO 2QUARTERLY DIVIDEND PLANDIVIDEND PAYOUT</v>
          </cell>
          <cell r="C5175">
            <v>543177</v>
          </cell>
          <cell r="D5175" t="str">
            <v>11QPD</v>
          </cell>
          <cell r="E5175" t="str">
            <v xml:space="preserve"> </v>
          </cell>
        </row>
        <row r="5176">
          <cell r="B5176" t="str">
            <v>NIPPON INDIA EQUITY HYBRID FUND -  SEGREGATED PORTFOLIO 2QUARTERLY DIVIDEND PLANREINVESTMENT</v>
          </cell>
          <cell r="C5176">
            <v>543178</v>
          </cell>
          <cell r="D5176" t="str">
            <v>11QPR</v>
          </cell>
          <cell r="E5176" t="str">
            <v xml:space="preserve"> </v>
          </cell>
        </row>
        <row r="5177">
          <cell r="B5177" t="str">
            <v>NIPPON INDIA EQUITY HYBRID FUND -  SEGREGATED PORTFOLIO 2DIRECT PLAN DIVIDEND PLANDIVIDEND PAYOUT</v>
          </cell>
          <cell r="C5177">
            <v>543179</v>
          </cell>
          <cell r="D5177" t="str">
            <v>11ADD</v>
          </cell>
          <cell r="E5177" t="str">
            <v xml:space="preserve"> </v>
          </cell>
        </row>
        <row r="5178">
          <cell r="B5178" t="str">
            <v>NIPPON INDIA EQUITY HYBRID FUND -  SEGREGATED PORTFOLIO 2DIRECT PLAN DIVIDEND PLANDIVIDEND REINVESTMENT</v>
          </cell>
          <cell r="C5178">
            <v>543180</v>
          </cell>
          <cell r="D5178" t="str">
            <v>11ADR</v>
          </cell>
          <cell r="E5178" t="str">
            <v xml:space="preserve"> </v>
          </cell>
        </row>
        <row r="5179">
          <cell r="B5179" t="str">
            <v>NIPPON INDIA EQUITY HYBRID FUND -  SEGREGATED PORTFOLIO 2DIRECT GROWTH PLAN GROWTH OPTIONGROWTH</v>
          </cell>
          <cell r="C5179">
            <v>543181</v>
          </cell>
          <cell r="D5179" t="str">
            <v>11AGG</v>
          </cell>
          <cell r="E5179" t="str">
            <v xml:space="preserve"> </v>
          </cell>
        </row>
        <row r="5180">
          <cell r="B5180" t="str">
            <v>NIPPON INDIA EQUITY HYBRID FUND -  SEGREGATED PORTFOLIO 2DIRECT MONTHLY DIVIDEND PLANDIVIDEND PAYOUT</v>
          </cell>
          <cell r="C5180">
            <v>543182</v>
          </cell>
          <cell r="D5180" t="str">
            <v>11AMD</v>
          </cell>
          <cell r="E5180" t="str">
            <v xml:space="preserve"> </v>
          </cell>
        </row>
        <row r="5181">
          <cell r="B5181" t="str">
            <v>NIPPON INDIA EQUITY HYBRID FUND -  SEGREGATED PORTFOLIO 2DIRECT MONTHLY DIVIDEND PLANREINVESTMENT</v>
          </cell>
          <cell r="C5181">
            <v>543183</v>
          </cell>
          <cell r="D5181" t="str">
            <v>11AMR</v>
          </cell>
          <cell r="E5181" t="str">
            <v xml:space="preserve"> </v>
          </cell>
        </row>
        <row r="5182">
          <cell r="B5182" t="str">
            <v>NIPPON INDIA EQUITY HYBRID FUND -  SEGREGATED PORTFOLIO 2DIRECT QUARTERLY DIVIDEND PLANDIVIDEND PAYOUT</v>
          </cell>
          <cell r="C5182">
            <v>543184</v>
          </cell>
          <cell r="D5182" t="str">
            <v>11AQD</v>
          </cell>
          <cell r="E5182" t="str">
            <v xml:space="preserve"> </v>
          </cell>
        </row>
        <row r="5183">
          <cell r="B5183" t="str">
            <v>NIPPON INDIA EQUITY HYBRID FUND -  SEGREGATED PORTFOLIO 2DIRECT QUARTERLY DIVIDEND PLANREINVESTMENT</v>
          </cell>
          <cell r="C5183">
            <v>543185</v>
          </cell>
          <cell r="D5183" t="str">
            <v>11AQR</v>
          </cell>
          <cell r="E5183" t="str">
            <v xml:space="preserve"> </v>
          </cell>
        </row>
        <row r="5184">
          <cell r="B5184" t="str">
            <v>NIPPON INDIA EQUITY HYBRID FUND -  SEGREGATED PORTFOLIO 2DIVIDEND PLANDIVIDEND PAYOUT</v>
          </cell>
          <cell r="C5184">
            <v>543186</v>
          </cell>
          <cell r="D5184" t="str">
            <v>11DPD</v>
          </cell>
          <cell r="E5184" t="str">
            <v xml:space="preserve"> </v>
          </cell>
        </row>
        <row r="5185">
          <cell r="B5185" t="str">
            <v>ABB Power Products and Systems India Ltd</v>
          </cell>
          <cell r="C5185">
            <v>543187</v>
          </cell>
          <cell r="D5185" t="str">
            <v>POWERINDIA</v>
          </cell>
          <cell r="E5185" t="str">
            <v>Heavy Electrical Equipment</v>
          </cell>
        </row>
        <row r="5186">
          <cell r="B5186" t="str">
            <v>DJ Mediaprint &amp; Logistics Ltd</v>
          </cell>
          <cell r="C5186">
            <v>543193</v>
          </cell>
          <cell r="D5186" t="str">
            <v>DJML</v>
          </cell>
          <cell r="E5186" t="str">
            <v>Transportation - Logistics</v>
          </cell>
        </row>
        <row r="5187">
          <cell r="B5187" t="str">
            <v>Nirmitee Robotics India Ltd</v>
          </cell>
          <cell r="C5187">
            <v>543194</v>
          </cell>
          <cell r="D5187" t="str">
            <v>NIRMITEE</v>
          </cell>
          <cell r="E5187" t="str">
            <v>Diversified Commercial Services</v>
          </cell>
        </row>
        <row r="5188">
          <cell r="B5188" t="str">
            <v>Natural Biocon (India) Ltd</v>
          </cell>
          <cell r="C5188">
            <v>543207</v>
          </cell>
          <cell r="D5188" t="str">
            <v>NATURAL</v>
          </cell>
          <cell r="E5188" t="str">
            <v>Agrochemicals</v>
          </cell>
        </row>
        <row r="5189">
          <cell r="B5189" t="str">
            <v>Bhartia Bachat Ltd</v>
          </cell>
          <cell r="C5189">
            <v>543208</v>
          </cell>
          <cell r="D5189" t="str">
            <v>BHARTIA</v>
          </cell>
          <cell r="E5189" t="str">
            <v>Finance (including NBFCs)</v>
          </cell>
        </row>
        <row r="5190">
          <cell r="B5190" t="str">
            <v>Billwin Industries Ltd</v>
          </cell>
          <cell r="C5190">
            <v>543209</v>
          </cell>
          <cell r="D5190" t="str">
            <v>BILLWIN</v>
          </cell>
          <cell r="E5190" t="str">
            <v>Diversified</v>
          </cell>
        </row>
        <row r="5191">
          <cell r="B5191" t="str">
            <v>Aarti Surfactants Ltd</v>
          </cell>
          <cell r="C5191">
            <v>543210</v>
          </cell>
          <cell r="D5191" t="str">
            <v>AARTISURF</v>
          </cell>
          <cell r="E5191" t="str">
            <v>Specialty Chemicals</v>
          </cell>
        </row>
        <row r="5192">
          <cell r="B5192" t="str">
            <v>Bonlon Industries Ltd</v>
          </cell>
          <cell r="C5192">
            <v>543211</v>
          </cell>
          <cell r="D5192" t="str">
            <v>BONLON</v>
          </cell>
          <cell r="E5192" t="str">
            <v>Other Industrial Products</v>
          </cell>
        </row>
        <row r="5193">
          <cell r="B5193" t="str">
            <v>Borosil Ltd</v>
          </cell>
          <cell r="C5193">
            <v>543212</v>
          </cell>
          <cell r="D5193" t="str">
            <v>BOROLTD</v>
          </cell>
          <cell r="E5193" t="str">
            <v>Houseware</v>
          </cell>
        </row>
        <row r="5194">
          <cell r="B5194" t="str">
            <v>Rossari Biotech Ltd</v>
          </cell>
          <cell r="C5194">
            <v>543213</v>
          </cell>
          <cell r="D5194" t="str">
            <v>ROSSARI</v>
          </cell>
          <cell r="E5194" t="str">
            <v>Specialty Chemicals</v>
          </cell>
        </row>
        <row r="5195">
          <cell r="B5195" t="str">
            <v>NDR Auto Components Ltd</v>
          </cell>
          <cell r="C5195">
            <v>543214</v>
          </cell>
          <cell r="D5195" t="str">
            <v>NDRAUTO</v>
          </cell>
          <cell r="E5195" t="str">
            <v>Auto Parts &amp; Equipment</v>
          </cell>
        </row>
        <row r="5196">
          <cell r="B5196" t="str">
            <v>Mindspace Business Parks REIT</v>
          </cell>
          <cell r="C5196">
            <v>543217</v>
          </cell>
          <cell r="D5196" t="str">
            <v>MINDSPACE</v>
          </cell>
          <cell r="E5196" t="str">
            <v xml:space="preserve"> </v>
          </cell>
        </row>
        <row r="5197">
          <cell r="B5197" t="str">
            <v>Suratwwala Business Group Ltd</v>
          </cell>
          <cell r="C5197">
            <v>543218</v>
          </cell>
          <cell r="D5197" t="str">
            <v>SBGLP</v>
          </cell>
          <cell r="E5197" t="str">
            <v>Realty</v>
          </cell>
        </row>
        <row r="5198">
          <cell r="B5198" t="str">
            <v>&amp;#160;ICICI Prudential Alpha Low Vol 30 ETF&amp;#160;</v>
          </cell>
          <cell r="C5198">
            <v>543219</v>
          </cell>
          <cell r="D5198" t="str">
            <v>ICICIALPLV</v>
          </cell>
          <cell r="E5198" t="str">
            <v xml:space="preserve"> </v>
          </cell>
        </row>
        <row r="5199">
          <cell r="B5199" t="str">
            <v>Max Healthcare Institute Ltd</v>
          </cell>
          <cell r="C5199">
            <v>543220</v>
          </cell>
          <cell r="D5199" t="str">
            <v>MAXHEALTH</v>
          </cell>
          <cell r="E5199" t="str">
            <v>Healthcare Facilities</v>
          </cell>
        </row>
        <row r="5200">
          <cell r="B5200" t="str">
            <v>ICICI Prudential IT ETF</v>
          </cell>
          <cell r="C5200">
            <v>543221</v>
          </cell>
          <cell r="D5200" t="str">
            <v>ICICITECH</v>
          </cell>
          <cell r="E5200" t="str">
            <v xml:space="preserve"> </v>
          </cell>
        </row>
        <row r="5201">
          <cell r="B5201" t="str">
            <v>Trekkingtoes.com Ltd</v>
          </cell>
          <cell r="C5201">
            <v>543222</v>
          </cell>
          <cell r="D5201" t="str">
            <v>HIPPOCABS</v>
          </cell>
          <cell r="E5201" t="str">
            <v>Transport Related Services</v>
          </cell>
        </row>
        <row r="5202">
          <cell r="B5202" t="str">
            <v>Max India Ltd</v>
          </cell>
          <cell r="C5202">
            <v>543223</v>
          </cell>
          <cell r="D5202" t="str">
            <v>MAXINDIA</v>
          </cell>
          <cell r="E5202" t="str">
            <v>Holding Companies</v>
          </cell>
        </row>
        <row r="5203">
          <cell r="B5203" t="str">
            <v>HDFC Banking ETF</v>
          </cell>
          <cell r="C5203">
            <v>543224</v>
          </cell>
          <cell r="D5203" t="str">
            <v>HBANKETF</v>
          </cell>
          <cell r="E5203" t="str">
            <v xml:space="preserve"> </v>
          </cell>
        </row>
        <row r="5204">
          <cell r="B5204" t="str">
            <v>Tower Infrastructure Trust</v>
          </cell>
          <cell r="C5204">
            <v>543225</v>
          </cell>
          <cell r="D5204" t="str">
            <v>TOWERINFRA</v>
          </cell>
          <cell r="E5204" t="str">
            <v xml:space="preserve"> </v>
          </cell>
        </row>
        <row r="5205">
          <cell r="B5205" t="str">
            <v>UTI Bank Exchange Traded Fund (UTI Bank ETF)</v>
          </cell>
          <cell r="C5205">
            <v>543226</v>
          </cell>
          <cell r="D5205" t="str">
            <v>UTIBANKETF</v>
          </cell>
          <cell r="E5205" t="str">
            <v xml:space="preserve"> </v>
          </cell>
        </row>
        <row r="5206">
          <cell r="B5206" t="str">
            <v>Happiest Minds Technologies Ltd</v>
          </cell>
          <cell r="C5206">
            <v>543227</v>
          </cell>
          <cell r="D5206" t="str">
            <v>HAPPSTMNDS</v>
          </cell>
          <cell r="E5206" t="str">
            <v>IT Consulting &amp; Software</v>
          </cell>
        </row>
        <row r="5207">
          <cell r="B5207" t="str">
            <v>Route Mobile Ltd</v>
          </cell>
          <cell r="C5207">
            <v>543228</v>
          </cell>
          <cell r="D5207" t="str">
            <v>ROUTE</v>
          </cell>
          <cell r="E5207" t="str">
            <v>Internet Software &amp; Services</v>
          </cell>
        </row>
        <row r="5208">
          <cell r="B5208" t="str">
            <v>Advait Infratech Ltd</v>
          </cell>
          <cell r="C5208">
            <v>543230</v>
          </cell>
          <cell r="D5208" t="str">
            <v>ADVAIT</v>
          </cell>
          <cell r="E5208" t="str">
            <v>Other Elect.Equip./ Prod.</v>
          </cell>
        </row>
        <row r="5209">
          <cell r="B5209" t="str">
            <v>Archidply Decor Ltd</v>
          </cell>
          <cell r="C5209">
            <v>543231</v>
          </cell>
          <cell r="D5209" t="str">
            <v>ADL</v>
          </cell>
          <cell r="E5209" t="str">
            <v>Forest Products</v>
          </cell>
        </row>
        <row r="5210">
          <cell r="B5210" t="str">
            <v>Computer Age Management Services Ltd</v>
          </cell>
          <cell r="C5210">
            <v>543232</v>
          </cell>
          <cell r="D5210" t="str">
            <v>CAMS</v>
          </cell>
          <cell r="E5210" t="str">
            <v>Other Financial Services</v>
          </cell>
        </row>
        <row r="5211">
          <cell r="B5211" t="str">
            <v>Chemcon Speciality Chemicals Ltd</v>
          </cell>
          <cell r="C5211">
            <v>543233</v>
          </cell>
          <cell r="D5211" t="str">
            <v>CHEMCON</v>
          </cell>
          <cell r="E5211" t="str">
            <v>Specialty Chemicals</v>
          </cell>
        </row>
        <row r="5212">
          <cell r="B5212" t="str">
            <v>SecMark Consultancy Ltd</v>
          </cell>
          <cell r="C5212">
            <v>543234</v>
          </cell>
          <cell r="D5212" t="str">
            <v>SECMARK</v>
          </cell>
          <cell r="E5212" t="str">
            <v>IT Consulting &amp; Software</v>
          </cell>
        </row>
        <row r="5213">
          <cell r="B5213" t="str">
            <v>Angel Broking Ltd</v>
          </cell>
          <cell r="C5213">
            <v>543235</v>
          </cell>
          <cell r="D5213" t="str">
            <v>ANGELBRKG</v>
          </cell>
          <cell r="E5213" t="str">
            <v>Other Financial Services</v>
          </cell>
        </row>
        <row r="5214">
          <cell r="B5214" t="str">
            <v>Atam Valves Ltd</v>
          </cell>
          <cell r="C5214">
            <v>543236</v>
          </cell>
          <cell r="D5214" t="str">
            <v>ATAM</v>
          </cell>
          <cell r="E5214" t="str">
            <v>Industrial Machinery</v>
          </cell>
        </row>
        <row r="5215">
          <cell r="B5215" t="str">
            <v>Mazagon Dock Shipbuilders Ltd</v>
          </cell>
          <cell r="C5215">
            <v>543237</v>
          </cell>
          <cell r="D5215" t="str">
            <v>MAZDOCK</v>
          </cell>
          <cell r="E5215" t="str">
            <v>Defence</v>
          </cell>
        </row>
        <row r="5216">
          <cell r="B5216" t="str">
            <v>UTI Asset Management Company Ltd</v>
          </cell>
          <cell r="C5216">
            <v>543238</v>
          </cell>
          <cell r="D5216" t="str">
            <v>UTIAMC</v>
          </cell>
          <cell r="E5216" t="str">
            <v>Asset Management Cos.</v>
          </cell>
        </row>
        <row r="5217">
          <cell r="B5217" t="str">
            <v>G M Polyplast Ltd</v>
          </cell>
          <cell r="C5217">
            <v>543239</v>
          </cell>
          <cell r="D5217" t="str">
            <v>GMPL</v>
          </cell>
          <cell r="E5217" t="str">
            <v>Plastic Products</v>
          </cell>
        </row>
        <row r="5218">
          <cell r="B5218" t="str">
            <v>Likhitha Infrastructure Ltd</v>
          </cell>
          <cell r="C5218">
            <v>543240</v>
          </cell>
          <cell r="D5218" t="str">
            <v>LIKHITHA</v>
          </cell>
          <cell r="E5218" t="str">
            <v>Construction &amp; Engineering</v>
          </cell>
        </row>
        <row r="5219">
          <cell r="B5219" t="str">
            <v>Veer Global Infraconstruction Ltd</v>
          </cell>
          <cell r="C5219">
            <v>543241</v>
          </cell>
          <cell r="D5219" t="str">
            <v>VGIL</v>
          </cell>
          <cell r="E5219" t="str">
            <v>Realty</v>
          </cell>
        </row>
        <row r="5220">
          <cell r="B5220" t="str">
            <v>Hemisphere Properties India Ltd</v>
          </cell>
          <cell r="C5220">
            <v>543242</v>
          </cell>
          <cell r="D5220" t="str">
            <v>HEMIPROP</v>
          </cell>
          <cell r="E5220" t="str">
            <v>Realty</v>
          </cell>
        </row>
        <row r="5221">
          <cell r="B5221" t="str">
            <v>Equitas Small Finance Bank Ltd</v>
          </cell>
          <cell r="C5221">
            <v>543243</v>
          </cell>
          <cell r="D5221" t="str">
            <v>EQUITASBNK</v>
          </cell>
          <cell r="E5221" t="str">
            <v>Banks</v>
          </cell>
        </row>
        <row r="5222">
          <cell r="B5222" t="str">
            <v>Shine Fashions (India) Ltd</v>
          </cell>
          <cell r="C5222">
            <v>543244</v>
          </cell>
          <cell r="D5222" t="str">
            <v>SHINEFASH</v>
          </cell>
          <cell r="E5222" t="str">
            <v>Textiles</v>
          </cell>
        </row>
        <row r="5223">
          <cell r="B5223" t="str">
            <v>BARODA RAYON CORPORATION LTD</v>
          </cell>
          <cell r="C5223">
            <v>500270</v>
          </cell>
          <cell r="D5223" t="str">
            <v>BARODARY</v>
          </cell>
          <cell r="E5223" t="str">
            <v>Other Textile Products</v>
          </cell>
        </row>
        <row r="5224">
          <cell r="B5224" t="str">
            <v>MEDIAONE GLOBAL ENTERTAINMENT LTD</v>
          </cell>
          <cell r="C5224">
            <v>503685</v>
          </cell>
          <cell r="D5224" t="str">
            <v>MEDIAONE</v>
          </cell>
          <cell r="E5224" t="str">
            <v>Film Production- Distribution &amp; Exhibition</v>
          </cell>
        </row>
        <row r="5225">
          <cell r="B5225" t="str">
            <v>INDIA RADIATORS LTD</v>
          </cell>
          <cell r="C5225">
            <v>505100</v>
          </cell>
          <cell r="D5225" t="str">
            <v>INRADIA</v>
          </cell>
          <cell r="E5225" t="str">
            <v>Auto Components &amp; Equipments</v>
          </cell>
        </row>
        <row r="5226">
          <cell r="B5226" t="str">
            <v>PB Global Ltd</v>
          </cell>
          <cell r="C5226">
            <v>506580</v>
          </cell>
          <cell r="D5226" t="str">
            <v>PBGLOBAL</v>
          </cell>
          <cell r="E5226" t="str">
            <v>Pesticides &amp; Agrochemicals</v>
          </cell>
        </row>
        <row r="5227">
          <cell r="B5227" t="str">
            <v>INFOMEDIA PRESS LTD</v>
          </cell>
          <cell r="C5227">
            <v>509069</v>
          </cell>
          <cell r="D5227" t="str">
            <v>INFOMEDIA</v>
          </cell>
          <cell r="E5227" t="str">
            <v>Printing &amp; Publication</v>
          </cell>
        </row>
        <row r="5228">
          <cell r="B5228" t="str">
            <v>U.P.HOTELS LTD</v>
          </cell>
          <cell r="C5228">
            <v>509960</v>
          </cell>
          <cell r="D5228" t="str">
            <v>UPHOT</v>
          </cell>
          <cell r="E5228" t="str">
            <v>Hotels &amp; Resorts</v>
          </cell>
        </row>
        <row r="5229">
          <cell r="B5229" t="str">
            <v>PREMIER CAPITAL SERVICES LTD</v>
          </cell>
          <cell r="C5229">
            <v>511016</v>
          </cell>
          <cell r="D5229" t="str">
            <v>PREMCAP</v>
          </cell>
          <cell r="E5229" t="str">
            <v>Other Electrical Equipment</v>
          </cell>
        </row>
        <row r="5230">
          <cell r="B5230" t="str">
            <v>ICDS LTD</v>
          </cell>
          <cell r="C5230">
            <v>511194</v>
          </cell>
          <cell r="D5230" t="str">
            <v>ICDSLTD</v>
          </cell>
          <cell r="E5230" t="str">
            <v>Diversified Commercial Services</v>
          </cell>
        </row>
        <row r="5231">
          <cell r="B5231" t="str">
            <v>Saianand Commercial Limited</v>
          </cell>
          <cell r="C5231">
            <v>512097</v>
          </cell>
          <cell r="D5231" t="str">
            <v>SAICOM</v>
          </cell>
          <cell r="E5231" t="str">
            <v>Trading &amp; Distributors</v>
          </cell>
        </row>
        <row r="5232">
          <cell r="B5232" t="str">
            <v>ROSE MERC.LTD</v>
          </cell>
          <cell r="C5232">
            <v>512115</v>
          </cell>
          <cell r="D5232" t="str">
            <v>ROSEMER</v>
          </cell>
          <cell r="E5232" t="str">
            <v>Trading &amp; Distributors</v>
          </cell>
        </row>
        <row r="5233">
          <cell r="B5233" t="str">
            <v>SURBHI INDUSTRIES LTD</v>
          </cell>
          <cell r="C5233">
            <v>514260</v>
          </cell>
          <cell r="D5233" t="str">
            <v>SURBHIN</v>
          </cell>
          <cell r="E5233" t="str">
            <v>Other Textile Products</v>
          </cell>
        </row>
        <row r="5234">
          <cell r="B5234" t="str">
            <v>SHRI GANG INDUSTRIES AND ALLIED PRODUCTS LTD</v>
          </cell>
          <cell r="C5234">
            <v>523309</v>
          </cell>
          <cell r="D5234" t="str">
            <v>SHRIGANG</v>
          </cell>
          <cell r="E5234" t="str">
            <v>Edible Oil</v>
          </cell>
        </row>
        <row r="5235">
          <cell r="B5235" t="str">
            <v>UBE INDUSTRIES LTD</v>
          </cell>
          <cell r="C5235">
            <v>523868</v>
          </cell>
          <cell r="D5235" t="str">
            <v>UBEINDL</v>
          </cell>
          <cell r="E5235" t="str">
            <v>Industrial Machinery</v>
          </cell>
        </row>
        <row r="5236">
          <cell r="B5236" t="str">
            <v>PET PLASTICS LTD</v>
          </cell>
          <cell r="C5236">
            <v>524046</v>
          </cell>
          <cell r="D5236" t="str">
            <v>PETPLST</v>
          </cell>
          <cell r="E5236" t="str">
            <v>Plastic Products - Industrial</v>
          </cell>
        </row>
        <row r="5237">
          <cell r="B5237" t="str">
            <v>PANJON LTD</v>
          </cell>
          <cell r="C5237">
            <v>526345</v>
          </cell>
          <cell r="D5237" t="str">
            <v>PANJON</v>
          </cell>
          <cell r="E5237" t="str">
            <v>Packaged Foods</v>
          </cell>
        </row>
        <row r="5238">
          <cell r="B5238" t="str">
            <v>EURO LEDER FASHION LTD</v>
          </cell>
          <cell r="C5238">
            <v>526468</v>
          </cell>
          <cell r="D5238" t="str">
            <v>EUROLED</v>
          </cell>
          <cell r="E5238" t="str">
            <v>Gems- Jewellery And Watches</v>
          </cell>
        </row>
        <row r="5239">
          <cell r="B5239" t="str">
            <v>DSJ keep Learning Ltd</v>
          </cell>
          <cell r="C5239">
            <v>526677</v>
          </cell>
          <cell r="D5239" t="str">
            <v>KEEPLEARN</v>
          </cell>
          <cell r="E5239" t="str">
            <v>Education</v>
          </cell>
        </row>
        <row r="5240">
          <cell r="B5240" t="str">
            <v>SIDDHESWARI GARMENTS LTD</v>
          </cell>
          <cell r="C5240">
            <v>526877</v>
          </cell>
          <cell r="D5240" t="str">
            <v>SIDDHEGA</v>
          </cell>
          <cell r="E5240" t="str">
            <v>Trading &amp; Distributors</v>
          </cell>
        </row>
        <row r="5241">
          <cell r="B5241" t="str">
            <v>AADI INDUSTRIES LTD</v>
          </cell>
          <cell r="C5241">
            <v>530027</v>
          </cell>
          <cell r="D5241" t="str">
            <v>AADIIND</v>
          </cell>
          <cell r="E5241" t="str">
            <v>Petrochemicals</v>
          </cell>
        </row>
        <row r="5242">
          <cell r="B5242" t="str">
            <v>SHAMROCK INDUSTRIAL CO.LTD</v>
          </cell>
          <cell r="C5242">
            <v>531240</v>
          </cell>
          <cell r="D5242" t="str">
            <v>SHAMROIN</v>
          </cell>
          <cell r="E5242" t="str">
            <v>Trading &amp; Distributors</v>
          </cell>
        </row>
        <row r="5243">
          <cell r="B5243" t="str">
            <v>G.G.AUTOMOTIVE GEARS LTD</v>
          </cell>
          <cell r="C5243">
            <v>531399</v>
          </cell>
          <cell r="D5243" t="str">
            <v>GGAUTO</v>
          </cell>
          <cell r="E5243" t="str">
            <v>Auto Components &amp; Equipments</v>
          </cell>
        </row>
        <row r="5244">
          <cell r="B5244" t="str">
            <v>SGN TELECOMS LTD</v>
          </cell>
          <cell r="C5244">
            <v>531812</v>
          </cell>
          <cell r="D5244" t="str">
            <v>SGNTE</v>
          </cell>
          <cell r="E5244" t="str">
            <v>Other Electrical Equipment</v>
          </cell>
        </row>
        <row r="5245">
          <cell r="B5245" t="str">
            <v>LCC INFOTECH LTD</v>
          </cell>
          <cell r="C5245">
            <v>532019</v>
          </cell>
          <cell r="D5245" t="str">
            <v>LCCINFOTEC</v>
          </cell>
          <cell r="E5245" t="str">
            <v>E-Learning</v>
          </cell>
        </row>
        <row r="5246">
          <cell r="B5246" t="str">
            <v>AMBICA AGARBATHIES &amp; AROMA INDUSTRIES LTD</v>
          </cell>
          <cell r="C5246">
            <v>532335</v>
          </cell>
          <cell r="D5246" t="str">
            <v>AMBICAAGAR</v>
          </cell>
          <cell r="E5246" t="str">
            <v>Household Products</v>
          </cell>
        </row>
        <row r="5247">
          <cell r="B5247" t="str">
            <v>Shree Hanuman Sugar &amp; Industries Ltd</v>
          </cell>
          <cell r="C5247">
            <v>537709</v>
          </cell>
          <cell r="D5247" t="str">
            <v>HANSUGAR</v>
          </cell>
          <cell r="E5247" t="str">
            <v>Sugar</v>
          </cell>
        </row>
        <row r="5248">
          <cell r="B5248" t="str">
            <v>Samrat Forgings Ltd</v>
          </cell>
          <cell r="C5248">
            <v>543229</v>
          </cell>
          <cell r="D5248" t="str">
            <v>SAMRATFORG</v>
          </cell>
          <cell r="E5248" t="str">
            <v>Castings &amp; Forgings</v>
          </cell>
        </row>
        <row r="5249">
          <cell r="B5249" t="str">
            <v>Gland Pharma Ltd</v>
          </cell>
          <cell r="C5249">
            <v>543245</v>
          </cell>
          <cell r="D5249" t="str">
            <v>GLAND</v>
          </cell>
          <cell r="E5249" t="str">
            <v>Pharmaceuticals</v>
          </cell>
        </row>
        <row r="5250">
          <cell r="B5250" t="str">
            <v>Mirae Asset ESG Sector Leaders ETF</v>
          </cell>
          <cell r="C5250">
            <v>543246</v>
          </cell>
          <cell r="D5250" t="str">
            <v>MAESGETF</v>
          </cell>
          <cell r="E5250" t="str">
            <v xml:space="preserve"> </v>
          </cell>
        </row>
        <row r="5251">
          <cell r="B5251" t="str">
            <v>Net Pix Shorts Digital Media Ltd</v>
          </cell>
          <cell r="C5251">
            <v>543247</v>
          </cell>
          <cell r="D5251" t="str">
            <v>NETPIX</v>
          </cell>
          <cell r="E5251" t="str">
            <v>Film Production- Distribution &amp; Exhibition</v>
          </cell>
        </row>
        <row r="5252">
          <cell r="B5252" t="str">
            <v>Restaurant Brands Asia Ltd</v>
          </cell>
          <cell r="C5252">
            <v>543248</v>
          </cell>
          <cell r="D5252" t="str">
            <v>RBA</v>
          </cell>
          <cell r="E5252" t="str">
            <v>Restaurants</v>
          </cell>
        </row>
        <row r="5253">
          <cell r="B5253" t="str">
            <v>Tarc Ltd</v>
          </cell>
          <cell r="C5253">
            <v>543249</v>
          </cell>
          <cell r="D5253" t="str">
            <v>TARC</v>
          </cell>
          <cell r="E5253" t="str">
            <v>Residential- Commercial Projects</v>
          </cell>
        </row>
        <row r="5254">
          <cell r="B5254" t="str">
            <v>Ravinder Heights Ltd</v>
          </cell>
          <cell r="C5254">
            <v>543251</v>
          </cell>
          <cell r="D5254" t="str">
            <v>RVHL</v>
          </cell>
          <cell r="E5254" t="str">
            <v>Residential- Commercial Projects</v>
          </cell>
        </row>
        <row r="5255">
          <cell r="B5255" t="str">
            <v>Fairchem Organics Ltd</v>
          </cell>
          <cell r="C5255">
            <v>543252</v>
          </cell>
          <cell r="D5255" t="str">
            <v>FAIRCHEMOR</v>
          </cell>
          <cell r="E5255" t="str">
            <v>Specialty Chemicals</v>
          </cell>
        </row>
        <row r="5256">
          <cell r="B5256" t="str">
            <v>Mrs. Bectors Food Specialities Ltd</v>
          </cell>
          <cell r="C5256">
            <v>543253</v>
          </cell>
          <cell r="D5256" t="str">
            <v>BECTORFOOD</v>
          </cell>
          <cell r="E5256" t="str">
            <v>Packaged Foods</v>
          </cell>
        </row>
        <row r="5257">
          <cell r="B5257" t="str">
            <v>Antony Waste Handling Cell Ltd</v>
          </cell>
          <cell r="C5257">
            <v>543254</v>
          </cell>
          <cell r="D5257" t="str">
            <v>AWHCL</v>
          </cell>
          <cell r="E5257" t="str">
            <v>Waste Management</v>
          </cell>
        </row>
        <row r="5258">
          <cell r="B5258" t="str">
            <v>NIPPON INDIA ETF INFRA BeES</v>
          </cell>
          <cell r="C5258">
            <v>543255</v>
          </cell>
          <cell r="D5258" t="str">
            <v>INFRABEES</v>
          </cell>
          <cell r="E5258" t="str">
            <v xml:space="preserve"> </v>
          </cell>
        </row>
        <row r="5259">
          <cell r="B5259" t="str">
            <v>Rita Finance and Leasing Ltd</v>
          </cell>
          <cell r="C5259">
            <v>543256</v>
          </cell>
          <cell r="D5259" t="str">
            <v>RFLL</v>
          </cell>
          <cell r="E5259" t="str">
            <v>Non Banking Financial Company (NBFC)</v>
          </cell>
        </row>
        <row r="5260">
          <cell r="B5260" t="str">
            <v>Indian Railway Finance Corporation Ltd</v>
          </cell>
          <cell r="C5260">
            <v>543257</v>
          </cell>
          <cell r="D5260" t="str">
            <v>IRFC</v>
          </cell>
          <cell r="E5260" t="str">
            <v>Financial Institution</v>
          </cell>
        </row>
        <row r="5261">
          <cell r="B5261" t="str">
            <v>Indigo Paints Ltd</v>
          </cell>
          <cell r="C5261">
            <v>543258</v>
          </cell>
          <cell r="D5261" t="str">
            <v>INDIGOPNTS</v>
          </cell>
          <cell r="E5261" t="str">
            <v>Paints</v>
          </cell>
        </row>
        <row r="5262">
          <cell r="B5262" t="str">
            <v>Home First Finance Company India Ltd</v>
          </cell>
          <cell r="C5262">
            <v>543259</v>
          </cell>
          <cell r="D5262" t="str">
            <v>HOMEFIRST</v>
          </cell>
          <cell r="E5262" t="str">
            <v>Housing Finance Company</v>
          </cell>
        </row>
        <row r="5263">
          <cell r="B5263" t="str">
            <v>Stove Kraft Ltd</v>
          </cell>
          <cell r="C5263">
            <v>543260</v>
          </cell>
          <cell r="D5263" t="str">
            <v>STOVEKRAFT</v>
          </cell>
          <cell r="E5263" t="str">
            <v>Household Appliances</v>
          </cell>
        </row>
        <row r="5264">
          <cell r="B5264" t="str">
            <v>Brookfield India Real Estate Trust REIT</v>
          </cell>
          <cell r="C5264">
            <v>543261</v>
          </cell>
          <cell r="D5264" t="str">
            <v>BIRET</v>
          </cell>
          <cell r="E5264" t="str">
            <v>Real Estate Investment Trusts (REITs)</v>
          </cell>
        </row>
        <row r="5265">
          <cell r="B5265" t="str">
            <v>MRP Agro Ltd</v>
          </cell>
          <cell r="C5265">
            <v>543262</v>
          </cell>
          <cell r="D5265" t="str">
            <v>MRP</v>
          </cell>
          <cell r="E5265" t="str">
            <v>Distributors</v>
          </cell>
        </row>
        <row r="5266">
          <cell r="B5266" t="str">
            <v>SMC Global Securities Ltd</v>
          </cell>
          <cell r="C5266">
            <v>543263</v>
          </cell>
          <cell r="D5266" t="str">
            <v>SMCGLOBAL*</v>
          </cell>
          <cell r="E5266" t="str">
            <v>Stockbroking &amp; Allied</v>
          </cell>
        </row>
        <row r="5267">
          <cell r="B5267" t="str">
            <v>Nureca Ltd</v>
          </cell>
          <cell r="C5267">
            <v>543264</v>
          </cell>
          <cell r="D5267" t="str">
            <v>NURECA</v>
          </cell>
          <cell r="E5267" t="str">
            <v>Medical Equipment &amp; Supplies</v>
          </cell>
        </row>
        <row r="5268">
          <cell r="B5268" t="str">
            <v>RailTel Corporation of India Ltd</v>
          </cell>
          <cell r="C5268">
            <v>543265</v>
          </cell>
          <cell r="D5268" t="str">
            <v>RAILTEL</v>
          </cell>
          <cell r="E5268" t="str">
            <v>Other Telecom Services</v>
          </cell>
        </row>
        <row r="5269">
          <cell r="B5269" t="str">
            <v>Heranba Industries Ltd</v>
          </cell>
          <cell r="C5269">
            <v>543266</v>
          </cell>
          <cell r="D5269" t="str">
            <v>HERANBA</v>
          </cell>
          <cell r="E5269" t="str">
            <v>Pesticides &amp; Agrochemicals</v>
          </cell>
        </row>
        <row r="5270">
          <cell r="B5270" t="str">
            <v>Davangere Sugar Company Ltd</v>
          </cell>
          <cell r="C5270">
            <v>543267</v>
          </cell>
          <cell r="D5270" t="str">
            <v>DAVANGERE</v>
          </cell>
          <cell r="E5270" t="str">
            <v>Sugar</v>
          </cell>
        </row>
        <row r="5271">
          <cell r="B5271" t="str">
            <v>Adjia Technologies Ltd</v>
          </cell>
          <cell r="C5271">
            <v>543269</v>
          </cell>
          <cell r="D5271" t="str">
            <v>ADJIA</v>
          </cell>
          <cell r="E5271" t="str">
            <v>Computers - Software &amp; Consulting</v>
          </cell>
        </row>
        <row r="5272">
          <cell r="B5272" t="str">
            <v>MTAR Technologies Ltd</v>
          </cell>
          <cell r="C5272">
            <v>543270</v>
          </cell>
          <cell r="D5272" t="str">
            <v>MTARTECH</v>
          </cell>
          <cell r="E5272" t="str">
            <v>Aerospace &amp; Defense</v>
          </cell>
        </row>
        <row r="5273">
          <cell r="B5273" t="str">
            <v>Jubilant Ingrevia Ltd</v>
          </cell>
          <cell r="C5273">
            <v>543271</v>
          </cell>
          <cell r="D5273" t="str">
            <v>JUBLINGREA</v>
          </cell>
          <cell r="E5273" t="str">
            <v>Specialty Chemicals</v>
          </cell>
        </row>
        <row r="5274">
          <cell r="B5274" t="str">
            <v>Easy Trip Planners Ltd</v>
          </cell>
          <cell r="C5274">
            <v>543272</v>
          </cell>
          <cell r="D5274" t="str">
            <v>EASEMYTRIP</v>
          </cell>
          <cell r="E5274" t="str">
            <v>Tour- Travel Related Services</v>
          </cell>
        </row>
        <row r="5275">
          <cell r="B5275" t="str">
            <v>Knowledge Marine &amp; Engineering Works Ltd</v>
          </cell>
          <cell r="C5275">
            <v>543273</v>
          </cell>
          <cell r="D5275" t="str">
            <v>KMEW</v>
          </cell>
          <cell r="E5275" t="str">
            <v>Shipping</v>
          </cell>
        </row>
        <row r="5276">
          <cell r="B5276" t="str">
            <v>Suumaya Corporation Ltd</v>
          </cell>
          <cell r="C5276">
            <v>543274</v>
          </cell>
          <cell r="D5276" t="str">
            <v>SUUMAYA</v>
          </cell>
          <cell r="E5276" t="str">
            <v>Other Textile Products</v>
          </cell>
        </row>
        <row r="5277">
          <cell r="B5277" t="str">
            <v>Anupam Rasayan India Ltd</v>
          </cell>
          <cell r="C5277">
            <v>543275</v>
          </cell>
          <cell r="D5277" t="str">
            <v>ANURAS</v>
          </cell>
          <cell r="E5277" t="str">
            <v>Specialty Chemicals</v>
          </cell>
        </row>
        <row r="5278">
          <cell r="B5278" t="str">
            <v>Craftsman Automation Ltd</v>
          </cell>
          <cell r="C5278">
            <v>543276</v>
          </cell>
          <cell r="D5278" t="str">
            <v>CRAFTSMAN</v>
          </cell>
          <cell r="E5278" t="str">
            <v>Auto Components &amp; Equipments</v>
          </cell>
        </row>
        <row r="5279">
          <cell r="B5279" t="str">
            <v>Laxmi Organic Industries Ltd</v>
          </cell>
          <cell r="C5279">
            <v>543277</v>
          </cell>
          <cell r="D5279" t="str">
            <v>LXCHEM</v>
          </cell>
          <cell r="E5279" t="str">
            <v>Specialty Chemicals</v>
          </cell>
        </row>
        <row r="5280">
          <cell r="B5280" t="str">
            <v>Kalyan Jewellers India Ltd</v>
          </cell>
          <cell r="C5280">
            <v>543278</v>
          </cell>
          <cell r="D5280" t="str">
            <v>KALYANKJIL</v>
          </cell>
          <cell r="E5280" t="str">
            <v>Gems- Jewellery And Watches</v>
          </cell>
        </row>
        <row r="5281">
          <cell r="B5281" t="str">
            <v>Suryoday Small Finance Bank Ltd</v>
          </cell>
          <cell r="C5281">
            <v>543279</v>
          </cell>
          <cell r="D5281" t="str">
            <v>SURYODAY</v>
          </cell>
          <cell r="E5281" t="str">
            <v>Other Bank</v>
          </cell>
        </row>
        <row r="5282">
          <cell r="B5282" t="str">
            <v>Nazara Technologies Ltd</v>
          </cell>
          <cell r="C5282">
            <v>543280</v>
          </cell>
          <cell r="D5282" t="str">
            <v>NAZARA</v>
          </cell>
          <cell r="E5282" t="str">
            <v>Digital Entertainment</v>
          </cell>
        </row>
        <row r="5283">
          <cell r="B5283" t="str">
            <v>Suvidhaa Infoserve Ltd</v>
          </cell>
          <cell r="C5283">
            <v>543281</v>
          </cell>
          <cell r="D5283" t="str">
            <v>SUVIDHAA</v>
          </cell>
          <cell r="E5283" t="str">
            <v>Financial Technology (Fintech)</v>
          </cell>
        </row>
        <row r="5284">
          <cell r="B5284" t="str">
            <v>Niks Technology Ltd</v>
          </cell>
          <cell r="C5284">
            <v>543282</v>
          </cell>
          <cell r="D5284" t="str">
            <v>NIKSTECH</v>
          </cell>
          <cell r="E5284" t="str">
            <v>Computers - Software &amp; Consulting</v>
          </cell>
        </row>
        <row r="5285">
          <cell r="B5285" t="str">
            <v>Barbeque-Nation Hospitality Ltd</v>
          </cell>
          <cell r="C5285">
            <v>543283</v>
          </cell>
          <cell r="D5285" t="str">
            <v>BARBEQUE</v>
          </cell>
          <cell r="E5285" t="str">
            <v>Restaurants</v>
          </cell>
        </row>
        <row r="5286">
          <cell r="B5286" t="str">
            <v>EKI Energy Services Ltd</v>
          </cell>
          <cell r="C5286">
            <v>543284</v>
          </cell>
          <cell r="D5286" t="str">
            <v>EKI</v>
          </cell>
          <cell r="E5286" t="str">
            <v>Consulting Services</v>
          </cell>
        </row>
        <row r="5287">
          <cell r="B5287" t="str">
            <v>Rajeshwari Cans Ltd</v>
          </cell>
          <cell r="C5287">
            <v>543285</v>
          </cell>
          <cell r="D5287" t="str">
            <v>RCAN</v>
          </cell>
          <cell r="E5287" t="str">
            <v>Packaging</v>
          </cell>
        </row>
        <row r="5288">
          <cell r="B5288" t="str">
            <v>Jetmall Spices and Masala Ltd</v>
          </cell>
          <cell r="C5288">
            <v>543286</v>
          </cell>
          <cell r="D5288" t="str">
            <v>JETMALL</v>
          </cell>
          <cell r="E5288" t="str">
            <v>Other Food Products</v>
          </cell>
        </row>
        <row r="5289">
          <cell r="B5289" t="str">
            <v>Macrotech Developers Ltd</v>
          </cell>
          <cell r="C5289">
            <v>543287</v>
          </cell>
          <cell r="D5289" t="str">
            <v>LODHA</v>
          </cell>
          <cell r="E5289" t="str">
            <v>Residential- Commercial Projects</v>
          </cell>
        </row>
        <row r="5290">
          <cell r="B5290" t="str">
            <v>Deep Industries Ltd</v>
          </cell>
          <cell r="C5290">
            <v>543288</v>
          </cell>
          <cell r="D5290" t="str">
            <v>DEEPIND</v>
          </cell>
          <cell r="E5290" t="str">
            <v>Offshore Support Solution Drilling</v>
          </cell>
        </row>
        <row r="5291">
          <cell r="B5291" t="str">
            <v>Kuberan Global Edu Solutions Ltd</v>
          </cell>
          <cell r="C5291">
            <v>543289</v>
          </cell>
          <cell r="D5291" t="str">
            <v>KGES</v>
          </cell>
          <cell r="E5291" t="str">
            <v>Education</v>
          </cell>
        </row>
        <row r="5292">
          <cell r="B5292" t="str">
            <v>POWERGRID Infrastructure Investment Trust</v>
          </cell>
          <cell r="C5292">
            <v>543290</v>
          </cell>
          <cell r="D5292" t="str">
            <v>PGINVIT</v>
          </cell>
          <cell r="E5292" t="str">
            <v>Power - Transmission</v>
          </cell>
        </row>
        <row r="5293">
          <cell r="B5293" t="str">
            <v>Mirae Asset NYSE FANG+ ETF</v>
          </cell>
          <cell r="C5293">
            <v>543291</v>
          </cell>
          <cell r="D5293" t="str">
            <v>MAFANG</v>
          </cell>
          <cell r="E5293" t="str">
            <v xml:space="preserve"> </v>
          </cell>
        </row>
        <row r="5294">
          <cell r="B5294" t="str">
            <v>ICICI Prudential Healthcare ETF</v>
          </cell>
          <cell r="C5294">
            <v>543292</v>
          </cell>
          <cell r="D5294" t="str">
            <v>ICICIPHARM</v>
          </cell>
          <cell r="E5294" t="str">
            <v xml:space="preserve"> </v>
          </cell>
        </row>
        <row r="5295">
          <cell r="B5295" t="str">
            <v>Inox Wind Energy Ltd</v>
          </cell>
          <cell r="C5295">
            <v>543297</v>
          </cell>
          <cell r="D5295" t="str">
            <v>IWEL</v>
          </cell>
          <cell r="E5295" t="str">
            <v>Heavy Electrical Equipment</v>
          </cell>
        </row>
        <row r="5296">
          <cell r="B5296" t="str">
            <v>Vineet Laboratories Ltd</v>
          </cell>
          <cell r="C5296">
            <v>543298</v>
          </cell>
          <cell r="D5296" t="str">
            <v>VINEETLAB</v>
          </cell>
          <cell r="E5296" t="str">
            <v>Pharmaceuticals</v>
          </cell>
        </row>
        <row r="5297">
          <cell r="B5297" t="str">
            <v>Shyam Metalics and Energy Ltd</v>
          </cell>
          <cell r="C5297">
            <v>543299</v>
          </cell>
          <cell r="D5297" t="str">
            <v>SHYAMMETL</v>
          </cell>
          <cell r="E5297" t="str">
            <v>Iron &amp; Steel</v>
          </cell>
        </row>
        <row r="5298">
          <cell r="B5298" t="str">
            <v>Sona BLW Precision Forgings Ltd</v>
          </cell>
          <cell r="C5298">
            <v>543300</v>
          </cell>
          <cell r="D5298" t="str">
            <v>SONACOMS</v>
          </cell>
          <cell r="E5298" t="str">
            <v>Auto Components &amp; Equipments</v>
          </cell>
        </row>
        <row r="5299">
          <cell r="B5299" t="str">
            <v>Navoday Enterprises Ltd</v>
          </cell>
          <cell r="C5299">
            <v>543305</v>
          </cell>
          <cell r="D5299" t="str">
            <v>NAVODAYENT</v>
          </cell>
          <cell r="E5299" t="str">
            <v>Consulting Services</v>
          </cell>
        </row>
        <row r="5300">
          <cell r="B5300" t="str">
            <v>Dodla Dairy Ltd</v>
          </cell>
          <cell r="C5300">
            <v>543306</v>
          </cell>
          <cell r="D5300" t="str">
            <v>DODLA</v>
          </cell>
          <cell r="E5300" t="str">
            <v>Dairy Products</v>
          </cell>
        </row>
        <row r="5301">
          <cell r="B5301" t="str">
            <v>Krishna Institute of Medical Sciences Ltd</v>
          </cell>
          <cell r="C5301">
            <v>543308</v>
          </cell>
          <cell r="D5301" t="str">
            <v>KIMS</v>
          </cell>
          <cell r="E5301" t="str">
            <v>Hospital</v>
          </cell>
        </row>
        <row r="5302">
          <cell r="B5302" t="str">
            <v>Adeshwar Meditex Ltd</v>
          </cell>
          <cell r="C5302">
            <v>543309</v>
          </cell>
          <cell r="D5302" t="str">
            <v>ADESHWAR</v>
          </cell>
          <cell r="E5302" t="str">
            <v>Healthcare Research- Analytics &amp; Technology</v>
          </cell>
        </row>
        <row r="5303">
          <cell r="B5303" t="str">
            <v>Times Green Energy (India) Ltd</v>
          </cell>
          <cell r="C5303">
            <v>543310</v>
          </cell>
          <cell r="D5303" t="str">
            <v>TIMESGREEN</v>
          </cell>
          <cell r="E5303" t="str">
            <v>Other Agricultural Products</v>
          </cell>
        </row>
        <row r="5304">
          <cell r="B5304" t="str">
            <v>India Pesticides Ltd</v>
          </cell>
          <cell r="C5304">
            <v>543311</v>
          </cell>
          <cell r="D5304" t="str">
            <v>IPL</v>
          </cell>
          <cell r="E5304" t="str">
            <v>Pesticides &amp; Agrochemicals</v>
          </cell>
        </row>
        <row r="5305">
          <cell r="B5305" t="str">
            <v>Focus Business Solution Ltd</v>
          </cell>
          <cell r="C5305">
            <v>543312</v>
          </cell>
          <cell r="D5305" t="str">
            <v>FOCUS</v>
          </cell>
          <cell r="E5305" t="str">
            <v>Computers - Software &amp; Consulting</v>
          </cell>
        </row>
        <row r="5306">
          <cell r="B5306" t="str">
            <v>G R Infraprojects Ltd</v>
          </cell>
          <cell r="C5306">
            <v>543317</v>
          </cell>
          <cell r="D5306" t="str">
            <v>GRINFRA</v>
          </cell>
          <cell r="E5306" t="str">
            <v>Civil Construction</v>
          </cell>
        </row>
        <row r="5307">
          <cell r="B5307" t="str">
            <v>Clean Science and Technology Ltd</v>
          </cell>
          <cell r="C5307">
            <v>543318</v>
          </cell>
          <cell r="D5307" t="str">
            <v>CLEAN</v>
          </cell>
          <cell r="E5307" t="str">
            <v>Commodity Chemicals</v>
          </cell>
        </row>
        <row r="5308">
          <cell r="B5308" t="str">
            <v>AA Plus Tradelink Ltd</v>
          </cell>
          <cell r="C5308">
            <v>543319</v>
          </cell>
          <cell r="D5308" t="str">
            <v>AAPLUSTRAD</v>
          </cell>
          <cell r="E5308" t="str">
            <v>Trading &amp; Distributors</v>
          </cell>
        </row>
        <row r="5309">
          <cell r="B5309" t="str">
            <v>Zomato Ltd</v>
          </cell>
          <cell r="C5309">
            <v>543320</v>
          </cell>
          <cell r="D5309" t="str">
            <v>ZOMATO</v>
          </cell>
          <cell r="E5309" t="str">
            <v>E-Retail/ E-Commerce</v>
          </cell>
        </row>
        <row r="5310">
          <cell r="B5310" t="str">
            <v>Tatva Chintan Pharma Chem Ltd</v>
          </cell>
          <cell r="C5310">
            <v>543321</v>
          </cell>
          <cell r="D5310" t="str">
            <v>TATVA</v>
          </cell>
          <cell r="E5310" t="str">
            <v>Specialty Chemicals</v>
          </cell>
        </row>
        <row r="5311">
          <cell r="B5311" t="str">
            <v>Glenmark Life Sciences Ltd</v>
          </cell>
          <cell r="C5311">
            <v>543322</v>
          </cell>
          <cell r="D5311" t="str">
            <v>GLS</v>
          </cell>
          <cell r="E5311" t="str">
            <v>Pharmaceuticals</v>
          </cell>
        </row>
        <row r="5312">
          <cell r="B5312" t="str">
            <v>Mirae Asset Nifty Financial Services ETF</v>
          </cell>
          <cell r="C5312">
            <v>543323</v>
          </cell>
          <cell r="D5312" t="str">
            <v>MAFSETF</v>
          </cell>
          <cell r="E5312" t="str">
            <v xml:space="preserve"> </v>
          </cell>
        </row>
        <row r="5313">
          <cell r="B5313" t="str">
            <v>Gretex Corporate Services Ltd</v>
          </cell>
          <cell r="C5313">
            <v>543324</v>
          </cell>
          <cell r="D5313" t="str">
            <v>GCSL</v>
          </cell>
          <cell r="E5313" t="str">
            <v>Other Capital Market related Services</v>
          </cell>
        </row>
        <row r="5314">
          <cell r="B5314" t="str">
            <v>Rolex Rings Ltd</v>
          </cell>
          <cell r="C5314">
            <v>543325</v>
          </cell>
          <cell r="D5314" t="str">
            <v>ROLEXRINGS</v>
          </cell>
          <cell r="E5314" t="str">
            <v>Auto Components &amp; Equipments</v>
          </cell>
        </row>
        <row r="5315">
          <cell r="B5315" t="str">
            <v>ICICI Prudential FMCG ETF</v>
          </cell>
          <cell r="C5315">
            <v>543326</v>
          </cell>
          <cell r="D5315" t="str">
            <v>ICICIFMCG</v>
          </cell>
          <cell r="E5315" t="str">
            <v xml:space="preserve"> </v>
          </cell>
        </row>
        <row r="5316">
          <cell r="B5316" t="str">
            <v>Exxaro Tiles Ltd</v>
          </cell>
          <cell r="C5316">
            <v>543327</v>
          </cell>
          <cell r="D5316" t="str">
            <v>EXXARO</v>
          </cell>
          <cell r="E5316" t="str">
            <v>Furniture- Home Furnishing- Flooring</v>
          </cell>
        </row>
        <row r="5317">
          <cell r="B5317" t="str">
            <v>Krsnaa Diagnostics Ltd</v>
          </cell>
          <cell r="C5317">
            <v>543328</v>
          </cell>
          <cell r="D5317" t="str">
            <v>KRSNAA</v>
          </cell>
          <cell r="E5317" t="str">
            <v>Healthcare Service Provider</v>
          </cell>
        </row>
        <row r="5318">
          <cell r="B5318" t="str">
            <v>Windlas Biotech Ltd</v>
          </cell>
          <cell r="C5318">
            <v>543329</v>
          </cell>
          <cell r="D5318" t="str">
            <v>WINDLAS</v>
          </cell>
          <cell r="E5318" t="str">
            <v>Pharmaceuticals</v>
          </cell>
        </row>
        <row r="5319">
          <cell r="B5319" t="str">
            <v>Devyani International Ltd</v>
          </cell>
          <cell r="C5319">
            <v>543330</v>
          </cell>
          <cell r="D5319" t="str">
            <v>DEVYANI</v>
          </cell>
          <cell r="E5319" t="str">
            <v>Restaurants</v>
          </cell>
        </row>
        <row r="5320">
          <cell r="B5320" t="str">
            <v>Meghmani Organics Ltd</v>
          </cell>
          <cell r="C5320">
            <v>543331</v>
          </cell>
          <cell r="D5320" t="str">
            <v>MOL</v>
          </cell>
          <cell r="E5320" t="str">
            <v>Pesticides &amp; Agrochemicals</v>
          </cell>
        </row>
        <row r="5321">
          <cell r="B5321" t="str">
            <v>Meghmani Finechem Ltd</v>
          </cell>
          <cell r="C5321">
            <v>543332</v>
          </cell>
          <cell r="D5321" t="str">
            <v>MFL</v>
          </cell>
          <cell r="E5321" t="str">
            <v>Specialty Chemicals</v>
          </cell>
        </row>
        <row r="5322">
          <cell r="B5322" t="str">
            <v>CarTrade Tech Ltd</v>
          </cell>
          <cell r="C5322">
            <v>543333</v>
          </cell>
          <cell r="D5322" t="str">
            <v>CARTRADE</v>
          </cell>
          <cell r="E5322" t="str">
            <v>E-Retail/ E-Commerce</v>
          </cell>
        </row>
        <row r="5323">
          <cell r="B5323" t="str">
            <v>Nuvoco Vistas Corporation Ltd</v>
          </cell>
          <cell r="C5323">
            <v>543334</v>
          </cell>
          <cell r="D5323" t="str">
            <v>NUVOCO</v>
          </cell>
          <cell r="E5323" t="str">
            <v>Cement &amp; Cement Products</v>
          </cell>
        </row>
        <row r="5324">
          <cell r="B5324" t="str">
            <v>Aptus Value Housing Finance India Ltd</v>
          </cell>
          <cell r="C5324">
            <v>543335</v>
          </cell>
          <cell r="D5324" t="str">
            <v>APTUS</v>
          </cell>
          <cell r="E5324" t="str">
            <v>Housing Finance Company</v>
          </cell>
        </row>
        <row r="5325">
          <cell r="B5325" t="str">
            <v>Chemplast Sanmar Ltd</v>
          </cell>
          <cell r="C5325">
            <v>543336</v>
          </cell>
          <cell r="D5325" t="str">
            <v>CHEMPLASTS</v>
          </cell>
          <cell r="E5325" t="str">
            <v>Commodity Chemicals</v>
          </cell>
        </row>
        <row r="5326">
          <cell r="B5326" t="str">
            <v>Sharpline Broadcast Ltd</v>
          </cell>
          <cell r="C5326">
            <v>543341</v>
          </cell>
          <cell r="D5326" t="str">
            <v>SHARPLINE</v>
          </cell>
          <cell r="E5326" t="str">
            <v>Advertising &amp; Media Agencies</v>
          </cell>
        </row>
        <row r="5327">
          <cell r="B5327" t="str">
            <v>Aashka Hospitals Ltd</v>
          </cell>
          <cell r="C5327">
            <v>543346</v>
          </cell>
          <cell r="D5327" t="str">
            <v>AASHKA</v>
          </cell>
          <cell r="E5327" t="str">
            <v>Hospital</v>
          </cell>
        </row>
        <row r="5328">
          <cell r="B5328" t="str">
            <v>AXIS TECHNOLOGY ETF</v>
          </cell>
          <cell r="C5328">
            <v>543347</v>
          </cell>
          <cell r="D5328" t="str">
            <v>AXISTECETF</v>
          </cell>
          <cell r="E5328" t="str">
            <v xml:space="preserve"> </v>
          </cell>
        </row>
        <row r="5329">
          <cell r="B5329" t="str">
            <v>AXIS HEALTHCARE ETF</v>
          </cell>
          <cell r="C5329">
            <v>543348</v>
          </cell>
          <cell r="D5329" t="str">
            <v>AXISHETF</v>
          </cell>
          <cell r="E5329" t="str">
            <v xml:space="preserve"> </v>
          </cell>
        </row>
        <row r="5330">
          <cell r="B5330" t="str">
            <v>Ami Organics Ltd</v>
          </cell>
          <cell r="C5330">
            <v>543349</v>
          </cell>
          <cell r="D5330" t="str">
            <v>AMIORG</v>
          </cell>
          <cell r="E5330" t="str">
            <v>Pharmaceuticals</v>
          </cell>
        </row>
        <row r="5331">
          <cell r="B5331" t="str">
            <v>Vijaya Diagnostic Centre Ltd</v>
          </cell>
          <cell r="C5331">
            <v>543350</v>
          </cell>
          <cell r="D5331" t="str">
            <v>VIJAYA</v>
          </cell>
          <cell r="E5331" t="str">
            <v>Healthcare Service Provider</v>
          </cell>
        </row>
        <row r="5332">
          <cell r="B5332" t="str">
            <v>Naapbooks Ltd</v>
          </cell>
          <cell r="C5332">
            <v>543351</v>
          </cell>
          <cell r="D5332" t="str">
            <v>NBL</v>
          </cell>
          <cell r="E5332" t="str">
            <v>Computers - Software &amp; Consulting</v>
          </cell>
        </row>
        <row r="5333">
          <cell r="B5333" t="str">
            <v>PlatinumOne Business Services Ltd</v>
          </cell>
          <cell r="C5333">
            <v>543352</v>
          </cell>
          <cell r="D5333" t="str">
            <v>POBS</v>
          </cell>
          <cell r="E5333" t="str">
            <v>Business Process Outsourcing (BPO)/ Knowledge Process Outsourcing (KPO)</v>
          </cell>
        </row>
        <row r="5334">
          <cell r="B5334" t="str">
            <v>AXIS CONSUMPTION ETF</v>
          </cell>
          <cell r="C5334">
            <v>543357</v>
          </cell>
          <cell r="D5334" t="str">
            <v>AXISCETF</v>
          </cell>
          <cell r="E5334" t="str">
            <v xml:space="preserve"> </v>
          </cell>
        </row>
        <row r="5335">
          <cell r="B5335" t="str">
            <v>Sansera Engineering Ltd</v>
          </cell>
          <cell r="C5335">
            <v>543358</v>
          </cell>
          <cell r="D5335" t="str">
            <v>SANSERA</v>
          </cell>
          <cell r="E5335" t="str">
            <v>Auto Components &amp; Equipments</v>
          </cell>
        </row>
        <row r="5336">
          <cell r="B5336" t="str">
            <v>Prevest Denpro Ltd</v>
          </cell>
          <cell r="C5336">
            <v>543363</v>
          </cell>
          <cell r="D5336" t="str">
            <v>PREVEST</v>
          </cell>
          <cell r="E5336" t="str">
            <v>Medical Equipment &amp; Supplies</v>
          </cell>
        </row>
        <row r="5337">
          <cell r="B5337" t="str">
            <v>Markolines Traffic Controls Ltd</v>
          </cell>
          <cell r="C5337">
            <v>543364</v>
          </cell>
          <cell r="D5337" t="str">
            <v>MTCL</v>
          </cell>
          <cell r="E5337" t="str">
            <v>Civil Construction</v>
          </cell>
        </row>
        <row r="5338">
          <cell r="B5338" t="str">
            <v>Mirae Asset S&amp;P 500 Top 50 ETF</v>
          </cell>
          <cell r="C5338">
            <v>543365</v>
          </cell>
          <cell r="D5338" t="str">
            <v>MASPTOP50</v>
          </cell>
          <cell r="E5338" t="str">
            <v xml:space="preserve"> </v>
          </cell>
        </row>
        <row r="5339">
          <cell r="B5339" t="str">
            <v>SBL Infratech Ltd</v>
          </cell>
          <cell r="C5339">
            <v>543366</v>
          </cell>
          <cell r="D5339" t="str">
            <v>SBLI</v>
          </cell>
          <cell r="E5339" t="str">
            <v>Residential- Commercial Projects</v>
          </cell>
        </row>
        <row r="5340">
          <cell r="B5340" t="str">
            <v>Paras Defence and Space Technologies Ltd</v>
          </cell>
          <cell r="C5340">
            <v>543367</v>
          </cell>
          <cell r="D5340" t="str">
            <v>PARAS</v>
          </cell>
          <cell r="E5340" t="str">
            <v>Aerospace &amp; Defense</v>
          </cell>
        </row>
        <row r="5341">
          <cell r="B5341" t="str">
            <v>Getalong Enterprise Ltd</v>
          </cell>
          <cell r="C5341">
            <v>543372</v>
          </cell>
          <cell r="D5341" t="str">
            <v>GETALONG</v>
          </cell>
          <cell r="E5341" t="str">
            <v>Trading - Textile Products</v>
          </cell>
        </row>
        <row r="5342">
          <cell r="B5342" t="str">
            <v>Shri Venkatesh Refineries Ltd</v>
          </cell>
          <cell r="C5342">
            <v>543373</v>
          </cell>
          <cell r="D5342" t="str">
            <v>SVRL</v>
          </cell>
          <cell r="E5342" t="str">
            <v>Edible Oil</v>
          </cell>
        </row>
        <row r="5343">
          <cell r="B5343" t="str">
            <v>Aditya Birla Sun Life AMC Ltd</v>
          </cell>
          <cell r="C5343">
            <v>543374</v>
          </cell>
          <cell r="D5343" t="str">
            <v>ABSLAMC</v>
          </cell>
          <cell r="E5343" t="str">
            <v>Asset Management Company</v>
          </cell>
        </row>
        <row r="5344">
          <cell r="B5344" t="str">
            <v>Promax Power Ltd</v>
          </cell>
          <cell r="C5344">
            <v>543375</v>
          </cell>
          <cell r="D5344" t="str">
            <v>PROMAX</v>
          </cell>
          <cell r="E5344" t="str">
            <v>Engineering- Designing &amp; Construction</v>
          </cell>
        </row>
        <row r="5345">
          <cell r="B5345" t="str">
            <v>Samor Reality Ltd</v>
          </cell>
          <cell r="C5345">
            <v>543376</v>
          </cell>
          <cell r="D5345" t="str">
            <v>SAMOR</v>
          </cell>
          <cell r="E5345" t="str">
            <v>Residential- Commercial Projects</v>
          </cell>
        </row>
        <row r="5346">
          <cell r="B5346" t="str">
            <v>Adishakti Loha and Ispat Ltd</v>
          </cell>
          <cell r="C5346">
            <v>543377</v>
          </cell>
          <cell r="D5346" t="str">
            <v>ADISHAKTI</v>
          </cell>
          <cell r="E5346" t="str">
            <v>Iron &amp; Steel Products</v>
          </cell>
        </row>
        <row r="5347">
          <cell r="B5347" t="str">
            <v>CWD Ltd</v>
          </cell>
          <cell r="C5347">
            <v>543378</v>
          </cell>
          <cell r="D5347" t="str">
            <v>CWD</v>
          </cell>
          <cell r="E5347" t="str">
            <v>Consumer Electronics</v>
          </cell>
        </row>
        <row r="5348">
          <cell r="B5348" t="str">
            <v>ICICI Prudential Consumption ETF</v>
          </cell>
          <cell r="C5348">
            <v>543383</v>
          </cell>
          <cell r="D5348" t="str">
            <v>ICICICONSU</v>
          </cell>
          <cell r="E5348" t="str">
            <v xml:space="preserve"> </v>
          </cell>
        </row>
        <row r="5349">
          <cell r="B5349" t="str">
            <v>FSN E-Commerce Ventures Ltd</v>
          </cell>
          <cell r="C5349">
            <v>543384</v>
          </cell>
          <cell r="D5349" t="str">
            <v>NYKAA</v>
          </cell>
          <cell r="E5349" t="str">
            <v>E-Retail/ E-Commerce</v>
          </cell>
        </row>
        <row r="5350">
          <cell r="B5350" t="str">
            <v>National Highways Infra Trust</v>
          </cell>
          <cell r="C5350">
            <v>543385</v>
          </cell>
          <cell r="D5350" t="str">
            <v>NHIT</v>
          </cell>
          <cell r="E5350" t="str">
            <v>Civil Construction</v>
          </cell>
        </row>
        <row r="5351">
          <cell r="B5351" t="str">
            <v>Fino Payments Bank Ltd</v>
          </cell>
          <cell r="C5351">
            <v>543386</v>
          </cell>
          <cell r="D5351" t="str">
            <v>FINOPB</v>
          </cell>
          <cell r="E5351" t="str">
            <v>Other Bank</v>
          </cell>
        </row>
        <row r="5352">
          <cell r="B5352" t="str">
            <v>S.J.S. Enterprises Ltd</v>
          </cell>
          <cell r="C5352">
            <v>543387</v>
          </cell>
          <cell r="D5352" t="str">
            <v>SJS</v>
          </cell>
          <cell r="E5352" t="str">
            <v>Auto Components &amp; Equipments</v>
          </cell>
        </row>
        <row r="5353">
          <cell r="B5353" t="str">
            <v>DSP Nifty 50 Equal Weight ETF</v>
          </cell>
          <cell r="C5353">
            <v>543388</v>
          </cell>
          <cell r="D5353" t="str">
            <v>DSPNEWETF</v>
          </cell>
          <cell r="E5353" t="str">
            <v xml:space="preserve"> </v>
          </cell>
        </row>
        <row r="5354">
          <cell r="B5354" t="str">
            <v>Sigachi Industries Ltd</v>
          </cell>
          <cell r="C5354">
            <v>543389</v>
          </cell>
          <cell r="D5354" t="str">
            <v>SIGACHI</v>
          </cell>
          <cell r="E5354" t="str">
            <v>Pharmaceuticals</v>
          </cell>
        </row>
        <row r="5355">
          <cell r="B5355" t="str">
            <v>PB Fintech Ltd</v>
          </cell>
          <cell r="C5355">
            <v>543390</v>
          </cell>
          <cell r="D5355" t="str">
            <v>POLICYBZR</v>
          </cell>
          <cell r="E5355" t="str">
            <v>Financial Technology (Fintech)</v>
          </cell>
        </row>
        <row r="5356">
          <cell r="B5356" t="str">
            <v>Suyog Gurbaxani Funicular Ropeways Ltd</v>
          </cell>
          <cell r="C5356">
            <v>543391</v>
          </cell>
          <cell r="D5356" t="str">
            <v>SGFRL</v>
          </cell>
          <cell r="E5356" t="str">
            <v>Civil Construction</v>
          </cell>
        </row>
        <row r="5357">
          <cell r="B5357" t="str">
            <v>One 97 Communications Ltd</v>
          </cell>
          <cell r="C5357">
            <v>543396</v>
          </cell>
          <cell r="D5357" t="str">
            <v>PAYTM</v>
          </cell>
          <cell r="E5357" t="str">
            <v>Financial Technology (Fintech)</v>
          </cell>
        </row>
        <row r="5358">
          <cell r="B5358" t="str">
            <v>Sapphire Foods India Ltd</v>
          </cell>
          <cell r="C5358">
            <v>543397</v>
          </cell>
          <cell r="D5358" t="str">
            <v>SAPPHIRE</v>
          </cell>
          <cell r="E5358" t="str">
            <v>Restaurants</v>
          </cell>
        </row>
        <row r="5359">
          <cell r="B5359" t="str">
            <v>Latent View Analytics Ltd</v>
          </cell>
          <cell r="C5359">
            <v>543398</v>
          </cell>
          <cell r="D5359" t="str">
            <v>LATENTVIEW</v>
          </cell>
          <cell r="E5359" t="str">
            <v>Computers - Software &amp; Consulting</v>
          </cell>
        </row>
        <row r="5360">
          <cell r="B5360" t="str">
            <v>Tarsons Products Ltd</v>
          </cell>
          <cell r="C5360">
            <v>543399</v>
          </cell>
          <cell r="D5360" t="str">
            <v>TARSONS</v>
          </cell>
          <cell r="E5360" t="str">
            <v>Medical Equipment &amp; Supplies</v>
          </cell>
        </row>
        <row r="5361">
          <cell r="B5361" t="str">
            <v>Omnipotent Industries Ltd</v>
          </cell>
          <cell r="C5361">
            <v>543400</v>
          </cell>
          <cell r="D5361" t="str">
            <v>OMNIPOTENT</v>
          </cell>
          <cell r="E5361" t="str">
            <v>Refineries &amp; Marketing</v>
          </cell>
        </row>
        <row r="5362">
          <cell r="B5362" t="str">
            <v>Go Fashion (India) Ltd</v>
          </cell>
          <cell r="C5362">
            <v>543401</v>
          </cell>
          <cell r="D5362" t="str">
            <v>GOCOLORS</v>
          </cell>
          <cell r="E5362" t="str">
            <v>Speciality Retail</v>
          </cell>
        </row>
        <row r="5363">
          <cell r="B5363" t="str">
            <v>DMR Hydroengineering &amp; Infrastructures Ltd</v>
          </cell>
          <cell r="C5363">
            <v>543410</v>
          </cell>
          <cell r="D5363" t="str">
            <v>DMR</v>
          </cell>
          <cell r="E5363" t="str">
            <v>Consulting Services</v>
          </cell>
        </row>
        <row r="5364">
          <cell r="B5364" t="str">
            <v>Hi-Tech Pipes Ltd</v>
          </cell>
          <cell r="C5364">
            <v>543411</v>
          </cell>
          <cell r="D5364" t="str">
            <v>HITECH</v>
          </cell>
          <cell r="E5364" t="str">
            <v>Iron &amp; Steel Products</v>
          </cell>
        </row>
        <row r="5365">
          <cell r="B5365" t="str">
            <v>Star Health and Allied Insurance Company Ltd</v>
          </cell>
          <cell r="C5365">
            <v>543412</v>
          </cell>
          <cell r="D5365" t="str">
            <v>STARHEALTH</v>
          </cell>
          <cell r="E5365" t="str">
            <v>General Insurance</v>
          </cell>
        </row>
        <row r="5366">
          <cell r="B5366" t="str">
            <v>Tega Industries Ltd</v>
          </cell>
          <cell r="C5366">
            <v>543413</v>
          </cell>
          <cell r="D5366" t="str">
            <v>TEGA</v>
          </cell>
          <cell r="E5366" t="str">
            <v>Industrial Equipments</v>
          </cell>
        </row>
        <row r="5367">
          <cell r="B5367" t="str">
            <v>Mirae Asset Hang Seng TECH ETF</v>
          </cell>
          <cell r="C5367">
            <v>543414</v>
          </cell>
          <cell r="D5367" t="str">
            <v>MAHKTECH</v>
          </cell>
          <cell r="E5367" t="str">
            <v xml:space="preserve"> </v>
          </cell>
        </row>
        <row r="5368">
          <cell r="B5368" t="str">
            <v>Anand Rathi Wealth Ltd</v>
          </cell>
          <cell r="C5368">
            <v>543415</v>
          </cell>
          <cell r="D5368" t="str">
            <v>ANANDRATHI</v>
          </cell>
          <cell r="E5368" t="str">
            <v>Financial Products Distributor</v>
          </cell>
        </row>
        <row r="5369">
          <cell r="B5369" t="str">
            <v>Zodiac Energy Ltd</v>
          </cell>
          <cell r="C5369">
            <v>543416</v>
          </cell>
          <cell r="D5369" t="str">
            <v>ZODIAC</v>
          </cell>
          <cell r="E5369" t="str">
            <v>Engineering- Designing &amp; Construction</v>
          </cell>
        </row>
        <row r="5370">
          <cell r="B5370" t="str">
            <v>RateGain Travel Technologies Ltd</v>
          </cell>
          <cell r="C5370">
            <v>543417</v>
          </cell>
          <cell r="D5370" t="str">
            <v>RATEGAIN</v>
          </cell>
          <cell r="E5370" t="str">
            <v>Computers - Software &amp; Consulting</v>
          </cell>
        </row>
        <row r="5371">
          <cell r="B5371" t="str">
            <v>Shriram Properties Ltd</v>
          </cell>
          <cell r="C5371">
            <v>543419</v>
          </cell>
          <cell r="D5371" t="str">
            <v>SHRIRAMPPS</v>
          </cell>
          <cell r="E5371" t="str">
            <v>Residential- Commercial Projects</v>
          </cell>
        </row>
        <row r="5372">
          <cell r="B5372" t="str">
            <v>Jet Freight Logistics Ltd</v>
          </cell>
          <cell r="C5372">
            <v>543420</v>
          </cell>
          <cell r="D5372" t="str">
            <v>JETFREIGHT</v>
          </cell>
          <cell r="E5372" t="str">
            <v>Logistics Solution Provider</v>
          </cell>
        </row>
        <row r="5373">
          <cell r="B5373" t="str">
            <v>C.E. Info Systems Ltd</v>
          </cell>
          <cell r="C5373">
            <v>543425</v>
          </cell>
          <cell r="D5373" t="str">
            <v>MAPMYINDIA</v>
          </cell>
          <cell r="E5373" t="str">
            <v>Software Products</v>
          </cell>
        </row>
        <row r="5374">
          <cell r="B5374" t="str">
            <v>Metro Brands Ltd</v>
          </cell>
          <cell r="C5374">
            <v>543426</v>
          </cell>
          <cell r="D5374" t="str">
            <v>METROBRAND</v>
          </cell>
          <cell r="E5374" t="str">
            <v>Footwear</v>
          </cell>
        </row>
        <row r="5375">
          <cell r="B5375" t="str">
            <v>Medplus Health Services Ltd</v>
          </cell>
          <cell r="C5375">
            <v>543427</v>
          </cell>
          <cell r="D5375" t="str">
            <v>MEDPLUS</v>
          </cell>
          <cell r="E5375" t="str">
            <v>Pharmacy Retail</v>
          </cell>
        </row>
        <row r="5376">
          <cell r="B5376" t="str">
            <v>Data Patterns (India) Ltd</v>
          </cell>
          <cell r="C5376">
            <v>543428</v>
          </cell>
          <cell r="D5376" t="str">
            <v>DATAPATTNS</v>
          </cell>
          <cell r="E5376" t="str">
            <v>Aerospace &amp; Defense</v>
          </cell>
        </row>
        <row r="5377">
          <cell r="B5377" t="str">
            <v>HP Adhesives Ltd</v>
          </cell>
          <cell r="C5377">
            <v>543433</v>
          </cell>
          <cell r="D5377" t="str">
            <v>HPAL</v>
          </cell>
          <cell r="E5377" t="str">
            <v>Specialty Chemicals</v>
          </cell>
        </row>
        <row r="5378">
          <cell r="B5378" t="str">
            <v>Supriya Lifescience Ltd</v>
          </cell>
          <cell r="C5378">
            <v>543434</v>
          </cell>
          <cell r="D5378" t="str">
            <v>SUPRIYA</v>
          </cell>
          <cell r="E5378" t="str">
            <v>Pharmaceuticals</v>
          </cell>
        </row>
        <row r="5379">
          <cell r="B5379" t="str">
            <v>Clara Industries Ltd</v>
          </cell>
          <cell r="C5379">
            <v>543435</v>
          </cell>
          <cell r="D5379" t="str">
            <v>CLARA</v>
          </cell>
          <cell r="E5379" t="str">
            <v>Packaging</v>
          </cell>
        </row>
        <row r="5380">
          <cell r="B5380" t="str">
            <v>Wherrelz IT Solutions Ltd</v>
          </cell>
          <cell r="C5380">
            <v>543436</v>
          </cell>
          <cell r="D5380" t="str">
            <v>WITS</v>
          </cell>
          <cell r="E5380" t="str">
            <v>Computers - Software &amp; Consulting</v>
          </cell>
        </row>
        <row r="5381">
          <cell r="B5381" t="str">
            <v>Motilal Oswal Nasdaq Q 50 ETF</v>
          </cell>
          <cell r="C5381">
            <v>543437</v>
          </cell>
          <cell r="D5381" t="str">
            <v>MONQ50</v>
          </cell>
          <cell r="E5381" t="str">
            <v xml:space="preserve"> </v>
          </cell>
        </row>
        <row r="5382">
          <cell r="B5382" t="str">
            <v>DSP Nifty Midcap 150 Quality 50 ETF</v>
          </cell>
          <cell r="C5382">
            <v>543438</v>
          </cell>
          <cell r="D5382" t="str">
            <v>DSPQ50ETF</v>
          </cell>
          <cell r="E5382" t="str">
            <v xml:space="preserve"> </v>
          </cell>
        </row>
        <row r="5383">
          <cell r="B5383" t="str">
            <v>Brandbucket Media &amp; Technology Ltd</v>
          </cell>
          <cell r="C5383">
            <v>543439</v>
          </cell>
          <cell r="D5383" t="str">
            <v>BRANDBUCKT</v>
          </cell>
          <cell r="E5383" t="str">
            <v>Advertising &amp; Media Agencies</v>
          </cell>
        </row>
        <row r="5384">
          <cell r="B5384" t="str">
            <v>DSP Nifty 50 ETF</v>
          </cell>
          <cell r="C5384">
            <v>543440</v>
          </cell>
          <cell r="D5384" t="str">
            <v>DSPN50ETF</v>
          </cell>
          <cell r="E5384" t="str">
            <v xml:space="preserve"> </v>
          </cell>
        </row>
        <row r="5385">
          <cell r="B5385" t="str">
            <v>CMS Info Systems Ltd</v>
          </cell>
          <cell r="C5385">
            <v>543441</v>
          </cell>
          <cell r="D5385" t="str">
            <v>CMSINFO</v>
          </cell>
          <cell r="E5385" t="str">
            <v>Diversified Commercial Services</v>
          </cell>
        </row>
        <row r="5386">
          <cell r="B5386" t="str">
            <v>Brand Concepts Ltd</v>
          </cell>
          <cell r="C5386">
            <v>543442</v>
          </cell>
          <cell r="D5386" t="str">
            <v>BCONCEPTS</v>
          </cell>
          <cell r="E5386" t="str">
            <v>Speciality Retail</v>
          </cell>
        </row>
        <row r="5387">
          <cell r="B5387" t="str">
            <v>Ascensive Educare Ltd</v>
          </cell>
          <cell r="C5387">
            <v>543443</v>
          </cell>
          <cell r="D5387" t="str">
            <v>ASCENSIVE</v>
          </cell>
          <cell r="E5387" t="str">
            <v>Education</v>
          </cell>
        </row>
        <row r="5388">
          <cell r="B5388" t="str">
            <v>Fabino Life Sciences Ltd</v>
          </cell>
          <cell r="C5388">
            <v>543444</v>
          </cell>
          <cell r="D5388" t="str">
            <v>FABINO</v>
          </cell>
          <cell r="E5388" t="str">
            <v>Pharmaceuticals</v>
          </cell>
        </row>
        <row r="5389">
          <cell r="B5389" t="str">
            <v>Wonder Fibromats Ltd</v>
          </cell>
          <cell r="C5389">
            <v>543449</v>
          </cell>
          <cell r="D5389" t="str">
            <v>WFL</v>
          </cell>
          <cell r="E5389" t="str">
            <v>Household Appliances</v>
          </cell>
        </row>
        <row r="5390">
          <cell r="B5390" t="str">
            <v>ICICI Prudential Nifty Auto ETF</v>
          </cell>
          <cell r="C5390">
            <v>543450</v>
          </cell>
          <cell r="D5390" t="str">
            <v>ICICIAUTO</v>
          </cell>
          <cell r="E5390" t="str">
            <v xml:space="preserve"> </v>
          </cell>
        </row>
        <row r="5391">
          <cell r="B5391" t="str">
            <v>AGS Transact Technologies Ltd</v>
          </cell>
          <cell r="C5391">
            <v>543451</v>
          </cell>
          <cell r="D5391" t="str">
            <v>AGSTRA</v>
          </cell>
          <cell r="E5391" t="str">
            <v>Diversified Commercial Services</v>
          </cell>
        </row>
        <row r="5392">
          <cell r="B5392" t="str">
            <v>ICICI Prudential Silver ETF</v>
          </cell>
          <cell r="C5392">
            <v>543452</v>
          </cell>
          <cell r="D5392" t="str">
            <v>ICICISILVE</v>
          </cell>
          <cell r="E5392" t="str">
            <v xml:space="preserve"> </v>
          </cell>
        </row>
        <row r="5393">
          <cell r="B5393" t="str">
            <v>Alkosign Ltd</v>
          </cell>
          <cell r="C5393">
            <v>543453</v>
          </cell>
          <cell r="D5393" t="str">
            <v>ALKOSIGN</v>
          </cell>
          <cell r="E5393" t="str">
            <v>Stationary</v>
          </cell>
        </row>
        <row r="5394">
          <cell r="B5394" t="str">
            <v>Mirae Asset Nifty India Manufacturing ETF</v>
          </cell>
          <cell r="C5394">
            <v>543454</v>
          </cell>
          <cell r="D5394" t="str">
            <v>MAMFGETF</v>
          </cell>
          <cell r="E5394" t="str">
            <v xml:space="preserve"> </v>
          </cell>
        </row>
        <row r="5395">
          <cell r="B5395" t="str">
            <v>Adani Wilmar Ltd</v>
          </cell>
          <cell r="C5395">
            <v>543458</v>
          </cell>
          <cell r="D5395" t="str">
            <v>AWL</v>
          </cell>
          <cell r="E5395" t="str">
            <v>Edible Oil</v>
          </cell>
        </row>
        <row r="5396">
          <cell r="B5396" t="str">
            <v>Quality RO Industries Ltd</v>
          </cell>
          <cell r="C5396">
            <v>543460</v>
          </cell>
          <cell r="D5396" t="str">
            <v>QRIL</v>
          </cell>
          <cell r="E5396" t="str">
            <v>Industrial Machinery</v>
          </cell>
        </row>
        <row r="5397">
          <cell r="B5397" t="str">
            <v>Safa Systems &amp; Technologies Ltd</v>
          </cell>
          <cell r="C5397">
            <v>543461</v>
          </cell>
          <cell r="D5397" t="str">
            <v>SSTL</v>
          </cell>
          <cell r="E5397" t="str">
            <v>Trading &amp; Distributors</v>
          </cell>
        </row>
        <row r="5398">
          <cell r="B5398" t="str">
            <v>Dev Information Technology Ltd</v>
          </cell>
          <cell r="C5398">
            <v>543462</v>
          </cell>
          <cell r="D5398" t="str">
            <v>DEVIT</v>
          </cell>
          <cell r="E5398" t="str">
            <v>IT Enabled Services</v>
          </cell>
        </row>
        <row r="5399">
          <cell r="B5399" t="str">
            <v>Vedant Fashions Ltd</v>
          </cell>
          <cell r="C5399">
            <v>543463</v>
          </cell>
          <cell r="D5399" t="str">
            <v>MANYAVAR</v>
          </cell>
          <cell r="E5399" t="str">
            <v>Speciality Retail</v>
          </cell>
        </row>
        <row r="5400">
          <cell r="B5400" t="str">
            <v>Maruti Interior Products Ltd</v>
          </cell>
          <cell r="C5400">
            <v>543464</v>
          </cell>
          <cell r="D5400" t="str">
            <v>MARUTIIPL</v>
          </cell>
          <cell r="E5400" t="str">
            <v>Houseware</v>
          </cell>
        </row>
        <row r="5401">
          <cell r="B5401" t="str">
            <v>Motilal Oswal Nifty 200 Momentum 30 ETF</v>
          </cell>
          <cell r="C5401">
            <v>543465</v>
          </cell>
          <cell r="D5401" t="str">
            <v>MOMOMENTUM</v>
          </cell>
          <cell r="E5401" t="str">
            <v xml:space="preserve"> </v>
          </cell>
        </row>
        <row r="5402">
          <cell r="B5402" t="str">
            <v>Softtech Engineers Ltd</v>
          </cell>
          <cell r="C5402">
            <v>543470</v>
          </cell>
          <cell r="D5402" t="str">
            <v>SOFTTECH</v>
          </cell>
          <cell r="E5402" t="str">
            <v>Computers - Software &amp; Consulting</v>
          </cell>
        </row>
        <row r="5403">
          <cell r="B5403" t="str">
            <v>Aditya Birla Sun Life Silver ETF</v>
          </cell>
          <cell r="C5403">
            <v>543471</v>
          </cell>
          <cell r="D5403" t="str">
            <v>SILVER</v>
          </cell>
          <cell r="E5403" t="str">
            <v xml:space="preserve"> </v>
          </cell>
        </row>
        <row r="5404">
          <cell r="B5404" t="str">
            <v>Aditya Birla Sunlife Nifty IT ETF</v>
          </cell>
          <cell r="C5404">
            <v>543472</v>
          </cell>
          <cell r="D5404" t="str">
            <v>TECH</v>
          </cell>
          <cell r="E5404" t="str">
            <v xml:space="preserve"> </v>
          </cell>
        </row>
        <row r="5405">
          <cell r="B5405" t="str">
            <v>Aditya Birla Sun Life Nifty Healthcare ETF</v>
          </cell>
          <cell r="C5405">
            <v>543473</v>
          </cell>
          <cell r="D5405" t="str">
            <v>HEALTHY</v>
          </cell>
          <cell r="E5405" t="str">
            <v xml:space="preserve"> </v>
          </cell>
        </row>
        <row r="5406">
          <cell r="B5406" t="str">
            <v>Aditya Birla Sun Life Nifty ETF</v>
          </cell>
          <cell r="C5406">
            <v>543474</v>
          </cell>
          <cell r="D5406" t="str">
            <v>BSLNIFTY</v>
          </cell>
          <cell r="E5406" t="str">
            <v xml:space="preserve"> </v>
          </cell>
        </row>
        <row r="5407">
          <cell r="B5407" t="str">
            <v>Ekennis Software Service Ltd</v>
          </cell>
          <cell r="C5407">
            <v>543475</v>
          </cell>
          <cell r="D5407" t="str">
            <v>EKENNIS</v>
          </cell>
          <cell r="E5407" t="str">
            <v>IT Enabled Services</v>
          </cell>
        </row>
        <row r="5408">
          <cell r="B5408" t="str">
            <v>Mirae Asset Nifty Midcap 150 ETF</v>
          </cell>
          <cell r="C5408">
            <v>543481</v>
          </cell>
          <cell r="D5408" t="str">
            <v>MAM150ETF</v>
          </cell>
          <cell r="E5408" t="str">
            <v xml:space="preserve"> </v>
          </cell>
        </row>
        <row r="5409">
          <cell r="B5409" t="str">
            <v>Eureka Forbes Ltd</v>
          </cell>
          <cell r="C5409">
            <v>543482</v>
          </cell>
          <cell r="D5409" t="str">
            <v>EUREKAFORBE</v>
          </cell>
          <cell r="E5409" t="str">
            <v>Household Appliances</v>
          </cell>
        </row>
        <row r="5410">
          <cell r="B5410" t="str">
            <v>Gateway Distriparks Ltd</v>
          </cell>
          <cell r="C5410">
            <v>543489</v>
          </cell>
          <cell r="D5410" t="str">
            <v>GATEWAY</v>
          </cell>
          <cell r="E5410" t="str">
            <v>Logistics Solution Provider</v>
          </cell>
        </row>
        <row r="5411">
          <cell r="B5411" t="str">
            <v>GMR Power and Urban Infra Ltd</v>
          </cell>
          <cell r="C5411">
            <v>543490</v>
          </cell>
          <cell r="D5411" t="str">
            <v>GMRP&amp;UI</v>
          </cell>
          <cell r="E5411" t="str">
            <v>Engineering- Designing &amp; Construction</v>
          </cell>
        </row>
        <row r="5412">
          <cell r="B5412" t="str">
            <v>Bhatia Colour Chem Ltd</v>
          </cell>
          <cell r="C5412">
            <v>543497</v>
          </cell>
          <cell r="D5412" t="str">
            <v>BCCL</v>
          </cell>
          <cell r="E5412" t="str">
            <v>Specialty Chemicals</v>
          </cell>
        </row>
        <row r="5413">
          <cell r="B5413" t="str">
            <v>Motherson Sumi Wiring India Ltd</v>
          </cell>
          <cell r="C5413">
            <v>543498</v>
          </cell>
          <cell r="D5413" t="str">
            <v>MSUMI</v>
          </cell>
          <cell r="E5413" t="str">
            <v>Auto Components &amp; Equipments</v>
          </cell>
        </row>
        <row r="5414">
          <cell r="B5414" t="str">
            <v>Achyut Healthcare Ltd</v>
          </cell>
          <cell r="C5414">
            <v>543499</v>
          </cell>
          <cell r="D5414" t="str">
            <v>ACHYUT</v>
          </cell>
          <cell r="E5414" t="str">
            <v>Pharmaceuticals</v>
          </cell>
        </row>
        <row r="5415">
          <cell r="B5415" t="str">
            <v>Evoq Remedies Ltd</v>
          </cell>
          <cell r="C5415">
            <v>543500</v>
          </cell>
          <cell r="D5415" t="str">
            <v>EVOQ</v>
          </cell>
          <cell r="E5415" t="str">
            <v>Trading &amp; Distributors</v>
          </cell>
        </row>
        <row r="5416">
          <cell r="B5416" t="str">
            <v>Motilal Oswal S&amp;P BSE Low Volatility ETF</v>
          </cell>
          <cell r="C5416">
            <v>543501</v>
          </cell>
          <cell r="D5416" t="str">
            <v>MOLOWVOL</v>
          </cell>
          <cell r="E5416" t="str">
            <v xml:space="preserve"> </v>
          </cell>
        </row>
        <row r="5417">
          <cell r="B5417" t="str">
            <v>Avro India Ltd</v>
          </cell>
          <cell r="C5417">
            <v>543512</v>
          </cell>
          <cell r="D5417" t="str">
            <v>AVROIND</v>
          </cell>
          <cell r="E5417" t="str">
            <v>Plastic Products - Consumer</v>
          </cell>
        </row>
        <row r="5418">
          <cell r="B5418" t="str">
            <v>Uma Exports Ltd</v>
          </cell>
          <cell r="C5418">
            <v>543513</v>
          </cell>
          <cell r="D5418" t="str">
            <v>UMAEXPORTS</v>
          </cell>
          <cell r="E5418" t="str">
            <v>Trading &amp; Distributors</v>
          </cell>
        </row>
        <row r="5419">
          <cell r="B5419" t="str">
            <v>Veranda Learning Solutions Ltd</v>
          </cell>
          <cell r="C5419">
            <v>543514</v>
          </cell>
          <cell r="D5419" t="str">
            <v>VERANDA</v>
          </cell>
          <cell r="E5419" t="str">
            <v>E-Learning</v>
          </cell>
        </row>
        <row r="5420">
          <cell r="B5420" t="str">
            <v>Sunrise Efficient Marketing Ltd</v>
          </cell>
          <cell r="C5420">
            <v>543515</v>
          </cell>
          <cell r="D5420" t="str">
            <v>SEML</v>
          </cell>
          <cell r="E5420" t="str">
            <v>Trading &amp; Distributors</v>
          </cell>
        </row>
        <row r="5421">
          <cell r="B5421" t="str">
            <v>Dhyaani Tile and Marblez Ltd</v>
          </cell>
          <cell r="C5421">
            <v>543516</v>
          </cell>
          <cell r="D5421" t="str">
            <v>DHYAANI</v>
          </cell>
          <cell r="E5421" t="str">
            <v>Trading &amp; Distributors</v>
          </cell>
        </row>
        <row r="5422">
          <cell r="B5422" t="str">
            <v>Hariom Pipe Industries Ltd</v>
          </cell>
          <cell r="C5422">
            <v>543517</v>
          </cell>
          <cell r="D5422" t="str">
            <v>HARIOMPIPE</v>
          </cell>
          <cell r="E5422" t="str">
            <v>Iron &amp; Steel Products</v>
          </cell>
        </row>
        <row r="5423">
          <cell r="B5423" t="str">
            <v>Eighty Jewellers Ltd</v>
          </cell>
          <cell r="C5423">
            <v>543518</v>
          </cell>
          <cell r="D5423" t="str">
            <v>EIGHTY</v>
          </cell>
          <cell r="E5423" t="str">
            <v>Gems- Jewellery And Watches</v>
          </cell>
        </row>
        <row r="5424">
          <cell r="B5424" t="str">
            <v>Shashwat Furnishing Solutions Ltd</v>
          </cell>
          <cell r="C5424">
            <v>543519</v>
          </cell>
          <cell r="D5424" t="str">
            <v>SFSL</v>
          </cell>
          <cell r="E5424" t="str">
            <v>Furniture- Home Furnishing- Flooring</v>
          </cell>
        </row>
        <row r="5425">
          <cell r="B5425" t="str">
            <v>Global Longlife Hospital and Research Ltd</v>
          </cell>
          <cell r="C5425">
            <v>543520</v>
          </cell>
          <cell r="D5425" t="str">
            <v>GLHRL</v>
          </cell>
          <cell r="E5425" t="str">
            <v>Hospital</v>
          </cell>
        </row>
        <row r="5426">
          <cell r="B5426" t="str">
            <v>Fone4 Communications (India) Ltd</v>
          </cell>
          <cell r="C5426">
            <v>543521</v>
          </cell>
          <cell r="D5426" t="str">
            <v>FONE4</v>
          </cell>
          <cell r="E5426" t="str">
            <v>E-Retail/ E-Commerce</v>
          </cell>
        </row>
        <row r="5427">
          <cell r="B5427" t="str">
            <v>Nanavati Ventures Ltd</v>
          </cell>
          <cell r="C5427">
            <v>543522</v>
          </cell>
          <cell r="D5427" t="str">
            <v>NVENTURES</v>
          </cell>
          <cell r="E5427" t="str">
            <v>Precious Metals</v>
          </cell>
        </row>
        <row r="5428">
          <cell r="B5428" t="str">
            <v>Campus Activewear Ltd</v>
          </cell>
          <cell r="C5428">
            <v>543523</v>
          </cell>
          <cell r="D5428" t="str">
            <v>CAMPUS</v>
          </cell>
          <cell r="E5428" t="str">
            <v>Footwear</v>
          </cell>
        </row>
        <row r="5429">
          <cell r="B5429" t="str">
            <v>Rainbow Children's Medicare Ltd</v>
          </cell>
          <cell r="C5429">
            <v>543524</v>
          </cell>
          <cell r="D5429" t="str">
            <v>RAINBOW</v>
          </cell>
          <cell r="E5429" t="str">
            <v>Hospital</v>
          </cell>
        </row>
        <row r="5430">
          <cell r="B5430" t="str">
            <v>Silver Touch Technologies Ltd</v>
          </cell>
          <cell r="C5430">
            <v>543525</v>
          </cell>
          <cell r="D5430" t="str">
            <v>SILVERTUC</v>
          </cell>
          <cell r="E5430" t="str">
            <v>IT Enabled Services</v>
          </cell>
        </row>
        <row r="5431">
          <cell r="B5431" t="str">
            <v>Life Insurance Corporation of India</v>
          </cell>
          <cell r="C5431">
            <v>543526</v>
          </cell>
          <cell r="D5431" t="str">
            <v>LICI</v>
          </cell>
          <cell r="E5431" t="str">
            <v>Life Insurance</v>
          </cell>
        </row>
        <row r="5432">
          <cell r="B5432" t="str">
            <v>Prudent Corporate Advisory Services Ltd</v>
          </cell>
          <cell r="C5432">
            <v>543527</v>
          </cell>
          <cell r="D5432" t="str">
            <v>PRUDENT</v>
          </cell>
          <cell r="E5432" t="str">
            <v>Financial Products Distributor</v>
          </cell>
        </row>
        <row r="5433">
          <cell r="B5433" t="str">
            <v>Venus Pipes &amp; Tubes Ltd</v>
          </cell>
          <cell r="C5433">
            <v>543528</v>
          </cell>
          <cell r="D5433" t="str">
            <v>VENUSPIPES</v>
          </cell>
          <cell r="E5433" t="str">
            <v>Iron &amp; Steel Products</v>
          </cell>
        </row>
        <row r="5434">
          <cell r="B5434" t="str">
            <v>Delhivery Ltd</v>
          </cell>
          <cell r="C5434">
            <v>543529</v>
          </cell>
          <cell r="D5434" t="str">
            <v>DELHIVERY</v>
          </cell>
          <cell r="E5434" t="str">
            <v>Logistics Solution Provider</v>
          </cell>
        </row>
        <row r="5435">
          <cell r="B5435" t="str">
            <v>Paradeep Phosphates Ltd</v>
          </cell>
          <cell r="C5435">
            <v>543530</v>
          </cell>
          <cell r="D5435" t="str">
            <v>PARADEEP</v>
          </cell>
          <cell r="E5435" t="str">
            <v>Fertilizers</v>
          </cell>
        </row>
        <row r="5436">
          <cell r="B5436" t="str">
            <v>Tierra Agrotech Ltd</v>
          </cell>
          <cell r="C5436">
            <v>543531</v>
          </cell>
          <cell r="D5436" t="str">
            <v>TIERRA</v>
          </cell>
          <cell r="E5436" t="str">
            <v>Other Agricultural Products</v>
          </cell>
        </row>
        <row r="5437">
          <cell r="B5437" t="str">
            <v>Ethos Ltd</v>
          </cell>
          <cell r="C5437">
            <v>543532</v>
          </cell>
          <cell r="D5437" t="str">
            <v>ETHOSLTD</v>
          </cell>
          <cell r="E5437" t="str">
            <v>Gems- Jewellery And Watches</v>
          </cell>
        </row>
        <row r="5438">
          <cell r="B5438" t="str">
            <v>eMudhra Ltd</v>
          </cell>
          <cell r="C5438">
            <v>543533</v>
          </cell>
          <cell r="D5438" t="str">
            <v>EMUDHRA</v>
          </cell>
          <cell r="E5438" t="str">
            <v>IT Enabled Services</v>
          </cell>
        </row>
        <row r="5439">
          <cell r="B5439" t="str">
            <v>Aether Industries Ltd</v>
          </cell>
          <cell r="C5439">
            <v>543534</v>
          </cell>
          <cell r="D5439" t="str">
            <v>AETHER</v>
          </cell>
          <cell r="E5439" t="str">
            <v>Specialty Chemicals</v>
          </cell>
        </row>
        <row r="5440">
          <cell r="B5440" t="str">
            <v>We Win Ltd</v>
          </cell>
          <cell r="C5440">
            <v>543535</v>
          </cell>
          <cell r="D5440" t="str">
            <v>WEWIN</v>
          </cell>
          <cell r="E5440" t="str">
            <v>Business Process Outsourcing (BPO)/ Knowledge Process Outsourcing (KPO)</v>
          </cell>
        </row>
        <row r="5441">
          <cell r="B5441" t="str">
            <v>Silver Pearl Hospitality &amp; Luxury Spaces Ltd</v>
          </cell>
          <cell r="C5441">
            <v>543536</v>
          </cell>
          <cell r="D5441" t="str">
            <v>SILVERPRL</v>
          </cell>
          <cell r="E5441" t="str">
            <v>Hotels &amp; Resorts</v>
          </cell>
        </row>
        <row r="5442">
          <cell r="B5442" t="str">
            <v>Kotak Banking ETF - Dividend Payout Option</v>
          </cell>
          <cell r="C5442">
            <v>590136</v>
          </cell>
          <cell r="D5442" t="str">
            <v>KOTAKBKETF</v>
          </cell>
          <cell r="E5442" t="str">
            <v xml:space="preserve"> </v>
          </cell>
        </row>
        <row r="5443">
          <cell r="B5443" t="str">
            <v>SBI-ETF NIFTY BANK</v>
          </cell>
          <cell r="C5443">
            <v>590137</v>
          </cell>
          <cell r="D5443" t="str">
            <v>SETFNIFBK</v>
          </cell>
          <cell r="E5443" t="str">
            <v xml:space="preserve"> </v>
          </cell>
        </row>
        <row r="5444">
          <cell r="B5444" t="str">
            <v>SBI-ETF NIFTY 50</v>
          </cell>
          <cell r="C5444">
            <v>590138</v>
          </cell>
          <cell r="D5444" t="str">
            <v>SETFNIF50</v>
          </cell>
          <cell r="E5444" t="str">
            <v xml:space="preserve"> </v>
          </cell>
        </row>
      </sheetData>
      <sheetData sheetId="1">
        <row r="1">
          <cell r="A1" t="str">
            <v>COMPANY NAME</v>
          </cell>
          <cell r="B1" t="str">
            <v>BAJAJ AUTO LTD</v>
          </cell>
          <cell r="E1" t="str">
            <v/>
          </cell>
        </row>
        <row r="8">
          <cell r="B8">
            <v>8860</v>
          </cell>
        </row>
        <row r="16">
          <cell r="C16">
            <v>42825</v>
          </cell>
          <cell r="D16">
            <v>43190</v>
          </cell>
          <cell r="E16">
            <v>43555</v>
          </cell>
          <cell r="F16">
            <v>43921</v>
          </cell>
          <cell r="G16">
            <v>44286</v>
          </cell>
          <cell r="H16">
            <v>44651</v>
          </cell>
          <cell r="I16">
            <v>45016</v>
          </cell>
          <cell r="J16">
            <v>45382</v>
          </cell>
          <cell r="K16">
            <v>45747</v>
          </cell>
        </row>
        <row r="17">
          <cell r="A17" t="str">
            <v>Sales</v>
          </cell>
          <cell r="C17">
            <v>21754.720000000001</v>
          </cell>
          <cell r="D17">
            <v>25209.93</v>
          </cell>
          <cell r="E17">
            <v>30357.63</v>
          </cell>
          <cell r="F17">
            <v>29918.65</v>
          </cell>
          <cell r="G17">
            <v>27741.08</v>
          </cell>
          <cell r="H17">
            <v>33144.71</v>
          </cell>
          <cell r="I17">
            <v>36455.379999999997</v>
          </cell>
          <cell r="J17">
            <v>44870.43</v>
          </cell>
          <cell r="K17">
            <v>50994.55</v>
          </cell>
        </row>
        <row r="18">
          <cell r="A18" t="str">
            <v>Raw Material Cost</v>
          </cell>
          <cell r="C18">
            <v>14667.83</v>
          </cell>
          <cell r="D18">
            <v>17400.41</v>
          </cell>
          <cell r="E18">
            <v>21854.1</v>
          </cell>
          <cell r="F18">
            <v>21071.29</v>
          </cell>
          <cell r="G18">
            <v>19829.13</v>
          </cell>
          <cell r="H18">
            <v>24141.86</v>
          </cell>
          <cell r="I18">
            <v>26221.58</v>
          </cell>
          <cell r="J18">
            <v>31969.57</v>
          </cell>
          <cell r="K18">
            <v>35230.78</v>
          </cell>
        </row>
        <row r="19">
          <cell r="A19" t="str">
            <v>Change in Inventory</v>
          </cell>
          <cell r="C19">
            <v>43.68</v>
          </cell>
          <cell r="D19">
            <v>-9.68</v>
          </cell>
          <cell r="E19">
            <v>56.42</v>
          </cell>
          <cell r="F19">
            <v>63.01</v>
          </cell>
          <cell r="G19">
            <v>219.48</v>
          </cell>
          <cell r="H19">
            <v>-187.96</v>
          </cell>
          <cell r="I19">
            <v>100.33</v>
          </cell>
          <cell r="J19">
            <v>76.34</v>
          </cell>
          <cell r="K19">
            <v>-28.41</v>
          </cell>
        </row>
        <row r="20">
          <cell r="A20" t="str">
            <v>Power and Fuel</v>
          </cell>
          <cell r="C20">
            <v>96.46</v>
          </cell>
          <cell r="D20">
            <v>100.26</v>
          </cell>
          <cell r="E20">
            <v>115.01</v>
          </cell>
          <cell r="F20">
            <v>116.57</v>
          </cell>
          <cell r="G20">
            <v>91.34</v>
          </cell>
          <cell r="H20">
            <v>108.01</v>
          </cell>
          <cell r="I20">
            <v>122.6</v>
          </cell>
          <cell r="J20">
            <v>147.94</v>
          </cell>
          <cell r="K20">
            <v>176.94</v>
          </cell>
        </row>
        <row r="21">
          <cell r="A21" t="str">
            <v>Other Mfr. Exp</v>
          </cell>
          <cell r="C21">
            <v>547.54</v>
          </cell>
          <cell r="D21">
            <v>550.16</v>
          </cell>
          <cell r="E21">
            <v>633.99</v>
          </cell>
          <cell r="F21">
            <v>698.83</v>
          </cell>
          <cell r="G21">
            <v>597.11</v>
          </cell>
          <cell r="H21">
            <v>836.28</v>
          </cell>
          <cell r="I21">
            <v>743.55</v>
          </cell>
          <cell r="J21">
            <v>734.43</v>
          </cell>
          <cell r="K21">
            <v>815.51</v>
          </cell>
        </row>
        <row r="22">
          <cell r="A22" t="str">
            <v>Employee Cost</v>
          </cell>
          <cell r="C22">
            <v>999.83</v>
          </cell>
          <cell r="D22">
            <v>1072.5899999999999</v>
          </cell>
          <cell r="E22">
            <v>1260.32</v>
          </cell>
          <cell r="F22">
            <v>1395</v>
          </cell>
          <cell r="G22">
            <v>1296.07</v>
          </cell>
          <cell r="H22">
            <v>1366</v>
          </cell>
          <cell r="I22">
            <v>1488.1</v>
          </cell>
          <cell r="J22">
            <v>1631.06</v>
          </cell>
          <cell r="K22">
            <v>1930.38</v>
          </cell>
        </row>
        <row r="23">
          <cell r="A23" t="str">
            <v>Selling and admin</v>
          </cell>
          <cell r="C23">
            <v>699.73</v>
          </cell>
          <cell r="D23">
            <v>852.82</v>
          </cell>
          <cell r="E23">
            <v>940.92</v>
          </cell>
          <cell r="F23">
            <v>1020.98</v>
          </cell>
          <cell r="G23">
            <v>654.86</v>
          </cell>
          <cell r="H23">
            <v>644.9</v>
          </cell>
          <cell r="I23">
            <v>852.61</v>
          </cell>
          <cell r="J23">
            <v>999.37</v>
          </cell>
          <cell r="K23">
            <v>1239.3800000000001</v>
          </cell>
        </row>
        <row r="24">
          <cell r="A24" t="str">
            <v>Other Expenses</v>
          </cell>
          <cell r="C24">
            <v>358.38</v>
          </cell>
          <cell r="D24">
            <v>378.21</v>
          </cell>
          <cell r="E24">
            <v>411.79</v>
          </cell>
          <cell r="F24">
            <v>569.65</v>
          </cell>
          <cell r="G24">
            <v>554.27</v>
          </cell>
          <cell r="H24">
            <v>600.9</v>
          </cell>
          <cell r="I24">
            <v>662.63</v>
          </cell>
          <cell r="J24">
            <v>699.72</v>
          </cell>
          <cell r="K24">
            <v>2018.55</v>
          </cell>
        </row>
        <row r="25">
          <cell r="A25" t="str">
            <v>Other Income</v>
          </cell>
          <cell r="C25">
            <v>1467.61</v>
          </cell>
          <cell r="D25">
            <v>1403.72</v>
          </cell>
          <cell r="E25">
            <v>2027.83</v>
          </cell>
          <cell r="F25">
            <v>1832.38</v>
          </cell>
          <cell r="G25">
            <v>1569.68</v>
          </cell>
          <cell r="H25">
            <v>2671.3</v>
          </cell>
          <cell r="I25">
            <v>1702.7</v>
          </cell>
          <cell r="J25">
            <v>1700.49</v>
          </cell>
          <cell r="K25">
            <v>1472.06</v>
          </cell>
        </row>
        <row r="26">
          <cell r="A26" t="str">
            <v>Depreciation</v>
          </cell>
          <cell r="C26">
            <v>307.29000000000002</v>
          </cell>
          <cell r="D26">
            <v>314.8</v>
          </cell>
          <cell r="E26">
            <v>265.69</v>
          </cell>
          <cell r="F26">
            <v>246.43</v>
          </cell>
          <cell r="G26">
            <v>259.37</v>
          </cell>
          <cell r="H26">
            <v>269.76</v>
          </cell>
          <cell r="I26">
            <v>285.85000000000002</v>
          </cell>
          <cell r="J26">
            <v>364.77</v>
          </cell>
          <cell r="K26">
            <v>414.23</v>
          </cell>
        </row>
        <row r="27">
          <cell r="A27" t="str">
            <v>Interest</v>
          </cell>
          <cell r="C27">
            <v>1.4</v>
          </cell>
          <cell r="D27">
            <v>1.31</v>
          </cell>
          <cell r="E27">
            <v>4.4800000000000004</v>
          </cell>
          <cell r="F27">
            <v>3.16</v>
          </cell>
          <cell r="G27">
            <v>6.66</v>
          </cell>
          <cell r="H27">
            <v>8.66</v>
          </cell>
          <cell r="I27">
            <v>39.51</v>
          </cell>
          <cell r="J27">
            <v>60.36</v>
          </cell>
          <cell r="K27">
            <v>388.9</v>
          </cell>
        </row>
        <row r="28">
          <cell r="A28" t="str">
            <v>Profit before tax</v>
          </cell>
          <cell r="C28">
            <v>5587.55</v>
          </cell>
          <cell r="D28">
            <v>5933.41</v>
          </cell>
          <cell r="E28">
            <v>6955.58</v>
          </cell>
          <cell r="F28">
            <v>6692.13</v>
          </cell>
          <cell r="G28">
            <v>6241.43</v>
          </cell>
          <cell r="H28">
            <v>7651.68</v>
          </cell>
          <cell r="I28">
            <v>7841.98</v>
          </cell>
          <cell r="J28">
            <v>10040.040000000001</v>
          </cell>
          <cell r="K28">
            <v>10223.530000000001</v>
          </cell>
        </row>
        <row r="29">
          <cell r="A29" t="str">
            <v>Tax</v>
          </cell>
          <cell r="C29">
            <v>1508.07</v>
          </cell>
          <cell r="D29">
            <v>1714.47</v>
          </cell>
          <cell r="E29">
            <v>2027.98</v>
          </cell>
          <cell r="F29">
            <v>1480.22</v>
          </cell>
          <cell r="G29">
            <v>1384.41</v>
          </cell>
          <cell r="H29">
            <v>1485.81</v>
          </cell>
          <cell r="I29">
            <v>1781.77</v>
          </cell>
          <cell r="J29">
            <v>2331.8000000000002</v>
          </cell>
          <cell r="K29">
            <v>2898.8</v>
          </cell>
        </row>
        <row r="30">
          <cell r="A30" t="str">
            <v>Net profit</v>
          </cell>
          <cell r="C30">
            <v>4079.49</v>
          </cell>
          <cell r="D30">
            <v>4218.95</v>
          </cell>
          <cell r="E30">
            <v>4927.6099999999997</v>
          </cell>
          <cell r="F30">
            <v>5211.91</v>
          </cell>
          <cell r="G30">
            <v>4857.0200000000004</v>
          </cell>
          <cell r="H30">
            <v>6165.87</v>
          </cell>
          <cell r="I30">
            <v>6060.21</v>
          </cell>
          <cell r="J30">
            <v>7708.24</v>
          </cell>
          <cell r="K30">
            <v>7324.73</v>
          </cell>
        </row>
        <row r="31">
          <cell r="A31" t="str">
            <v>Dividend Amount</v>
          </cell>
          <cell r="C31">
            <v>1591.54</v>
          </cell>
          <cell r="D31">
            <v>1736.22</v>
          </cell>
          <cell r="E31">
            <v>1736.22</v>
          </cell>
          <cell r="F31">
            <v>3472.44</v>
          </cell>
          <cell r="G31">
            <v>4051.18</v>
          </cell>
          <cell r="H31">
            <v>4051.18</v>
          </cell>
          <cell r="I31">
            <v>3961.44</v>
          </cell>
          <cell r="J31">
            <v>2233.44</v>
          </cell>
          <cell r="K31">
            <v>5864.46</v>
          </cell>
        </row>
        <row r="42">
          <cell r="H42">
            <v>13168.88</v>
          </cell>
          <cell r="I42">
            <v>12646.32</v>
          </cell>
          <cell r="J42">
            <v>13133.35</v>
          </cell>
          <cell r="K42">
            <v>15734.74</v>
          </cell>
        </row>
        <row r="45">
          <cell r="H45">
            <v>101.72</v>
          </cell>
          <cell r="I45">
            <v>119.23</v>
          </cell>
          <cell r="J45">
            <v>117.51</v>
          </cell>
          <cell r="K45">
            <v>118.99</v>
          </cell>
        </row>
        <row r="46">
          <cell r="H46">
            <v>120.21</v>
          </cell>
          <cell r="I46">
            <v>146.52000000000001</v>
          </cell>
          <cell r="J46">
            <v>223.76</v>
          </cell>
          <cell r="K46">
            <v>286.83999999999997</v>
          </cell>
        </row>
        <row r="48">
          <cell r="H48">
            <v>680.78</v>
          </cell>
          <cell r="I48">
            <v>682.38</v>
          </cell>
          <cell r="J48">
            <v>750.21</v>
          </cell>
          <cell r="K48">
            <v>876.63</v>
          </cell>
        </row>
        <row r="51">
          <cell r="H51">
            <v>2750.83</v>
          </cell>
          <cell r="I51">
            <v>2357.75</v>
          </cell>
          <cell r="J51">
            <v>2792.9400000000005</v>
          </cell>
          <cell r="K51">
            <v>2828.6900000000005</v>
          </cell>
        </row>
        <row r="57">
          <cell r="A57" t="str">
            <v>Equity Share Capital</v>
          </cell>
          <cell r="B57">
            <v>289.37</v>
          </cell>
          <cell r="C57">
            <v>289.37</v>
          </cell>
          <cell r="D57">
            <v>289.37</v>
          </cell>
          <cell r="E57">
            <v>289.37</v>
          </cell>
          <cell r="F57">
            <v>289.37</v>
          </cell>
          <cell r="G57">
            <v>289.37</v>
          </cell>
          <cell r="H57">
            <v>289.37</v>
          </cell>
          <cell r="I57">
            <v>282.95999999999998</v>
          </cell>
          <cell r="J57">
            <v>279.18</v>
          </cell>
          <cell r="K57">
            <v>279.26</v>
          </cell>
        </row>
        <row r="58">
          <cell r="A58" t="str">
            <v>Reserves</v>
          </cell>
          <cell r="B58">
            <v>13730.94</v>
          </cell>
          <cell r="C58">
            <v>17567.2</v>
          </cell>
          <cell r="D58">
            <v>20135.87</v>
          </cell>
          <cell r="E58">
            <v>22944.44</v>
          </cell>
          <cell r="F58">
            <v>21372.71</v>
          </cell>
          <cell r="G58">
            <v>26984.06</v>
          </cell>
          <cell r="H58">
            <v>29570.28</v>
          </cell>
          <cell r="I58">
            <v>29078.58</v>
          </cell>
          <cell r="J58">
            <v>28683.23</v>
          </cell>
          <cell r="K58">
            <v>34909.480000000003</v>
          </cell>
        </row>
        <row r="59">
          <cell r="A59" t="str">
            <v>Borrowings</v>
          </cell>
          <cell r="C59">
            <v>119.9</v>
          </cell>
          <cell r="D59">
            <v>120.77</v>
          </cell>
          <cell r="E59">
            <v>124.52</v>
          </cell>
          <cell r="F59">
            <v>125.59</v>
          </cell>
          <cell r="G59">
            <v>121.46</v>
          </cell>
          <cell r="H59">
            <v>122.77</v>
          </cell>
          <cell r="I59">
            <v>124.23</v>
          </cell>
          <cell r="J59">
            <v>1911.74</v>
          </cell>
          <cell r="K59">
            <v>9364.16</v>
          </cell>
        </row>
        <row r="60">
          <cell r="A60" t="str">
            <v>Other Liabilities</v>
          </cell>
          <cell r="C60">
            <v>3661.15</v>
          </cell>
          <cell r="D60">
            <v>4594.99</v>
          </cell>
          <cell r="E60">
            <v>5476.08</v>
          </cell>
          <cell r="F60">
            <v>4722.3500000000004</v>
          </cell>
          <cell r="G60">
            <v>6206.82</v>
          </cell>
          <cell r="H60">
            <v>5128.79</v>
          </cell>
          <cell r="I60">
            <v>5650.68</v>
          </cell>
          <cell r="J60">
            <v>8469.5400000000009</v>
          </cell>
          <cell r="K60">
            <v>9557.02</v>
          </cell>
        </row>
        <row r="61">
          <cell r="C61">
            <v>21637.62</v>
          </cell>
          <cell r="D61">
            <v>25141</v>
          </cell>
          <cell r="E61">
            <v>28834.41</v>
          </cell>
          <cell r="F61">
            <v>26510.02</v>
          </cell>
          <cell r="G61">
            <v>33601.71</v>
          </cell>
          <cell r="H61">
            <v>35111.21</v>
          </cell>
          <cell r="I61">
            <v>35136.449999999997</v>
          </cell>
          <cell r="J61">
            <v>39343.69</v>
          </cell>
          <cell r="K61">
            <v>54109.919999999998</v>
          </cell>
        </row>
        <row r="62">
          <cell r="A62" t="str">
            <v>Net Block</v>
          </cell>
          <cell r="C62">
            <v>2001.79</v>
          </cell>
          <cell r="D62">
            <v>1878.33</v>
          </cell>
          <cell r="E62">
            <v>1763.94</v>
          </cell>
          <cell r="F62">
            <v>1699.02</v>
          </cell>
          <cell r="G62">
            <v>1667.55</v>
          </cell>
          <cell r="H62">
            <v>1836.05</v>
          </cell>
          <cell r="I62">
            <v>2842.24</v>
          </cell>
          <cell r="J62">
            <v>3217.37</v>
          </cell>
          <cell r="K62">
            <v>3676.59</v>
          </cell>
        </row>
        <row r="63">
          <cell r="A63" t="str">
            <v>Capital Work in Progress</v>
          </cell>
          <cell r="C63">
            <v>42.17</v>
          </cell>
          <cell r="D63">
            <v>56.47</v>
          </cell>
          <cell r="E63">
            <v>48.02</v>
          </cell>
          <cell r="F63">
            <v>60.19</v>
          </cell>
          <cell r="G63">
            <v>15.98</v>
          </cell>
          <cell r="H63">
            <v>77.209999999999994</v>
          </cell>
          <cell r="I63">
            <v>85.27</v>
          </cell>
          <cell r="J63">
            <v>35.1</v>
          </cell>
          <cell r="K63">
            <v>60.8</v>
          </cell>
        </row>
        <row r="64">
          <cell r="A64" t="str">
            <v>Investments</v>
          </cell>
          <cell r="C64">
            <v>15477.04</v>
          </cell>
          <cell r="D64">
            <v>18894.57</v>
          </cell>
          <cell r="E64">
            <v>20602.849999999999</v>
          </cell>
          <cell r="F64">
            <v>19913.580000000002</v>
          </cell>
          <cell r="G64">
            <v>24686.65</v>
          </cell>
          <cell r="H64">
            <v>26634.12</v>
          </cell>
          <cell r="I64">
            <v>26182.91</v>
          </cell>
          <cell r="J64">
            <v>28086.68</v>
          </cell>
          <cell r="K64">
            <v>28913.87</v>
          </cell>
        </row>
        <row r="65">
          <cell r="A65" t="str">
            <v>Other Assets</v>
          </cell>
          <cell r="C65">
            <v>4116.62</v>
          </cell>
          <cell r="D65">
            <v>4311.63</v>
          </cell>
          <cell r="E65">
            <v>6419.6</v>
          </cell>
          <cell r="F65">
            <v>4837.2299999999996</v>
          </cell>
          <cell r="G65">
            <v>7231.53</v>
          </cell>
          <cell r="H65">
            <v>6563.83</v>
          </cell>
          <cell r="I65">
            <v>6026.03</v>
          </cell>
          <cell r="J65">
            <v>8004.54</v>
          </cell>
          <cell r="K65">
            <v>21458.66</v>
          </cell>
        </row>
        <row r="66">
          <cell r="B66">
            <v>17240.37</v>
          </cell>
          <cell r="C66">
            <v>21637.62</v>
          </cell>
          <cell r="D66">
            <v>25141</v>
          </cell>
          <cell r="E66">
            <v>28834.41</v>
          </cell>
          <cell r="F66">
            <v>26510.02</v>
          </cell>
          <cell r="G66">
            <v>33601.71</v>
          </cell>
          <cell r="H66">
            <v>35111.21</v>
          </cell>
          <cell r="I66">
            <v>35136.449999999997</v>
          </cell>
          <cell r="J66">
            <v>39343.69</v>
          </cell>
          <cell r="K66">
            <v>54109.919999999998</v>
          </cell>
        </row>
        <row r="67">
          <cell r="A67" t="str">
            <v>Receivables</v>
          </cell>
          <cell r="C67">
            <v>953.29</v>
          </cell>
          <cell r="D67">
            <v>1491.87</v>
          </cell>
          <cell r="E67">
            <v>2559.69</v>
          </cell>
          <cell r="F67">
            <v>1725.1</v>
          </cell>
          <cell r="G67">
            <v>2716.85</v>
          </cell>
          <cell r="H67">
            <v>1516.38</v>
          </cell>
          <cell r="I67">
            <v>1752.43</v>
          </cell>
          <cell r="J67">
            <v>2075.5300000000002</v>
          </cell>
          <cell r="K67">
            <v>2125.2199999999998</v>
          </cell>
        </row>
        <row r="68">
          <cell r="A68" t="str">
            <v>Inventory</v>
          </cell>
          <cell r="C68">
            <v>728.38</v>
          </cell>
          <cell r="D68">
            <v>742.58</v>
          </cell>
          <cell r="E68">
            <v>961.51</v>
          </cell>
          <cell r="F68">
            <v>1063.5</v>
          </cell>
          <cell r="G68">
            <v>1493.89</v>
          </cell>
          <cell r="H68">
            <v>1230.51</v>
          </cell>
          <cell r="I68">
            <v>1563.55</v>
          </cell>
          <cell r="J68">
            <v>1688.75</v>
          </cell>
          <cell r="K68">
            <v>2077.36</v>
          </cell>
        </row>
        <row r="69">
          <cell r="A69" t="str">
            <v>Cash &amp; Bank</v>
          </cell>
          <cell r="C69">
            <v>301.36</v>
          </cell>
          <cell r="D69">
            <v>792.66</v>
          </cell>
          <cell r="E69">
            <v>933.07</v>
          </cell>
          <cell r="F69">
            <v>316.33999999999997</v>
          </cell>
          <cell r="G69">
            <v>538.84</v>
          </cell>
          <cell r="H69">
            <v>958.06</v>
          </cell>
          <cell r="I69">
            <v>690.48</v>
          </cell>
          <cell r="J69">
            <v>955.32</v>
          </cell>
          <cell r="K69">
            <v>2847.6</v>
          </cell>
        </row>
        <row r="70">
          <cell r="C70">
            <v>289367020</v>
          </cell>
        </row>
        <row r="90">
          <cell r="C90">
            <v>2805.45</v>
          </cell>
        </row>
        <row r="93">
          <cell r="C93">
            <v>28.94</v>
          </cell>
          <cell r="D93">
            <v>28.94</v>
          </cell>
          <cell r="E93">
            <v>28.94</v>
          </cell>
          <cell r="F93">
            <v>28.94</v>
          </cell>
          <cell r="G93">
            <v>28.94</v>
          </cell>
          <cell r="H93">
            <v>28.94</v>
          </cell>
          <cell r="I93">
            <v>28.3</v>
          </cell>
          <cell r="J93">
            <v>27.92</v>
          </cell>
          <cell r="K93">
            <v>27.93</v>
          </cell>
        </row>
      </sheetData>
      <sheetData sheetId="2"/>
      <sheetData sheetId="3"/>
      <sheetData sheetId="4">
        <row r="1">
          <cell r="A1" t="str">
            <v>BAJAJ AUTO LTD</v>
          </cell>
        </row>
      </sheetData>
      <sheetData sheetId="5"/>
      <sheetData sheetId="6">
        <row r="10">
          <cell r="E10">
            <v>4922</v>
          </cell>
          <cell r="F10">
            <v>5249</v>
          </cell>
          <cell r="G10">
            <v>5163</v>
          </cell>
          <cell r="H10">
            <v>4961</v>
          </cell>
          <cell r="I10">
            <v>5300</v>
          </cell>
          <cell r="J10">
            <v>6609</v>
          </cell>
          <cell r="K10">
            <v>8784</v>
          </cell>
          <cell r="L10">
            <v>10404</v>
          </cell>
        </row>
        <row r="11">
          <cell r="E11">
            <v>-539</v>
          </cell>
          <cell r="F11">
            <v>-1070</v>
          </cell>
          <cell r="G11">
            <v>829</v>
          </cell>
          <cell r="H11">
            <v>-1002</v>
          </cell>
          <cell r="I11">
            <v>1203</v>
          </cell>
          <cell r="J11">
            <v>-243</v>
          </cell>
          <cell r="K11">
            <v>-293</v>
          </cell>
          <cell r="L11">
            <v>-52</v>
          </cell>
        </row>
        <row r="12">
          <cell r="E12">
            <v>-14</v>
          </cell>
          <cell r="F12">
            <v>-219</v>
          </cell>
          <cell r="G12">
            <v>-102</v>
          </cell>
          <cell r="H12">
            <v>-430</v>
          </cell>
          <cell r="I12">
            <v>263</v>
          </cell>
          <cell r="J12">
            <v>-333</v>
          </cell>
          <cell r="K12">
            <v>-125</v>
          </cell>
          <cell r="L12">
            <v>-389</v>
          </cell>
        </row>
        <row r="13">
          <cell r="E13">
            <v>0</v>
          </cell>
          <cell r="F13">
            <v>0</v>
          </cell>
          <cell r="G13">
            <v>0</v>
          </cell>
          <cell r="H13">
            <v>0</v>
          </cell>
          <cell r="I13">
            <v>0</v>
          </cell>
          <cell r="J13">
            <v>0</v>
          </cell>
          <cell r="K13">
            <v>0</v>
          </cell>
          <cell r="L13">
            <v>-9848</v>
          </cell>
        </row>
        <row r="14">
          <cell r="E14">
            <v>1644</v>
          </cell>
          <cell r="F14">
            <v>491</v>
          </cell>
          <cell r="G14">
            <v>-361</v>
          </cell>
          <cell r="H14">
            <v>931</v>
          </cell>
          <cell r="I14">
            <v>-867</v>
          </cell>
          <cell r="J14">
            <v>1164</v>
          </cell>
          <cell r="K14">
            <v>579</v>
          </cell>
          <cell r="L14">
            <v>1229</v>
          </cell>
        </row>
        <row r="15">
          <cell r="E15">
            <v>1091</v>
          </cell>
          <cell r="F15">
            <v>-798</v>
          </cell>
          <cell r="G15">
            <v>366</v>
          </cell>
          <cell r="H15">
            <v>-501</v>
          </cell>
          <cell r="I15">
            <v>599</v>
          </cell>
          <cell r="J15">
            <v>587</v>
          </cell>
          <cell r="K15">
            <v>161</v>
          </cell>
          <cell r="L15">
            <v>-9060</v>
          </cell>
        </row>
        <row r="16">
          <cell r="E16">
            <v>-1685</v>
          </cell>
          <cell r="F16">
            <v>-1964</v>
          </cell>
          <cell r="G16">
            <v>-1678</v>
          </cell>
          <cell r="H16">
            <v>-1340</v>
          </cell>
          <cell r="I16">
            <v>-1702</v>
          </cell>
          <cell r="J16">
            <v>-1919</v>
          </cell>
          <cell r="K16">
            <v>-2387</v>
          </cell>
          <cell r="L16">
            <v>-2750</v>
          </cell>
        </row>
        <row r="18">
          <cell r="E18">
            <v>-196</v>
          </cell>
          <cell r="F18">
            <v>-184</v>
          </cell>
          <cell r="G18">
            <v>-297</v>
          </cell>
          <cell r="H18">
            <v>-260</v>
          </cell>
          <cell r="I18">
            <v>-551</v>
          </cell>
          <cell r="J18">
            <v>-1110</v>
          </cell>
          <cell r="K18">
            <v>-723</v>
          </cell>
          <cell r="L18">
            <v>-874</v>
          </cell>
        </row>
        <row r="19">
          <cell r="E19">
            <v>13</v>
          </cell>
          <cell r="F19">
            <v>76</v>
          </cell>
          <cell r="G19">
            <v>17</v>
          </cell>
          <cell r="H19">
            <v>6</v>
          </cell>
          <cell r="I19">
            <v>33</v>
          </cell>
          <cell r="J19">
            <v>137</v>
          </cell>
          <cell r="K19">
            <v>12</v>
          </cell>
          <cell r="L19">
            <v>6</v>
          </cell>
        </row>
        <row r="20">
          <cell r="E20">
            <v>-7484</v>
          </cell>
          <cell r="F20">
            <v>-9601</v>
          </cell>
          <cell r="G20">
            <v>-3518</v>
          </cell>
          <cell r="H20">
            <v>-6240</v>
          </cell>
          <cell r="I20">
            <v>-11293</v>
          </cell>
          <cell r="J20">
            <v>-9384</v>
          </cell>
          <cell r="K20">
            <v>-17365</v>
          </cell>
          <cell r="L20">
            <v>-11897</v>
          </cell>
        </row>
        <row r="21">
          <cell r="E21">
            <v>5547</v>
          </cell>
          <cell r="F21">
            <v>9355</v>
          </cell>
          <cell r="G21">
            <v>5346</v>
          </cell>
          <cell r="H21">
            <v>3556</v>
          </cell>
          <cell r="I21">
            <v>11527</v>
          </cell>
          <cell r="J21">
            <v>11553</v>
          </cell>
          <cell r="K21">
            <v>17248</v>
          </cell>
          <cell r="L21">
            <v>11229</v>
          </cell>
        </row>
        <row r="22">
          <cell r="E22">
            <v>0</v>
          </cell>
          <cell r="F22">
            <v>0</v>
          </cell>
          <cell r="G22">
            <v>0</v>
          </cell>
          <cell r="H22">
            <v>0</v>
          </cell>
          <cell r="I22">
            <v>0</v>
          </cell>
          <cell r="J22">
            <v>0</v>
          </cell>
          <cell r="K22">
            <v>0</v>
          </cell>
          <cell r="L22">
            <v>0</v>
          </cell>
        </row>
        <row r="23">
          <cell r="E23">
            <v>70</v>
          </cell>
          <cell r="F23">
            <v>16</v>
          </cell>
          <cell r="G23">
            <v>23</v>
          </cell>
          <cell r="H23">
            <v>66</v>
          </cell>
          <cell r="I23">
            <v>197</v>
          </cell>
          <cell r="J23">
            <v>376</v>
          </cell>
          <cell r="K23">
            <v>413</v>
          </cell>
          <cell r="L23">
            <v>277</v>
          </cell>
        </row>
        <row r="24">
          <cell r="E24">
            <v>0</v>
          </cell>
          <cell r="F24">
            <v>0</v>
          </cell>
          <cell r="G24">
            <v>25</v>
          </cell>
          <cell r="H24">
            <v>0</v>
          </cell>
          <cell r="I24">
            <v>46</v>
          </cell>
          <cell r="J24">
            <v>47</v>
          </cell>
          <cell r="K24">
            <v>43</v>
          </cell>
          <cell r="L24">
            <v>30</v>
          </cell>
        </row>
        <row r="25">
          <cell r="E25">
            <v>95</v>
          </cell>
          <cell r="F25">
            <v>65</v>
          </cell>
          <cell r="G25">
            <v>170</v>
          </cell>
          <cell r="H25">
            <v>2</v>
          </cell>
          <cell r="I25">
            <v>318</v>
          </cell>
          <cell r="J25">
            <v>-407</v>
          </cell>
          <cell r="K25">
            <v>300</v>
          </cell>
          <cell r="L25">
            <v>174</v>
          </cell>
        </row>
        <row r="27">
          <cell r="E27">
            <v>0</v>
          </cell>
          <cell r="F27">
            <v>0</v>
          </cell>
          <cell r="G27">
            <v>0</v>
          </cell>
          <cell r="H27">
            <v>0</v>
          </cell>
          <cell r="I27">
            <v>0</v>
          </cell>
          <cell r="J27">
            <v>0</v>
          </cell>
          <cell r="K27">
            <v>87</v>
          </cell>
          <cell r="L27">
            <v>29</v>
          </cell>
        </row>
        <row r="28">
          <cell r="E28">
            <v>0</v>
          </cell>
          <cell r="F28">
            <v>0</v>
          </cell>
          <cell r="G28">
            <v>0</v>
          </cell>
          <cell r="H28">
            <v>0</v>
          </cell>
          <cell r="I28">
            <v>0</v>
          </cell>
          <cell r="J28">
            <v>0</v>
          </cell>
          <cell r="K28">
            <v>1785</v>
          </cell>
          <cell r="L28">
            <v>8945</v>
          </cell>
        </row>
        <row r="29">
          <cell r="E29">
            <v>0</v>
          </cell>
          <cell r="F29">
            <v>0</v>
          </cell>
          <cell r="G29">
            <v>0</v>
          </cell>
          <cell r="H29">
            <v>0</v>
          </cell>
          <cell r="I29">
            <v>0</v>
          </cell>
          <cell r="J29">
            <v>0</v>
          </cell>
          <cell r="K29">
            <v>0</v>
          </cell>
          <cell r="L29">
            <v>-1511</v>
          </cell>
        </row>
        <row r="30">
          <cell r="E30">
            <v>0</v>
          </cell>
          <cell r="F30">
            <v>-4</v>
          </cell>
          <cell r="G30">
            <v>-2</v>
          </cell>
          <cell r="H30">
            <v>-5</v>
          </cell>
          <cell r="I30">
            <v>-7</v>
          </cell>
          <cell r="J30">
            <v>-38</v>
          </cell>
          <cell r="K30">
            <v>-59</v>
          </cell>
          <cell r="L30">
            <v>-66</v>
          </cell>
        </row>
        <row r="31">
          <cell r="E31">
            <v>-1588</v>
          </cell>
          <cell r="F31">
            <v>-1736</v>
          </cell>
          <cell r="G31">
            <v>-5195</v>
          </cell>
          <cell r="H31">
            <v>-14</v>
          </cell>
          <cell r="I31">
            <v>-4049</v>
          </cell>
          <cell r="J31">
            <v>-4047</v>
          </cell>
          <cell r="K31">
            <v>-3960</v>
          </cell>
          <cell r="L31">
            <v>-2235</v>
          </cell>
        </row>
        <row r="32">
          <cell r="E32">
            <v>-296</v>
          </cell>
          <cell r="F32">
            <v>-335</v>
          </cell>
          <cell r="G32">
            <v>-1049</v>
          </cell>
          <cell r="H32">
            <v>0</v>
          </cell>
          <cell r="I32">
            <v>0</v>
          </cell>
          <cell r="J32">
            <v>-3096</v>
          </cell>
          <cell r="K32">
            <v>-4019</v>
          </cell>
          <cell r="L32">
            <v>-932</v>
          </cell>
        </row>
      </sheetData>
      <sheetData sheetId="7">
        <row r="28">
          <cell r="C28">
            <v>1.4</v>
          </cell>
          <cell r="D28">
            <v>1.31</v>
          </cell>
          <cell r="E28">
            <v>4.4800000000000004</v>
          </cell>
          <cell r="F28">
            <v>3.16</v>
          </cell>
          <cell r="G28">
            <v>6.66</v>
          </cell>
          <cell r="H28">
            <v>8.66</v>
          </cell>
          <cell r="I28">
            <v>39.51</v>
          </cell>
          <cell r="J28">
            <v>60.36</v>
          </cell>
        </row>
        <row r="34">
          <cell r="C34">
            <v>4032.5799356461516</v>
          </cell>
          <cell r="D34">
            <v>4549.0499480363515</v>
          </cell>
          <cell r="E34">
            <v>4814.9098524259025</v>
          </cell>
          <cell r="F34">
            <v>4733.7298943802616</v>
          </cell>
          <cell r="G34">
            <v>4232.7897599228299</v>
          </cell>
          <cell r="H34">
            <v>5356.2997387215037</v>
          </cell>
          <cell r="I34">
            <v>5938.6189162093469</v>
          </cell>
          <cell r="J34">
            <v>8186.8686547933721</v>
          </cell>
        </row>
      </sheetData>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LIST OF STOCKS"/>
      <sheetName val="Data Sheet"/>
      <sheetName val="Profit &amp; Loss"/>
      <sheetName val="Quarters"/>
      <sheetName val="Balance Sheet"/>
      <sheetName val="Cash Flow"/>
      <sheetName val="Cash Flow Data"/>
      <sheetName val="Historical FS"/>
      <sheetName val="Forcasting"/>
      <sheetName val="Ratio Analysis"/>
      <sheetName val="Common Size Statement"/>
      <sheetName val="Dupont Analysis"/>
      <sheetName val="Altman's Z score"/>
    </sheetNames>
    <sheetDataSet>
      <sheetData sheetId="0" refreshError="1"/>
      <sheetData sheetId="1">
        <row r="1">
          <cell r="B1" t="str">
            <v>BAJAJ AUTO LTD</v>
          </cell>
        </row>
        <row r="6">
          <cell r="B6">
            <v>27.925760722347629</v>
          </cell>
        </row>
        <row r="69">
          <cell r="I69">
            <v>690.48</v>
          </cell>
        </row>
      </sheetData>
      <sheetData sheetId="2" refreshError="1"/>
      <sheetData sheetId="3" refreshError="1"/>
      <sheetData sheetId="4" refreshError="1"/>
      <sheetData sheetId="5" refreshError="1"/>
      <sheetData sheetId="6" refreshError="1"/>
      <sheetData sheetId="7"/>
      <sheetData sheetId="8" refreshError="1"/>
      <sheetData sheetId="9" refreshError="1">
        <row r="29">
          <cell r="C29">
            <v>0.22440334503937659</v>
          </cell>
        </row>
      </sheetData>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aw Data Bajaj Auto "/>
      <sheetName val="Intrinsic Growth"/>
      <sheetName val="Data"/>
      <sheetName val="Football Filed Anaslysis"/>
    </sheetNames>
    <sheetDataSet>
      <sheetData sheetId="0">
        <row r="15">
          <cell r="L15">
            <v>124</v>
          </cell>
        </row>
      </sheetData>
      <sheetData sheetId="1">
        <row r="8">
          <cell r="J8">
            <v>44986</v>
          </cell>
        </row>
      </sheetData>
      <sheetData sheetId="2">
        <row r="7">
          <cell r="D7">
            <v>15977</v>
          </cell>
          <cell r="G7">
            <v>160633.79999999999</v>
          </cell>
          <cell r="H7">
            <v>14779.4</v>
          </cell>
          <cell r="M7">
            <v>42178</v>
          </cell>
          <cell r="N7">
            <v>368.23</v>
          </cell>
          <cell r="P7">
            <v>-453</v>
          </cell>
          <cell r="Q7">
            <v>501918.87</v>
          </cell>
        </row>
        <row r="8">
          <cell r="D8">
            <v>3749.6</v>
          </cell>
          <cell r="G8">
            <v>175704.22</v>
          </cell>
          <cell r="H8">
            <v>15506.66</v>
          </cell>
          <cell r="M8">
            <v>37698.07</v>
          </cell>
          <cell r="N8">
            <v>124.35</v>
          </cell>
          <cell r="P8">
            <v>106094.49</v>
          </cell>
          <cell r="Q8">
            <v>572455.89</v>
          </cell>
        </row>
        <row r="9">
          <cell r="D9">
            <v>8892</v>
          </cell>
          <cell r="G9">
            <v>54683.29</v>
          </cell>
          <cell r="H9">
            <v>8329.9699999999993</v>
          </cell>
          <cell r="M9">
            <v>25274.2</v>
          </cell>
          <cell r="N9">
            <v>31.44</v>
          </cell>
          <cell r="P9">
            <v>16845.640000000003</v>
          </cell>
          <cell r="Q9">
            <v>265044.03000000003</v>
          </cell>
        </row>
        <row r="10">
          <cell r="D10">
            <v>7134.5</v>
          </cell>
          <cell r="G10">
            <v>21427.66</v>
          </cell>
          <cell r="H10">
            <v>5107.32</v>
          </cell>
          <cell r="M10">
            <v>9733.66</v>
          </cell>
          <cell r="N10">
            <v>81.25</v>
          </cell>
          <cell r="P10">
            <v>182.76999999999998</v>
          </cell>
          <cell r="Q10">
            <v>195915.9</v>
          </cell>
        </row>
        <row r="11">
          <cell r="D11">
            <v>2335.9</v>
          </cell>
          <cell r="G11">
            <v>66889.41</v>
          </cell>
          <cell r="H11">
            <v>5612.65</v>
          </cell>
          <cell r="M11">
            <v>7472.24</v>
          </cell>
          <cell r="N11">
            <v>47.51</v>
          </cell>
          <cell r="P11">
            <v>-7278.7900000000009</v>
          </cell>
          <cell r="Q11">
            <v>182559.22999999998</v>
          </cell>
        </row>
        <row r="12">
          <cell r="D12">
            <v>3441.9</v>
          </cell>
          <cell r="G12">
            <v>48838.15</v>
          </cell>
          <cell r="H12">
            <v>2782.48</v>
          </cell>
          <cell r="M12">
            <v>7867.06</v>
          </cell>
          <cell r="N12">
            <v>20.010000000000002</v>
          </cell>
          <cell r="P12">
            <v>12475.62</v>
          </cell>
          <cell r="Q12">
            <v>176024</v>
          </cell>
        </row>
        <row r="13">
          <cell r="D13">
            <v>362.25</v>
          </cell>
          <cell r="G13">
            <v>392137</v>
          </cell>
          <cell r="H13">
            <v>94292</v>
          </cell>
          <cell r="M13">
            <v>7343.2300000000005</v>
          </cell>
          <cell r="N13">
            <v>27.43</v>
          </cell>
          <cell r="P13">
            <v>26424</v>
          </cell>
          <cell r="Q13">
            <v>159834.99</v>
          </cell>
        </row>
        <row r="14">
          <cell r="D14">
            <v>6002.5</v>
          </cell>
          <cell r="G14">
            <v>42175.839999999997</v>
          </cell>
          <cell r="H14">
            <v>5303.76</v>
          </cell>
          <cell r="M14">
            <v>-1217</v>
          </cell>
          <cell r="N14">
            <v>441.08</v>
          </cell>
          <cell r="P14">
            <v>143.99</v>
          </cell>
          <cell r="Q14">
            <v>120225.96</v>
          </cell>
        </row>
        <row r="15">
          <cell r="D15">
            <v>695.9</v>
          </cell>
          <cell r="G15">
            <v>2854.5</v>
          </cell>
          <cell r="H15">
            <v>-764.5</v>
          </cell>
          <cell r="M15">
            <v>12554.75</v>
          </cell>
          <cell r="N15">
            <v>27.93</v>
          </cell>
          <cell r="P15">
            <v>59.900000000000034</v>
          </cell>
          <cell r="Q15">
            <v>26467.03</v>
          </cell>
        </row>
        <row r="16">
          <cell r="D16">
            <v>16901</v>
          </cell>
          <cell r="G16">
            <v>8624.15</v>
          </cell>
          <cell r="H16">
            <v>1077.1400000000001</v>
          </cell>
          <cell r="M16">
            <v>1340.65</v>
          </cell>
          <cell r="N16">
            <v>1.32</v>
          </cell>
          <cell r="P16">
            <v>-507.41</v>
          </cell>
          <cell r="Q16">
            <v>21763.06</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dimension ref="A1:Q27"/>
  <sheetViews>
    <sheetView showGridLines="0" zoomScaleSheetLayoutView="100" workbookViewId="0">
      <selection activeCell="L17" sqref="L17"/>
    </sheetView>
  </sheetViews>
  <sheetFormatPr defaultRowHeight="15"/>
  <sheetData>
    <row r="1" spans="1:17" ht="15.75" customHeight="1" thickBot="1"/>
    <row r="2" spans="1:17" ht="7.5" customHeight="1" thickTop="1">
      <c r="A2" s="196"/>
      <c r="B2" s="196"/>
      <c r="C2" s="196"/>
      <c r="D2" s="196"/>
      <c r="E2" s="196"/>
      <c r="F2" s="196"/>
      <c r="G2" s="196"/>
      <c r="H2" s="196"/>
      <c r="I2" s="196"/>
      <c r="J2" s="196"/>
      <c r="K2" s="196"/>
      <c r="L2" s="196"/>
      <c r="M2" s="196"/>
      <c r="N2" s="196"/>
      <c r="O2" s="196"/>
      <c r="P2" s="196"/>
    </row>
    <row r="3" spans="1:17">
      <c r="A3" s="260"/>
      <c r="B3" s="260"/>
      <c r="C3" s="260"/>
      <c r="D3" s="260"/>
      <c r="E3" s="260"/>
      <c r="F3" s="260"/>
      <c r="G3" s="260"/>
      <c r="H3" s="260"/>
      <c r="I3" s="260"/>
      <c r="J3" s="260"/>
      <c r="K3" s="260"/>
      <c r="L3" s="260"/>
      <c r="M3" s="260"/>
      <c r="N3" s="260"/>
      <c r="O3" s="260"/>
      <c r="P3" s="260"/>
    </row>
    <row r="4" spans="1:17" ht="8.25" customHeight="1" thickBot="1">
      <c r="A4" s="193"/>
      <c r="B4" s="193"/>
      <c r="C4" s="193"/>
      <c r="D4" s="193"/>
      <c r="E4" s="193"/>
      <c r="F4" s="193"/>
      <c r="G4" s="193"/>
      <c r="H4" s="193"/>
      <c r="I4" s="193"/>
      <c r="J4" s="193"/>
      <c r="K4" s="193"/>
      <c r="L4" s="193"/>
      <c r="M4" s="193"/>
      <c r="N4" s="193"/>
      <c r="O4" s="193"/>
      <c r="P4" s="193"/>
    </row>
    <row r="5" spans="1:17" ht="15.75" thickTop="1"/>
    <row r="6" spans="1:17">
      <c r="F6" s="497" t="s">
        <v>411</v>
      </c>
      <c r="G6" s="497"/>
      <c r="H6" s="497"/>
      <c r="I6" s="497"/>
      <c r="J6" s="497"/>
      <c r="K6" s="497"/>
      <c r="L6" s="497"/>
      <c r="M6" s="497"/>
      <c r="N6" s="497"/>
      <c r="O6" s="497"/>
      <c r="P6" s="497"/>
    </row>
    <row r="7" spans="1:17">
      <c r="F7" s="497"/>
      <c r="G7" s="497"/>
      <c r="H7" s="497"/>
      <c r="I7" s="497"/>
      <c r="J7" s="497"/>
      <c r="K7" s="497"/>
      <c r="L7" s="497"/>
      <c r="M7" s="497"/>
      <c r="N7" s="497"/>
      <c r="O7" s="497"/>
      <c r="P7" s="497"/>
    </row>
    <row r="8" spans="1:17" ht="15.75" thickBot="1"/>
    <row r="9" spans="1:17" ht="15.75" thickTop="1">
      <c r="A9" s="196"/>
      <c r="B9" s="196"/>
      <c r="C9" s="196"/>
      <c r="D9" s="196"/>
      <c r="E9" s="196"/>
      <c r="F9" s="196"/>
      <c r="G9" s="196"/>
      <c r="H9" s="196"/>
      <c r="I9" s="196"/>
      <c r="J9" s="196"/>
      <c r="K9" s="196"/>
      <c r="L9" s="196"/>
      <c r="M9" s="196"/>
      <c r="N9" s="196"/>
      <c r="O9" s="196"/>
      <c r="P9" s="196"/>
    </row>
    <row r="10" spans="1:17">
      <c r="A10" s="260"/>
      <c r="B10" s="260"/>
      <c r="C10" s="260"/>
      <c r="D10" s="260"/>
      <c r="E10" s="260"/>
      <c r="F10" s="260"/>
      <c r="G10" s="260"/>
      <c r="H10" s="260"/>
      <c r="I10" s="260"/>
      <c r="J10" s="260"/>
      <c r="K10" s="260"/>
      <c r="L10" s="260"/>
      <c r="M10" s="260"/>
      <c r="N10" s="260"/>
      <c r="O10" s="260"/>
      <c r="P10" s="260"/>
    </row>
    <row r="12" spans="1:17">
      <c r="I12" s="191"/>
    </row>
    <row r="13" spans="1:17">
      <c r="G13" s="382"/>
      <c r="H13" s="382"/>
      <c r="I13" s="382"/>
      <c r="J13" s="498" t="s">
        <v>412</v>
      </c>
      <c r="K13" s="498"/>
      <c r="L13" s="498"/>
      <c r="M13" s="382"/>
      <c r="N13" s="382"/>
      <c r="O13" s="382"/>
      <c r="P13" s="382"/>
      <c r="Q13" s="191"/>
    </row>
    <row r="14" spans="1:17" ht="15.75" customHeight="1">
      <c r="A14" s="388"/>
      <c r="B14" s="309"/>
      <c r="C14" s="387"/>
      <c r="D14" s="387"/>
      <c r="E14" s="387"/>
      <c r="F14" s="380"/>
      <c r="G14" s="389"/>
      <c r="H14" s="385"/>
      <c r="I14" s="385"/>
      <c r="J14" s="499" t="s">
        <v>413</v>
      </c>
      <c r="K14" s="499"/>
      <c r="L14" s="499"/>
      <c r="M14" s="386"/>
      <c r="N14" s="386"/>
      <c r="O14" s="389"/>
      <c r="P14" s="386"/>
      <c r="Q14" s="191"/>
    </row>
    <row r="15" spans="1:17">
      <c r="A15" s="380"/>
      <c r="B15" s="380"/>
      <c r="C15" s="309"/>
      <c r="D15" s="388"/>
      <c r="E15" s="309"/>
      <c r="F15" s="379"/>
      <c r="G15" s="384"/>
      <c r="H15" s="384"/>
      <c r="I15" s="389"/>
      <c r="J15" s="499"/>
      <c r="K15" s="499"/>
      <c r="L15" s="499"/>
      <c r="M15" s="383"/>
      <c r="N15" s="389"/>
      <c r="O15" s="383"/>
      <c r="P15" s="383"/>
    </row>
    <row r="16" spans="1:17">
      <c r="G16" s="382"/>
      <c r="H16" s="382"/>
      <c r="I16" s="382"/>
      <c r="J16" s="382"/>
      <c r="K16" s="382"/>
      <c r="L16" s="382"/>
      <c r="M16" s="382"/>
      <c r="N16" s="382"/>
      <c r="O16" s="382"/>
      <c r="P16" s="382"/>
      <c r="Q16" s="191"/>
    </row>
    <row r="17" spans="1:16">
      <c r="L17" s="191"/>
      <c r="M17" s="191"/>
      <c r="N17" s="191"/>
      <c r="P17" s="191"/>
    </row>
    <row r="18" spans="1:16" ht="15.75" thickBot="1"/>
    <row r="19" spans="1:16" ht="8.25" customHeight="1" thickTop="1">
      <c r="A19" s="196"/>
      <c r="B19" s="196"/>
      <c r="C19" s="196"/>
      <c r="D19" s="196"/>
      <c r="E19" s="196"/>
      <c r="F19" s="196"/>
      <c r="G19" s="196"/>
      <c r="H19" s="196"/>
      <c r="I19" s="196"/>
      <c r="J19" s="196"/>
      <c r="K19" s="196"/>
      <c r="L19" s="196"/>
      <c r="M19" s="196"/>
      <c r="N19" s="196"/>
      <c r="O19" s="196"/>
      <c r="P19" s="196"/>
    </row>
    <row r="20" spans="1:16">
      <c r="A20" s="260"/>
      <c r="B20" s="260"/>
      <c r="C20" s="260"/>
      <c r="D20" s="260"/>
      <c r="E20" s="260"/>
      <c r="F20" s="260"/>
      <c r="G20" s="260"/>
      <c r="H20" s="260"/>
      <c r="I20" s="260"/>
      <c r="J20" s="260"/>
      <c r="K20" s="260"/>
      <c r="L20" s="260"/>
      <c r="M20" s="260"/>
      <c r="N20" s="260"/>
      <c r="O20" s="260"/>
      <c r="P20" s="260"/>
    </row>
    <row r="21" spans="1:16" ht="9.75" customHeight="1" thickBot="1">
      <c r="A21" s="193"/>
      <c r="B21" s="193"/>
      <c r="C21" s="193"/>
      <c r="D21" s="193"/>
      <c r="E21" s="193"/>
      <c r="F21" s="193"/>
      <c r="G21" s="193"/>
      <c r="H21" s="193"/>
      <c r="I21" s="193"/>
      <c r="J21" s="193"/>
      <c r="K21" s="193"/>
      <c r="L21" s="193"/>
      <c r="M21" s="193"/>
      <c r="N21" s="193"/>
      <c r="O21" s="193"/>
      <c r="P21" s="193"/>
    </row>
    <row r="22" spans="1:16" ht="15.75" thickTop="1"/>
    <row r="23" spans="1:16">
      <c r="F23" s="379"/>
      <c r="G23" s="379"/>
      <c r="H23" s="379"/>
      <c r="I23" s="379"/>
      <c r="J23" s="379"/>
      <c r="K23" s="379"/>
      <c r="L23" s="379"/>
      <c r="M23" s="379"/>
      <c r="N23" s="379"/>
      <c r="O23" s="379"/>
      <c r="P23" s="379"/>
    </row>
    <row r="24" spans="1:16">
      <c r="G24" s="178"/>
      <c r="H24" s="178"/>
      <c r="I24" s="178"/>
      <c r="J24" s="178"/>
      <c r="K24" s="178"/>
      <c r="L24" s="178"/>
      <c r="M24" s="178"/>
      <c r="N24" s="178"/>
      <c r="O24" s="178"/>
      <c r="P24" s="178"/>
    </row>
    <row r="25" spans="1:16">
      <c r="H25" s="380"/>
      <c r="I25" s="380"/>
      <c r="J25" s="380"/>
      <c r="K25" s="380"/>
      <c r="L25" s="380"/>
      <c r="M25" s="380"/>
      <c r="N25" s="380"/>
      <c r="O25" s="380"/>
      <c r="P25" s="380"/>
    </row>
    <row r="26" spans="1:16">
      <c r="I26" s="379"/>
      <c r="J26" s="379"/>
      <c r="K26" s="379"/>
      <c r="L26" s="379"/>
      <c r="M26" s="379"/>
      <c r="N26" s="379"/>
      <c r="O26" s="379"/>
      <c r="P26" s="379"/>
    </row>
    <row r="27" spans="1:16">
      <c r="J27" s="381"/>
      <c r="K27" s="381"/>
      <c r="L27" s="381"/>
      <c r="M27" s="381"/>
      <c r="N27" s="381"/>
      <c r="O27" s="381"/>
      <c r="P27" s="381"/>
    </row>
  </sheetData>
  <mergeCells count="3">
    <mergeCell ref="F6:P7"/>
    <mergeCell ref="J13:L13"/>
    <mergeCell ref="J14:L15"/>
  </mergeCells>
  <printOptions horizontalCentered="1"/>
  <pageMargins left="0" right="0" top="1.5" bottom="0.5" header="0.25" footer="0"/>
  <pageSetup paperSize="9" orientation="landscape" r:id="rId1"/>
  <colBreaks count="2" manualBreakCount="2">
    <brk id="16" max="24" man="1"/>
    <brk id="24" max="1048575" man="1"/>
  </colBreaks>
  <drawing r:id="rId2"/>
</worksheet>
</file>

<file path=xl/worksheets/sheet2.xml><?xml version="1.0" encoding="utf-8"?>
<worksheet xmlns="http://schemas.openxmlformats.org/spreadsheetml/2006/main" xmlns:r="http://schemas.openxmlformats.org/officeDocument/2006/relationships">
  <dimension ref="B1:H25"/>
  <sheetViews>
    <sheetView showGridLines="0" topLeftCell="B19" workbookViewId="0">
      <selection activeCell="O41" sqref="O41"/>
    </sheetView>
  </sheetViews>
  <sheetFormatPr defaultRowHeight="15"/>
  <cols>
    <col min="1" max="1" width="8.28515625" customWidth="1"/>
  </cols>
  <sheetData>
    <row r="1" spans="2:8" ht="26.25" customHeight="1" thickBot="1"/>
    <row r="2" spans="2:8" ht="6.75" customHeight="1" thickTop="1">
      <c r="B2" s="196"/>
      <c r="C2" s="196"/>
      <c r="D2" s="196"/>
      <c r="E2" s="196"/>
      <c r="F2" s="196"/>
      <c r="G2" s="196"/>
      <c r="H2" s="196"/>
    </row>
    <row r="3" spans="2:8" ht="9.75" customHeight="1">
      <c r="B3" s="260"/>
      <c r="C3" s="260"/>
      <c r="D3" s="260"/>
      <c r="E3" s="260"/>
      <c r="F3" s="260"/>
      <c r="G3" s="260"/>
      <c r="H3" s="260"/>
    </row>
    <row r="4" spans="2:8" ht="13.5" customHeight="1">
      <c r="G4" s="502"/>
      <c r="H4" s="502"/>
    </row>
    <row r="5" spans="2:8" ht="15.75" customHeight="1">
      <c r="B5" s="501" t="s">
        <v>398</v>
      </c>
      <c r="C5" s="501"/>
      <c r="D5" s="501"/>
      <c r="E5" s="501"/>
      <c r="G5" s="502"/>
      <c r="H5" s="502"/>
    </row>
    <row r="6" spans="2:8" ht="10.5" customHeight="1">
      <c r="G6" s="502"/>
      <c r="H6" s="502"/>
    </row>
    <row r="7" spans="2:8" ht="10.5" customHeight="1">
      <c r="B7" s="260"/>
      <c r="C7" s="260"/>
      <c r="D7" s="260"/>
      <c r="E7" s="260"/>
      <c r="F7" s="260"/>
      <c r="G7" s="260"/>
      <c r="H7" s="260"/>
    </row>
    <row r="8" spans="2:8" ht="5.25" customHeight="1" thickBot="1">
      <c r="B8" s="193"/>
      <c r="C8" s="193"/>
      <c r="D8" s="193"/>
      <c r="E8" s="193"/>
      <c r="F8" s="193"/>
      <c r="G8" s="193"/>
      <c r="H8" s="193"/>
    </row>
    <row r="9" spans="2:8" ht="15.75" thickTop="1"/>
    <row r="10" spans="2:8" ht="16.5">
      <c r="B10" s="500" t="s">
        <v>399</v>
      </c>
      <c r="C10" s="500"/>
      <c r="D10" s="500"/>
      <c r="E10" s="500"/>
    </row>
    <row r="11" spans="2:8" ht="16.5">
      <c r="B11" s="500" t="s">
        <v>400</v>
      </c>
      <c r="C11" s="500"/>
      <c r="D11" s="500"/>
      <c r="E11" s="500"/>
    </row>
    <row r="12" spans="2:8" ht="16.5">
      <c r="B12" s="500" t="s">
        <v>401</v>
      </c>
      <c r="C12" s="500"/>
      <c r="D12" s="500"/>
      <c r="E12" s="500"/>
    </row>
    <row r="13" spans="2:8" ht="16.5">
      <c r="B13" s="500" t="s">
        <v>403</v>
      </c>
      <c r="C13" s="500"/>
      <c r="D13" s="500"/>
      <c r="E13" s="500"/>
    </row>
    <row r="14" spans="2:8" ht="16.5">
      <c r="B14" s="500" t="s">
        <v>402</v>
      </c>
      <c r="C14" s="500"/>
      <c r="D14" s="500"/>
      <c r="E14" s="500"/>
    </row>
    <row r="15" spans="2:8" ht="16.5">
      <c r="B15" s="500" t="s">
        <v>404</v>
      </c>
      <c r="C15" s="500"/>
      <c r="D15" s="500"/>
      <c r="E15" s="500"/>
    </row>
    <row r="16" spans="2:8" ht="16.5">
      <c r="B16" s="500" t="s">
        <v>405</v>
      </c>
      <c r="C16" s="500"/>
      <c r="D16" s="500"/>
      <c r="E16" s="500"/>
    </row>
    <row r="17" spans="2:8" ht="16.5">
      <c r="B17" s="500" t="s">
        <v>406</v>
      </c>
      <c r="C17" s="500"/>
      <c r="D17" s="500"/>
      <c r="E17" s="500"/>
    </row>
    <row r="18" spans="2:8" ht="16.5">
      <c r="B18" s="500" t="s">
        <v>407</v>
      </c>
      <c r="C18" s="500"/>
      <c r="D18" s="500"/>
      <c r="E18" s="500"/>
    </row>
    <row r="19" spans="2:8" ht="16.5">
      <c r="B19" s="500" t="s">
        <v>408</v>
      </c>
      <c r="C19" s="500"/>
      <c r="D19" s="500"/>
      <c r="E19" s="500"/>
    </row>
    <row r="20" spans="2:8" ht="16.5">
      <c r="B20" s="500" t="s">
        <v>409</v>
      </c>
      <c r="C20" s="500"/>
      <c r="D20" s="500"/>
      <c r="E20" s="500"/>
    </row>
    <row r="21" spans="2:8" ht="16.5">
      <c r="B21" s="500" t="s">
        <v>410</v>
      </c>
      <c r="C21" s="500"/>
      <c r="D21" s="500"/>
      <c r="E21" s="500"/>
    </row>
    <row r="22" spans="2:8" ht="9.75" customHeight="1"/>
    <row r="23" spans="2:8" ht="10.5" customHeight="1">
      <c r="B23" s="260"/>
      <c r="C23" s="260"/>
      <c r="D23" s="260"/>
      <c r="E23" s="260"/>
      <c r="F23" s="260"/>
      <c r="G23" s="260"/>
      <c r="H23" s="260"/>
    </row>
    <row r="24" spans="2:8" ht="6" customHeight="1" thickBot="1">
      <c r="B24" s="193"/>
      <c r="C24" s="193"/>
      <c r="D24" s="193"/>
      <c r="E24" s="193"/>
      <c r="F24" s="193"/>
      <c r="G24" s="193"/>
      <c r="H24" s="193"/>
    </row>
    <row r="25" spans="2:8" ht="15.75" thickTop="1"/>
  </sheetData>
  <mergeCells count="14">
    <mergeCell ref="B20:E20"/>
    <mergeCell ref="B21:E21"/>
    <mergeCell ref="B14:E14"/>
    <mergeCell ref="B15:E15"/>
    <mergeCell ref="B16:E16"/>
    <mergeCell ref="B17:E17"/>
    <mergeCell ref="B18:E18"/>
    <mergeCell ref="B19:E19"/>
    <mergeCell ref="B13:E13"/>
    <mergeCell ref="B5:E5"/>
    <mergeCell ref="G4:H6"/>
    <mergeCell ref="B10:E10"/>
    <mergeCell ref="B11:E11"/>
    <mergeCell ref="B12:E12"/>
  </mergeCells>
  <pageMargins left="0.7" right="0.7" top="0.75" bottom="0.75" header="0.3" footer="0.3"/>
  <pageSetup scale="115" orientation="portrait" r:id="rId1"/>
  <drawing r:id="rId2"/>
</worksheet>
</file>

<file path=xl/worksheets/sheet3.xml><?xml version="1.0" encoding="utf-8"?>
<worksheet xmlns="http://schemas.openxmlformats.org/spreadsheetml/2006/main" xmlns:r="http://schemas.openxmlformats.org/officeDocument/2006/relationships">
  <dimension ref="B2:T55"/>
  <sheetViews>
    <sheetView showGridLines="0" zoomScaleSheetLayoutView="50" workbookViewId="0">
      <selection activeCell="B2" sqref="B2"/>
    </sheetView>
  </sheetViews>
  <sheetFormatPr defaultColWidth="11.140625" defaultRowHeight="15"/>
  <cols>
    <col min="1" max="1" width="0.140625" style="1" customWidth="1"/>
    <col min="2" max="2" width="31.42578125" style="1" customWidth="1"/>
    <col min="3" max="4" width="9.140625" style="1" customWidth="1"/>
    <col min="5" max="5" width="9.42578125" style="1" customWidth="1"/>
    <col min="6" max="6" width="9.140625" style="1" customWidth="1"/>
    <col min="7" max="8" width="8.85546875" style="1" customWidth="1"/>
    <col min="9" max="9" width="9.42578125" style="1" customWidth="1"/>
    <col min="10" max="11" width="10.140625" style="1" customWidth="1"/>
    <col min="12" max="12" width="2.42578125" style="1" customWidth="1"/>
    <col min="13" max="16" width="11.140625" style="1"/>
    <col min="17" max="17" width="12.42578125" style="1" customWidth="1"/>
    <col min="18" max="16384" width="11.140625" style="1"/>
  </cols>
  <sheetData>
    <row r="2" spans="2:17" ht="18.75">
      <c r="B2" s="236" t="str">
        <f>'[1]Data Sheet'!B1&amp;" - One Page Profile"</f>
        <v>BAJAJ AUTO LTD - One Page Profile</v>
      </c>
      <c r="C2" s="64"/>
      <c r="D2" s="64"/>
      <c r="E2" s="64"/>
      <c r="F2" s="64"/>
      <c r="G2" s="64"/>
      <c r="H2" s="64"/>
      <c r="I2" s="64"/>
      <c r="J2" s="64"/>
      <c r="K2" s="64"/>
      <c r="L2" s="64"/>
      <c r="M2" s="64"/>
      <c r="N2" s="64"/>
      <c r="O2" s="64"/>
      <c r="P2" s="64"/>
      <c r="Q2" s="64"/>
    </row>
    <row r="3" spans="2:17" s="234" customFormat="1" ht="14.25" customHeight="1" thickBot="1">
      <c r="B3" s="235"/>
    </row>
    <row r="4" spans="2:17" ht="78" customHeight="1" thickTop="1">
      <c r="B4" s="101"/>
      <c r="C4" s="503" t="s">
        <v>255</v>
      </c>
      <c r="D4" s="503"/>
      <c r="E4" s="503"/>
      <c r="F4" s="503"/>
      <c r="G4" s="503"/>
      <c r="H4" s="503"/>
      <c r="I4" s="503"/>
      <c r="J4" s="503"/>
      <c r="K4" s="503"/>
      <c r="L4" s="503"/>
      <c r="M4" s="503"/>
      <c r="N4" s="503"/>
      <c r="O4" s="503"/>
      <c r="P4" s="503"/>
      <c r="Q4" s="503"/>
    </row>
    <row r="5" spans="2:17" ht="6.75" customHeight="1" thickBot="1">
      <c r="B5" s="59"/>
      <c r="C5" s="59"/>
      <c r="D5" s="59"/>
      <c r="E5" s="59"/>
      <c r="F5" s="59"/>
      <c r="G5" s="59"/>
      <c r="H5" s="59"/>
      <c r="I5" s="59"/>
      <c r="J5" s="59"/>
      <c r="K5" s="59"/>
      <c r="L5" s="59"/>
      <c r="M5" s="59"/>
      <c r="N5" s="59"/>
      <c r="O5" s="59"/>
      <c r="P5" s="59"/>
      <c r="Q5" s="59"/>
    </row>
    <row r="6" spans="2:17" ht="13.5" customHeight="1" thickTop="1">
      <c r="B6" s="26" t="s">
        <v>254</v>
      </c>
    </row>
    <row r="7" spans="2:17">
      <c r="B7" s="64"/>
      <c r="C7" s="64"/>
      <c r="D7" s="64"/>
      <c r="E7" s="64"/>
      <c r="F7" s="64"/>
      <c r="G7" s="64"/>
      <c r="H7" s="64"/>
      <c r="I7" s="64"/>
      <c r="J7" s="64"/>
      <c r="K7" s="64"/>
      <c r="L7" s="64"/>
      <c r="M7" s="64"/>
      <c r="N7" s="64"/>
      <c r="O7" s="64"/>
      <c r="P7" s="64"/>
      <c r="Q7" s="64"/>
    </row>
    <row r="9" spans="2:17" ht="15.75">
      <c r="B9" s="219" t="s">
        <v>253</v>
      </c>
      <c r="C9" s="218">
        <f>'[1]Data Sheet'!C16</f>
        <v>42825</v>
      </c>
      <c r="D9" s="218">
        <f>'[1]Data Sheet'!D16</f>
        <v>43190</v>
      </c>
      <c r="E9" s="218">
        <f>'[1]Data Sheet'!E16</f>
        <v>43555</v>
      </c>
      <c r="F9" s="218">
        <f>'[1]Data Sheet'!F16</f>
        <v>43921</v>
      </c>
      <c r="G9" s="218">
        <f>'[1]Data Sheet'!G16</f>
        <v>44286</v>
      </c>
      <c r="H9" s="218">
        <f>'[1]Data Sheet'!H16</f>
        <v>44651</v>
      </c>
      <c r="I9" s="218">
        <f>'[1]Data Sheet'!I16</f>
        <v>45016</v>
      </c>
      <c r="J9" s="218">
        <f>'[1]Data Sheet'!J16</f>
        <v>45382</v>
      </c>
      <c r="K9" s="218">
        <f>'[1]Data Sheet'!K16</f>
        <v>45747</v>
      </c>
      <c r="M9" s="233" t="s">
        <v>252</v>
      </c>
      <c r="N9" s="64"/>
      <c r="O9" s="64"/>
      <c r="P9" s="64"/>
      <c r="Q9" s="64"/>
    </row>
    <row r="11" spans="2:17">
      <c r="B11" s="201" t="s">
        <v>251</v>
      </c>
      <c r="C11" s="205">
        <f>'[1]Data Sheet'!C17</f>
        <v>21754.720000000001</v>
      </c>
      <c r="D11" s="205">
        <f>'[1]Data Sheet'!D17</f>
        <v>25209.93</v>
      </c>
      <c r="E11" s="205">
        <f>'[1]Data Sheet'!E17</f>
        <v>30357.63</v>
      </c>
      <c r="F11" s="205">
        <f>'[1]Data Sheet'!F17</f>
        <v>29918.65</v>
      </c>
      <c r="G11" s="205">
        <f>'[1]Data Sheet'!G17</f>
        <v>27741.08</v>
      </c>
      <c r="H11" s="205">
        <f>'[1]Data Sheet'!H17</f>
        <v>33144.71</v>
      </c>
      <c r="I11" s="205">
        <f>'[1]Data Sheet'!I17</f>
        <v>36455.379999999997</v>
      </c>
      <c r="J11" s="205">
        <f>'[1]Data Sheet'!J17</f>
        <v>44870.43</v>
      </c>
      <c r="K11" s="205">
        <f>'[1]Data Sheet'!K17</f>
        <v>50994.55</v>
      </c>
      <c r="M11" s="201" t="s">
        <v>250</v>
      </c>
      <c r="N11" s="201"/>
      <c r="O11" s="201"/>
      <c r="P11" s="201"/>
      <c r="Q11" s="201">
        <f>'[1]Data Sheet'!B8</f>
        <v>9164</v>
      </c>
    </row>
    <row r="12" spans="2:17">
      <c r="B12" s="221" t="s">
        <v>249</v>
      </c>
      <c r="C12" s="220">
        <f>'[1]Data Sheet'!C34</f>
        <v>-3.6279846139465777E-2</v>
      </c>
      <c r="D12" s="220">
        <f>'[1]Data Sheet'!D34</f>
        <v>0.15882576286893135</v>
      </c>
      <c r="E12" s="220">
        <f>'[1]Data Sheet'!E34</f>
        <v>0.20419334762135399</v>
      </c>
      <c r="F12" s="220">
        <f>'[1]Data Sheet'!F34</f>
        <v>-1.4460285602005185E-2</v>
      </c>
      <c r="G12" s="220">
        <f>'[1]Data Sheet'!G34</f>
        <v>-7.2783029982970482E-2</v>
      </c>
      <c r="H12" s="220">
        <f>'[1]Data Sheet'!H34</f>
        <v>0.19478801834679826</v>
      </c>
      <c r="I12" s="220">
        <f>'[1]Data Sheet'!I34</f>
        <v>9.9885321066317978E-2</v>
      </c>
      <c r="J12" s="220">
        <f>'[1]Data Sheet'!J34</f>
        <v>0.23083149867042962</v>
      </c>
      <c r="K12" s="220">
        <f>'[1]Data Sheet'!K34</f>
        <v>0.13648454004118094</v>
      </c>
      <c r="M12" s="201" t="s">
        <v>248</v>
      </c>
      <c r="N12" s="201"/>
      <c r="O12" s="201"/>
      <c r="P12" s="201"/>
      <c r="Q12" s="225">
        <f>'[1]Data Sheet'!B6</f>
        <v>27.931625927542559</v>
      </c>
    </row>
    <row r="13" spans="2:17" ht="15.75" thickBot="1">
      <c r="B13" s="201" t="s">
        <v>247</v>
      </c>
      <c r="C13" s="216">
        <f>'[1]Data Sheet'!C36</f>
        <v>0.24819349548052114</v>
      </c>
      <c r="D13" s="216">
        <f>'[1]Data Sheet'!D36</f>
        <v>0.24181701416862325</v>
      </c>
      <c r="E13" s="216">
        <f>'[1]Data Sheet'!E36</f>
        <v>0.21206497345148492</v>
      </c>
      <c r="F13" s="216">
        <f>'[1]Data Sheet'!F36</f>
        <v>0.21972749438895139</v>
      </c>
      <c r="G13" s="216">
        <f>'[1]Data Sheet'!G36</f>
        <v>0.20575803104998081</v>
      </c>
      <c r="H13" s="216">
        <f>'[1]Data Sheet'!H36</f>
        <v>0.20759029118070416</v>
      </c>
      <c r="I13" s="216">
        <f>'[1]Data Sheet'!I36</f>
        <v>0.21339017725230119</v>
      </c>
      <c r="J13" s="216">
        <f>'[1]Data Sheet'!J36</f>
        <v>0.22979699548232543</v>
      </c>
      <c r="K13" s="216">
        <f>'[1]Data Sheet'!K36</f>
        <v>0.25236716472642667</v>
      </c>
      <c r="Q13" s="232"/>
    </row>
    <row r="14" spans="2:17" ht="15.75" thickBot="1">
      <c r="B14" s="201" t="s">
        <v>246</v>
      </c>
      <c r="C14" s="216">
        <f>'[1]Data Sheet'!C38</f>
        <v>0.19955531489258432</v>
      </c>
      <c r="D14" s="216">
        <f>'[1]Data Sheet'!D38</f>
        <v>0.19298585914359939</v>
      </c>
      <c r="E14" s="216">
        <f>'[1]Data Sheet'!E38</f>
        <v>0.16750582967115688</v>
      </c>
      <c r="F14" s="216">
        <f>'[1]Data Sheet'!F38</f>
        <v>0.16656232817991454</v>
      </c>
      <c r="G14" s="216">
        <f>'[1]Data Sheet'!G38</f>
        <v>0.16217176836662456</v>
      </c>
      <c r="H14" s="216">
        <f>'[1]Data Sheet'!H38</f>
        <v>0.17000359936774215</v>
      </c>
      <c r="I14" s="216">
        <f>'[1]Data Sheet'!I38</f>
        <v>0.17182594174028626</v>
      </c>
      <c r="J14" s="216">
        <f>'[1]Data Sheet'!J38</f>
        <v>0.19193040940325287</v>
      </c>
      <c r="K14" s="216">
        <f>'[1]Data Sheet'!K38</f>
        <v>0.18847935710776939</v>
      </c>
      <c r="M14" s="231" t="s">
        <v>245</v>
      </c>
      <c r="N14" s="230"/>
      <c r="O14" s="230"/>
      <c r="P14" s="230"/>
      <c r="Q14" s="230">
        <f>Q11*Q12</f>
        <v>255965.42</v>
      </c>
    </row>
    <row r="15" spans="2:17">
      <c r="B15" s="201" t="s">
        <v>244</v>
      </c>
      <c r="C15" s="216">
        <f>'[1]Data Sheet'!C40</f>
        <v>0.18543010436355889</v>
      </c>
      <c r="D15" s="216">
        <f>'[1]Data Sheet'!D40</f>
        <v>0.18049871618048921</v>
      </c>
      <c r="E15" s="216">
        <f>'[1]Data Sheet'!E40</f>
        <v>0.15875382893855688</v>
      </c>
      <c r="F15" s="216">
        <f>'[1]Data Sheet'!F40</f>
        <v>0.15832565974734822</v>
      </c>
      <c r="G15" s="216">
        <f>'[1]Data Sheet'!G40</f>
        <v>0.15282209632790075</v>
      </c>
      <c r="H15" s="216">
        <f>'[1]Data Sheet'!H40</f>
        <v>0.16186474402702564</v>
      </c>
      <c r="I15" s="216">
        <f>'[1]Data Sheet'!I40</f>
        <v>0.16398484942414523</v>
      </c>
      <c r="J15" s="216">
        <f>'[1]Data Sheet'!J40</f>
        <v>0.18380100212991049</v>
      </c>
      <c r="K15" s="216">
        <f>'[1]Data Sheet'!K40</f>
        <v>0.18035633219628375</v>
      </c>
      <c r="M15" s="229" t="s">
        <v>243</v>
      </c>
      <c r="N15" s="228"/>
      <c r="O15" s="228"/>
      <c r="P15" s="228"/>
      <c r="Q15" s="228">
        <f>'[1]Data Sheet'!K81*-1</f>
        <v>-2847.6</v>
      </c>
    </row>
    <row r="16" spans="2:17">
      <c r="B16" s="201" t="s">
        <v>242</v>
      </c>
      <c r="C16" s="216">
        <f>'[1]Data Sheet'!C44</f>
        <v>0.11604424235292396</v>
      </c>
      <c r="D16" s="216">
        <f>'[1]Data Sheet'!D44</f>
        <v>0.11243902700245498</v>
      </c>
      <c r="E16" s="216">
        <f>'[1]Data Sheet'!E44</f>
        <v>9.1803279768545937E-2</v>
      </c>
      <c r="F16" s="216">
        <f>'[1]Data Sheet'!F44</f>
        <v>0.10874521410558298</v>
      </c>
      <c r="G16" s="216">
        <f>'[1]Data Sheet'!G44</f>
        <v>0.10267732907298496</v>
      </c>
      <c r="H16" s="216">
        <f>'[1]Data Sheet'!H44</f>
        <v>0.11677549750774699</v>
      </c>
      <c r="I16" s="216">
        <f>'[1]Data Sheet'!I44</f>
        <v>0.11402569387563632</v>
      </c>
      <c r="J16" s="216">
        <f>'[1]Data Sheet'!J44</f>
        <v>0.13048838622674219</v>
      </c>
      <c r="K16" s="216">
        <f>'[1]Data Sheet'!K44</f>
        <v>0.11588473670225548</v>
      </c>
      <c r="L16" s="227"/>
      <c r="M16" s="226" t="s">
        <v>241</v>
      </c>
      <c r="N16" s="201"/>
      <c r="O16" s="201"/>
      <c r="P16" s="201"/>
      <c r="Q16" s="201">
        <f>'[1]Data Sheet'!K71</f>
        <v>9364.16</v>
      </c>
    </row>
    <row r="17" spans="2:17">
      <c r="B17" s="201" t="s">
        <v>240</v>
      </c>
      <c r="C17" s="225">
        <f>'[1]Data Sheet'!C45</f>
        <v>87.232550103662817</v>
      </c>
      <c r="D17" s="225">
        <f>'[1]Data Sheet'!D45</f>
        <v>97.946786454733925</v>
      </c>
      <c r="E17" s="225">
        <f>'[1]Data Sheet'!E45</f>
        <v>96.300276434001503</v>
      </c>
      <c r="F17" s="225">
        <f>'[1]Data Sheet'!F45</f>
        <v>112.422598479613</v>
      </c>
      <c r="G17" s="225">
        <f>'[1]Data Sheet'!G45</f>
        <v>98.423635107118244</v>
      </c>
      <c r="H17" s="225">
        <f>'[1]Data Sheet'!H45</f>
        <v>133.74187975120927</v>
      </c>
      <c r="I17" s="225">
        <f>'[1]Data Sheet'!I45</f>
        <v>146.88515901060052</v>
      </c>
      <c r="J17" s="225">
        <f>'[1]Data Sheet'!J45</f>
        <v>209.70881088825212</v>
      </c>
      <c r="K17" s="225">
        <f>'[1]Data Sheet'!K45</f>
        <v>211.58216970998936</v>
      </c>
      <c r="M17" s="204"/>
    </row>
    <row r="18" spans="2:17" ht="15.75" thickBot="1">
      <c r="B18" s="221" t="s">
        <v>239</v>
      </c>
      <c r="C18" s="220">
        <f>'[1]Data Sheet'!C46</f>
        <v>-0.15680747096683567</v>
      </c>
      <c r="D18" s="220">
        <f>'[1]Data Sheet'!D46</f>
        <v>0.12282383512047779</v>
      </c>
      <c r="E18" s="220">
        <f>'[1]Data Sheet'!E46</f>
        <v>-1.6810250548580874E-2</v>
      </c>
      <c r="F18" s="220">
        <f>'[1]Data Sheet'!F46</f>
        <v>0.16741719382976838</v>
      </c>
      <c r="G18" s="220">
        <f>'[1]Data Sheet'!G46</f>
        <v>-0.1245209020411796</v>
      </c>
      <c r="H18" s="220">
        <f>'[1]Data Sheet'!H46</f>
        <v>0.3588390593951627</v>
      </c>
      <c r="I18" s="220">
        <f>'[1]Data Sheet'!I46</f>
        <v>9.8273474874443156E-2</v>
      </c>
      <c r="J18" s="220">
        <f>'[1]Data Sheet'!J46</f>
        <v>0.42770591869746144</v>
      </c>
      <c r="K18" s="220">
        <f>'[1]Data Sheet'!K46</f>
        <v>8.9331431226107316E-3</v>
      </c>
      <c r="M18" s="25"/>
    </row>
    <row r="19" spans="2:17" ht="16.5" thickTop="1" thickBot="1">
      <c r="B19" s="201" t="s">
        <v>238</v>
      </c>
      <c r="C19" s="224">
        <f>'[1]Data Sheet'!C47</f>
        <v>54.994471319972355</v>
      </c>
      <c r="D19" s="224">
        <f>'[1]Data Sheet'!D47</f>
        <v>59.993780234968902</v>
      </c>
      <c r="E19" s="224">
        <f>'[1]Data Sheet'!E47</f>
        <v>59.993780234968902</v>
      </c>
      <c r="F19" s="224">
        <f>'[1]Data Sheet'!F47</f>
        <v>119.9875604699378</v>
      </c>
      <c r="G19" s="224">
        <f>'[1]Data Sheet'!G47</f>
        <v>139.98548721492742</v>
      </c>
      <c r="H19" s="224">
        <f>'[1]Data Sheet'!H47</f>
        <v>139.98548721492742</v>
      </c>
      <c r="I19" s="224">
        <f>'[1]Data Sheet'!I47</f>
        <v>139.98021201413428</v>
      </c>
      <c r="J19" s="224">
        <f>'[1]Data Sheet'!J47</f>
        <v>79.994269340974213</v>
      </c>
      <c r="K19" s="224">
        <f>'[1]Data Sheet'!K47</f>
        <v>209.96992481203009</v>
      </c>
      <c r="M19" s="223" t="s">
        <v>237</v>
      </c>
      <c r="N19" s="222"/>
      <c r="O19" s="222"/>
      <c r="P19" s="222"/>
      <c r="Q19" s="222">
        <f>SUM(Q14:Q16)</f>
        <v>262481.98</v>
      </c>
    </row>
    <row r="20" spans="2:17" ht="15.75" thickTop="1">
      <c r="B20" s="221" t="s">
        <v>236</v>
      </c>
      <c r="C20" s="220">
        <f>'[1]Data Sheet'!C48</f>
        <v>0</v>
      </c>
      <c r="D20" s="220">
        <f>'[1]Data Sheet'!D48</f>
        <v>9.0905663696796868E-2</v>
      </c>
      <c r="E20" s="220">
        <f>'[1]Data Sheet'!E48</f>
        <v>0</v>
      </c>
      <c r="F20" s="220">
        <f>'[1]Data Sheet'!F48</f>
        <v>1</v>
      </c>
      <c r="G20" s="220">
        <f>'[1]Data Sheet'!G48</f>
        <v>0.16666666666666652</v>
      </c>
      <c r="H20" s="220">
        <f>'[1]Data Sheet'!H48</f>
        <v>0</v>
      </c>
      <c r="I20" s="220">
        <f>'[1]Data Sheet'!I48</f>
        <v>-3.7683912083252835E-5</v>
      </c>
      <c r="J20" s="220">
        <f>'[1]Data Sheet'!J48</f>
        <v>-0.42853158892989163</v>
      </c>
      <c r="K20" s="220">
        <f>'[1]Data Sheet'!K48</f>
        <v>1.624812083938624</v>
      </c>
    </row>
    <row r="22" spans="2:17">
      <c r="B22" s="219" t="s">
        <v>235</v>
      </c>
      <c r="C22" s="218">
        <f t="shared" ref="C22:K22" si="0">C9</f>
        <v>42825</v>
      </c>
      <c r="D22" s="218">
        <f t="shared" si="0"/>
        <v>43190</v>
      </c>
      <c r="E22" s="218">
        <f t="shared" si="0"/>
        <v>43555</v>
      </c>
      <c r="F22" s="218">
        <f t="shared" si="0"/>
        <v>43921</v>
      </c>
      <c r="G22" s="218">
        <f t="shared" si="0"/>
        <v>44286</v>
      </c>
      <c r="H22" s="218">
        <f t="shared" si="0"/>
        <v>44651</v>
      </c>
      <c r="I22" s="218">
        <f t="shared" si="0"/>
        <v>45016</v>
      </c>
      <c r="J22" s="218">
        <f t="shared" si="0"/>
        <v>45382</v>
      </c>
      <c r="K22" s="218">
        <f t="shared" si="0"/>
        <v>45747</v>
      </c>
      <c r="M22" s="76" t="s">
        <v>234</v>
      </c>
      <c r="N22" s="64"/>
      <c r="O22" s="64"/>
      <c r="P22" s="64"/>
      <c r="Q22" s="64"/>
    </row>
    <row r="24" spans="2:17">
      <c r="B24" s="201" t="s">
        <v>233</v>
      </c>
      <c r="C24" s="217">
        <f>'[1]Data Sheet'!C95</f>
        <v>32.160586806944686</v>
      </c>
      <c r="D24" s="217">
        <f>'[1]Data Sheet'!D95</f>
        <v>28.022358867980444</v>
      </c>
      <c r="E24" s="217">
        <f>'[1]Data Sheet'!E95</f>
        <v>30.229404398388152</v>
      </c>
      <c r="F24" s="217">
        <f>'[1]Data Sheet'!F95</f>
        <v>17.988820996400808</v>
      </c>
      <c r="G24" s="217">
        <f>'[1]Data Sheet'!G95</f>
        <v>37.293887753740698</v>
      </c>
      <c r="H24" s="217">
        <f>'[1]Data Sheet'!H95</f>
        <v>27.313807812447546</v>
      </c>
      <c r="I24" s="217">
        <f>'[1]Data Sheet'!I95</f>
        <v>26.447532386302161</v>
      </c>
      <c r="J24" s="217">
        <f>'[1]Data Sheet'!J95</f>
        <v>43.623107494871967</v>
      </c>
      <c r="K24" s="217">
        <f>'[1]Data Sheet'!K95</f>
        <v>37.2377786407964</v>
      </c>
      <c r="M24" s="509" t="s">
        <v>232</v>
      </c>
      <c r="N24" s="509"/>
      <c r="O24" s="509"/>
      <c r="P24" s="509"/>
      <c r="Q24" s="509"/>
    </row>
    <row r="25" spans="2:17">
      <c r="B25" s="201" t="s">
        <v>231</v>
      </c>
      <c r="C25" s="217">
        <f>'[1]Data Sheet'!C90</f>
        <v>19.503374127847373</v>
      </c>
      <c r="D25" s="217">
        <f>'[1]Data Sheet'!D90</f>
        <v>17.132985965518088</v>
      </c>
      <c r="E25" s="217">
        <f>'[1]Data Sheet'!E90</f>
        <v>17.485420878334253</v>
      </c>
      <c r="F25" s="217">
        <f>'[1]Data Sheet'!F90</f>
        <v>12.653895194368413</v>
      </c>
      <c r="G25" s="217">
        <f>'[1]Data Sheet'!G90</f>
        <v>24.899107766036419</v>
      </c>
      <c r="H25" s="217">
        <f>'[1]Data Sheet'!H90</f>
        <v>19.523830820342461</v>
      </c>
      <c r="I25" s="217">
        <f>'[1]Data Sheet'!I90</f>
        <v>18.362583373510144</v>
      </c>
      <c r="J25" s="217">
        <f>'[1]Data Sheet'!J90</f>
        <v>30.752706456107759</v>
      </c>
      <c r="K25" s="217">
        <f>'[1]Data Sheet'!K90</f>
        <v>24.567635219353637</v>
      </c>
      <c r="M25" s="509"/>
      <c r="N25" s="509"/>
      <c r="O25" s="509"/>
      <c r="P25" s="509"/>
      <c r="Q25" s="509"/>
    </row>
    <row r="26" spans="2:17">
      <c r="B26" s="201" t="s">
        <v>230</v>
      </c>
      <c r="C26" s="217">
        <f>'[1]Data Sheet'!C91</f>
        <v>3.8920019655504641</v>
      </c>
      <c r="D26" s="217">
        <f>'[1]Data Sheet'!D91</f>
        <v>3.3064240162507388</v>
      </c>
      <c r="E26" s="217">
        <f>'[1]Data Sheet'!E91</f>
        <v>2.928909931374748</v>
      </c>
      <c r="F26" s="217">
        <f>'[1]Data Sheet'!F91</f>
        <v>2.107662244118635</v>
      </c>
      <c r="G26" s="217">
        <f>'[1]Data Sheet'!G91</f>
        <v>4.0379323371692815</v>
      </c>
      <c r="H26" s="217">
        <f>'[1]Data Sheet'!H91</f>
        <v>3.3191215129050762</v>
      </c>
      <c r="I26" s="217">
        <f>'[1]Data Sheet'!I91</f>
        <v>3.1551681809379031</v>
      </c>
      <c r="J26" s="217">
        <f>'[1]Data Sheet'!J91</f>
        <v>5.9023795403788197</v>
      </c>
      <c r="K26" s="217">
        <f>'[1]Data Sheet'!K91</f>
        <v>4.6304920918019663</v>
      </c>
      <c r="M26" s="509"/>
      <c r="N26" s="509"/>
      <c r="O26" s="509"/>
      <c r="P26" s="509"/>
      <c r="Q26" s="509"/>
    </row>
    <row r="27" spans="2:17">
      <c r="B27" s="201" t="s">
        <v>229</v>
      </c>
      <c r="C27" s="217">
        <f>'[1]Data Sheet'!C93</f>
        <v>4.5467703483927764</v>
      </c>
      <c r="D27" s="217">
        <f>'[1]Data Sheet'!D93</f>
        <v>3.8888952100440441</v>
      </c>
      <c r="E27" s="217">
        <f>'[1]Data Sheet'!E93</f>
        <v>3.626061933019165</v>
      </c>
      <c r="F27" s="217">
        <f>'[1]Data Sheet'!F93</f>
        <v>2.7018092907052327</v>
      </c>
      <c r="G27" s="217">
        <f>'[1]Data Sheet'!G93</f>
        <v>3.8948956548552935</v>
      </c>
      <c r="H27" s="217">
        <f>'[1]Data Sheet'!H93</f>
        <v>3.5404909300678344</v>
      </c>
      <c r="I27" s="217">
        <f>'[1]Data Sheet'!I93</f>
        <v>3.7443003670788384</v>
      </c>
      <c r="J27" s="217">
        <f>'[1]Data Sheet'!J93</f>
        <v>8.8188913836935523</v>
      </c>
      <c r="K27" s="217">
        <f>'[1]Data Sheet'!K93</f>
        <v>6.2535993189866979</v>
      </c>
      <c r="M27" s="509"/>
      <c r="N27" s="509"/>
      <c r="O27" s="509"/>
      <c r="P27" s="509"/>
      <c r="Q27" s="509"/>
    </row>
    <row r="28" spans="2:17">
      <c r="B28" s="201" t="s">
        <v>228</v>
      </c>
      <c r="C28" s="216">
        <f>'[1]Data Sheet'!C94</f>
        <v>0.14137709537721982</v>
      </c>
      <c r="D28" s="216">
        <f>'[1]Data Sheet'!D94</f>
        <v>0.13877829587314519</v>
      </c>
      <c r="E28" s="216">
        <f>'[1]Data Sheet'!E94</f>
        <v>0.11995148449608582</v>
      </c>
      <c r="F28" s="216">
        <f>'[1]Data Sheet'!F94</f>
        <v>0.15019379487103734</v>
      </c>
      <c r="G28" s="216">
        <f>'[1]Data Sheet'!G94</f>
        <v>0.10443790898321194</v>
      </c>
      <c r="H28" s="216">
        <f>'[1]Data Sheet'!H94</f>
        <v>0.1296227517737146</v>
      </c>
      <c r="I28" s="216">
        <f>'[1]Data Sheet'!I94</f>
        <v>0.14157465854992601</v>
      </c>
      <c r="J28" s="216">
        <f>'[1]Data Sheet'!J94</f>
        <v>0.20216100801003783</v>
      </c>
      <c r="K28" s="216">
        <f>'[1]Data Sheet'!K94</f>
        <v>0.16793695937961978</v>
      </c>
      <c r="M28" s="509" t="s">
        <v>227</v>
      </c>
      <c r="N28" s="509"/>
      <c r="O28" s="509"/>
      <c r="P28" s="509"/>
      <c r="Q28" s="509"/>
    </row>
    <row r="29" spans="2:17">
      <c r="B29" s="201" t="s">
        <v>226</v>
      </c>
      <c r="C29" s="215">
        <f>'[3]Ratio Analysis'!$C$29</f>
        <v>0.22440334503937659</v>
      </c>
      <c r="D29" s="215">
        <f>'[3]Ratio Analysis'!$C$29</f>
        <v>0.22440334503937659</v>
      </c>
      <c r="E29" s="215">
        <f>'[3]Ratio Analysis'!$C$29</f>
        <v>0.22440334503937659</v>
      </c>
      <c r="F29" s="215">
        <f>'[3]Ratio Analysis'!$C$29</f>
        <v>0.22440334503937659</v>
      </c>
      <c r="G29" s="215">
        <f>'[3]Ratio Analysis'!$C$29</f>
        <v>0.22440334503937659</v>
      </c>
      <c r="H29" s="215">
        <f>'[3]Ratio Analysis'!$C$29</f>
        <v>0.22440334503937659</v>
      </c>
      <c r="I29" s="215">
        <f>'[3]Ratio Analysis'!$C$29</f>
        <v>0.22440334503937659</v>
      </c>
      <c r="J29" s="215">
        <f>'[3]Ratio Analysis'!$C$29</f>
        <v>0.22440334503937659</v>
      </c>
      <c r="K29" s="215">
        <f>'[3]Ratio Analysis'!$C$29</f>
        <v>0.22440334503937659</v>
      </c>
      <c r="M29" s="509"/>
      <c r="N29" s="509"/>
      <c r="O29" s="509"/>
      <c r="P29" s="509"/>
      <c r="Q29" s="509"/>
    </row>
    <row r="30" spans="2:17" ht="12.75" customHeight="1">
      <c r="M30" s="509"/>
      <c r="N30" s="509"/>
      <c r="O30" s="509"/>
      <c r="P30" s="509"/>
      <c r="Q30" s="509"/>
    </row>
    <row r="31" spans="2:17" ht="14.25" customHeight="1">
      <c r="B31" s="74" t="s">
        <v>225</v>
      </c>
      <c r="C31" s="504"/>
      <c r="D31" s="504"/>
      <c r="E31" s="504"/>
      <c r="F31" s="504" t="str">
        <f>'[1]Input Sheet'!C3</f>
        <v>N. Shares (in Crs.)</v>
      </c>
      <c r="G31" s="504"/>
      <c r="H31" s="504" t="s">
        <v>224</v>
      </c>
      <c r="I31" s="504"/>
      <c r="J31" s="510" t="s">
        <v>223</v>
      </c>
      <c r="K31" s="510"/>
      <c r="M31" s="509"/>
      <c r="N31" s="509"/>
      <c r="O31" s="509"/>
      <c r="P31" s="509"/>
      <c r="Q31" s="509"/>
    </row>
    <row r="32" spans="2:17" ht="14.25" customHeight="1">
      <c r="B32" s="20"/>
      <c r="C32" s="214"/>
      <c r="D32" s="214"/>
      <c r="E32" s="214"/>
      <c r="F32" s="214"/>
      <c r="G32" s="214"/>
      <c r="H32" s="213"/>
      <c r="I32" s="213"/>
      <c r="J32" s="212"/>
      <c r="K32" s="212"/>
      <c r="M32" s="202"/>
      <c r="N32" s="202"/>
      <c r="O32" s="202"/>
      <c r="P32" s="202"/>
      <c r="Q32" s="202"/>
    </row>
    <row r="33" spans="2:17">
      <c r="B33" s="201" t="str">
        <f>'[1]Input Sheet'!B15</f>
        <v>Bajaj Holdings And Investment Limited</v>
      </c>
      <c r="C33" s="211"/>
      <c r="D33" s="206"/>
      <c r="E33" s="206"/>
      <c r="F33" s="210"/>
      <c r="G33" s="209">
        <f>'[1]Input Sheet'!C4</f>
        <v>9.5547251000000006</v>
      </c>
      <c r="H33" s="208"/>
      <c r="I33" s="207">
        <f>'[1]Input Sheet'!D4</f>
        <v>0.34210000000000002</v>
      </c>
      <c r="J33" s="206"/>
      <c r="K33" s="205">
        <f>'[1]Input Sheet'!E4</f>
        <v>86412.933804400003</v>
      </c>
      <c r="M33" s="509" t="s">
        <v>222</v>
      </c>
      <c r="N33" s="509"/>
      <c r="O33" s="509"/>
      <c r="P33" s="509"/>
      <c r="Q33" s="509"/>
    </row>
    <row r="34" spans="2:17">
      <c r="B34" s="201" t="str">
        <f>'[1]Input Sheet'!B16</f>
        <v>Jamnalal Sons Pvt Limited</v>
      </c>
      <c r="C34" s="211"/>
      <c r="D34" s="206"/>
      <c r="E34" s="206"/>
      <c r="F34" s="210"/>
      <c r="G34" s="209">
        <f>'[1]Input Sheet'!C5</f>
        <v>2.5960841000000001</v>
      </c>
      <c r="H34" s="208"/>
      <c r="I34" s="207">
        <f>'[1]Input Sheet'!D5</f>
        <v>9.3000000000000013E-2</v>
      </c>
      <c r="J34" s="206"/>
      <c r="K34" s="205">
        <f>'[1]Input Sheet'!E5</f>
        <v>23478.984600400003</v>
      </c>
      <c r="M34" s="509"/>
      <c r="N34" s="509"/>
      <c r="O34" s="509"/>
      <c r="P34" s="509"/>
      <c r="Q34" s="509"/>
    </row>
    <row r="35" spans="2:17">
      <c r="B35" s="201" t="str">
        <f>'[1]Input Sheet'!B17</f>
        <v>Lici Ulip-Growth Fund</v>
      </c>
      <c r="C35" s="211"/>
      <c r="D35" s="206"/>
      <c r="E35" s="206"/>
      <c r="F35" s="210"/>
      <c r="G35" s="209">
        <f>'[1]Input Sheet'!C6</f>
        <v>1.0022378000000001</v>
      </c>
      <c r="H35" s="208"/>
      <c r="I35" s="207">
        <f>'[1]Input Sheet'!D6</f>
        <v>3.5900000000000001E-2</v>
      </c>
      <c r="J35" s="206"/>
      <c r="K35" s="205">
        <f>'[1]Input Sheet'!E6</f>
        <v>9064.2386631999998</v>
      </c>
      <c r="M35" s="509"/>
      <c r="N35" s="509"/>
      <c r="O35" s="509"/>
      <c r="P35" s="509"/>
      <c r="Q35" s="509"/>
    </row>
    <row r="36" spans="2:17">
      <c r="B36" s="201" t="str">
        <f>'[1]Input Sheet'!B18</f>
        <v>Jaya Hind Industries Private Limited</v>
      </c>
      <c r="C36" s="211"/>
      <c r="D36" s="206"/>
      <c r="E36" s="206"/>
      <c r="F36" s="210"/>
      <c r="G36" s="209">
        <f>'[1]Input Sheet'!C7</f>
        <v>0.99316599999999999</v>
      </c>
      <c r="H36" s="208"/>
      <c r="I36" s="207">
        <f>'[1]Input Sheet'!D7</f>
        <v>3.56E-2</v>
      </c>
      <c r="J36" s="206"/>
      <c r="K36" s="205">
        <f>'[1]Input Sheet'!E7</f>
        <v>8982.1933040000004</v>
      </c>
      <c r="M36" s="509"/>
      <c r="N36" s="509"/>
      <c r="O36" s="509"/>
      <c r="P36" s="509"/>
      <c r="Q36" s="509"/>
    </row>
    <row r="37" spans="2:17">
      <c r="B37" s="201" t="str">
        <f>'[1]Input Sheet'!B19</f>
        <v>Maharashtra Scooters Limited</v>
      </c>
      <c r="C37" s="211"/>
      <c r="D37" s="206"/>
      <c r="E37" s="206"/>
      <c r="F37" s="210"/>
      <c r="G37" s="209">
        <f>'[1]Input Sheet'!C8</f>
        <v>0.68793329999999997</v>
      </c>
      <c r="H37" s="208"/>
      <c r="I37" s="207">
        <f>'[1]Input Sheet'!D8</f>
        <v>2.46E-2</v>
      </c>
      <c r="J37" s="206"/>
      <c r="K37" s="205">
        <f>'[1]Input Sheet'!E8</f>
        <v>6221.6687652000001</v>
      </c>
      <c r="M37" s="509" t="s">
        <v>221</v>
      </c>
      <c r="N37" s="509"/>
      <c r="O37" s="509"/>
      <c r="P37" s="509"/>
      <c r="Q37" s="509"/>
    </row>
    <row r="38" spans="2:17">
      <c r="B38" s="201" t="str">
        <f>'[1]Input Sheet'!B20</f>
        <v>Hdfc Mutual Fund - Hdfc Business Cycle Fund</v>
      </c>
      <c r="C38" s="211"/>
      <c r="D38" s="206"/>
      <c r="E38" s="206"/>
      <c r="F38" s="210"/>
      <c r="G38" s="209">
        <f>'[1]Input Sheet'!C9</f>
        <v>0.6214942</v>
      </c>
      <c r="H38" s="208"/>
      <c r="I38" s="207">
        <f>'[1]Input Sheet'!D9</f>
        <v>2.23E-2</v>
      </c>
      <c r="J38" s="206"/>
      <c r="K38" s="205">
        <f>'[1]Input Sheet'!E9</f>
        <v>5620.7935447999998</v>
      </c>
      <c r="M38" s="509"/>
      <c r="N38" s="509"/>
      <c r="O38" s="509"/>
      <c r="P38" s="509"/>
      <c r="Q38" s="509"/>
    </row>
    <row r="39" spans="2:17">
      <c r="B39" s="201" t="str">
        <f>'[1]Input Sheet'!B21</f>
        <v>Bajaj Sevashram Pvt Limited</v>
      </c>
      <c r="C39" s="211"/>
      <c r="D39" s="206"/>
      <c r="E39" s="206"/>
      <c r="F39" s="210"/>
      <c r="G39" s="209">
        <f>'[1]Input Sheet'!C10</f>
        <v>0.44082880000000002</v>
      </c>
      <c r="H39" s="208"/>
      <c r="I39" s="207">
        <f>'[1]Input Sheet'!D10</f>
        <v>1.5800000000000002E-2</v>
      </c>
      <c r="J39" s="206"/>
      <c r="K39" s="205">
        <f>'[1]Input Sheet'!E10</f>
        <v>3986.8556672</v>
      </c>
      <c r="M39" s="509"/>
      <c r="N39" s="509"/>
      <c r="O39" s="509"/>
      <c r="P39" s="509"/>
      <c r="Q39" s="509"/>
    </row>
    <row r="40" spans="2:17">
      <c r="B40" s="201" t="str">
        <f>'[1]Input Sheet'!B22</f>
        <v>Bachhraj And Company Pvt Limited</v>
      </c>
      <c r="C40" s="211"/>
      <c r="D40" s="206"/>
      <c r="E40" s="206"/>
      <c r="F40" s="210"/>
      <c r="G40" s="209">
        <f>'[1]Input Sheet'!C11</f>
        <v>0.36463620000000002</v>
      </c>
      <c r="H40" s="208"/>
      <c r="I40" s="207">
        <f>'[1]Input Sheet'!D11</f>
        <v>1.3100000000000001E-2</v>
      </c>
      <c r="J40" s="206"/>
      <c r="K40" s="205">
        <f>'[1]Input Sheet'!E11</f>
        <v>3297.7697928000002</v>
      </c>
      <c r="M40" s="509"/>
      <c r="N40" s="509"/>
      <c r="O40" s="509"/>
      <c r="P40" s="509"/>
      <c r="Q40" s="509"/>
    </row>
    <row r="41" spans="2:17">
      <c r="B41" s="201" t="str">
        <f>'[1]Input Sheet'!B23</f>
        <v>Yamuna Trust</v>
      </c>
      <c r="C41" s="211"/>
      <c r="D41" s="206"/>
      <c r="E41" s="206"/>
      <c r="F41" s="210"/>
      <c r="G41" s="209">
        <f>'[1]Input Sheet'!C12</f>
        <v>0.36152689999999998</v>
      </c>
      <c r="H41" s="208"/>
      <c r="I41" s="207">
        <f>'[1]Input Sheet'!D12</f>
        <v>1.29E-2</v>
      </c>
      <c r="J41" s="206"/>
      <c r="K41" s="205">
        <f>'[1]Input Sheet'!E12</f>
        <v>3269.6492835999998</v>
      </c>
      <c r="M41" s="506" t="s">
        <v>220</v>
      </c>
      <c r="N41" s="506"/>
      <c r="O41" s="506"/>
      <c r="P41" s="506"/>
      <c r="Q41" s="506"/>
    </row>
    <row r="42" spans="2:17">
      <c r="B42" s="201" t="str">
        <f>'[1]Input Sheet'!B24</f>
        <v>Sbi Consumption Opportunities Fund</v>
      </c>
      <c r="C42" s="211"/>
      <c r="D42" s="206"/>
      <c r="E42" s="206"/>
      <c r="F42" s="210"/>
      <c r="G42" s="209">
        <f>'[1]Input Sheet'!C13</f>
        <v>0.29887609999999998</v>
      </c>
      <c r="H42" s="208"/>
      <c r="I42" s="207">
        <f>'[1]Input Sheet'!D13</f>
        <v>1.0700000000000001E-2</v>
      </c>
      <c r="J42" s="206"/>
      <c r="K42" s="205">
        <f>'[1]Input Sheet'!E13</f>
        <v>2703.0354484</v>
      </c>
      <c r="M42" s="506"/>
      <c r="N42" s="506"/>
      <c r="O42" s="506"/>
      <c r="P42" s="506"/>
      <c r="Q42" s="506"/>
    </row>
    <row r="43" spans="2:17">
      <c r="F43" s="204"/>
      <c r="G43" s="204"/>
      <c r="M43" s="506"/>
      <c r="N43" s="506"/>
      <c r="O43" s="506"/>
      <c r="P43" s="506"/>
      <c r="Q43" s="506"/>
    </row>
    <row r="44" spans="2:17">
      <c r="B44" s="74" t="s">
        <v>219</v>
      </c>
      <c r="C44" s="74"/>
      <c r="D44" s="507"/>
      <c r="E44" s="507"/>
      <c r="F44" s="504" t="s">
        <v>218</v>
      </c>
      <c r="G44" s="504"/>
      <c r="H44" s="504" t="s">
        <v>217</v>
      </c>
      <c r="I44" s="504"/>
      <c r="J44" s="203" t="s">
        <v>216</v>
      </c>
      <c r="K44" s="203"/>
      <c r="M44" s="506"/>
      <c r="N44" s="506"/>
      <c r="O44" s="506"/>
      <c r="P44" s="506"/>
      <c r="Q44" s="506"/>
    </row>
    <row r="45" spans="2:17">
      <c r="M45" s="202"/>
      <c r="N45" s="202"/>
      <c r="O45" s="202"/>
      <c r="P45" s="202"/>
      <c r="Q45" s="202"/>
    </row>
    <row r="46" spans="2:17">
      <c r="B46" s="201" t="s">
        <v>215</v>
      </c>
      <c r="C46" s="201"/>
      <c r="D46" s="201"/>
      <c r="E46" s="201"/>
      <c r="F46" s="513" t="s">
        <v>214</v>
      </c>
      <c r="G46" s="513"/>
      <c r="H46" s="505">
        <f>585824725/10000000</f>
        <v>58.582472500000002</v>
      </c>
      <c r="I46" s="505"/>
      <c r="J46" s="513">
        <v>575.47</v>
      </c>
      <c r="K46" s="513"/>
      <c r="M46" s="506" t="s">
        <v>213</v>
      </c>
      <c r="N46" s="506"/>
      <c r="O46" s="506"/>
      <c r="P46" s="506"/>
      <c r="Q46" s="506"/>
    </row>
    <row r="47" spans="2:17">
      <c r="B47" s="201" t="s">
        <v>212</v>
      </c>
      <c r="C47" s="201"/>
      <c r="D47" s="201"/>
      <c r="E47" s="201"/>
      <c r="F47" s="513" t="s">
        <v>210</v>
      </c>
      <c r="G47" s="513"/>
      <c r="H47" s="505">
        <f>283317842/10000000</f>
        <v>28.331784200000001</v>
      </c>
      <c r="I47" s="505"/>
      <c r="J47" s="513">
        <v>278.31</v>
      </c>
      <c r="K47" s="513"/>
      <c r="M47" s="506"/>
      <c r="N47" s="506"/>
      <c r="O47" s="506"/>
      <c r="P47" s="506"/>
      <c r="Q47" s="506"/>
    </row>
    <row r="48" spans="2:17">
      <c r="B48" s="201" t="s">
        <v>211</v>
      </c>
      <c r="C48" s="201"/>
      <c r="D48" s="201"/>
      <c r="E48" s="201"/>
      <c r="F48" s="513" t="s">
        <v>210</v>
      </c>
      <c r="G48" s="513"/>
      <c r="H48" s="505">
        <f>168130754/10000000</f>
        <v>16.813075399999999</v>
      </c>
      <c r="I48" s="505"/>
      <c r="J48" s="513">
        <v>165.16</v>
      </c>
      <c r="K48" s="513"/>
      <c r="M48" s="506"/>
      <c r="N48" s="506"/>
      <c r="O48" s="506"/>
      <c r="P48" s="506"/>
      <c r="Q48" s="506"/>
    </row>
    <row r="49" spans="2:20">
      <c r="M49" s="506"/>
      <c r="N49" s="506"/>
      <c r="O49" s="506"/>
      <c r="P49" s="506"/>
      <c r="Q49" s="506"/>
    </row>
    <row r="50" spans="2:20">
      <c r="B50" s="200" t="s">
        <v>209</v>
      </c>
      <c r="C50" s="82"/>
      <c r="D50" s="82"/>
      <c r="E50" s="82"/>
      <c r="F50" s="82"/>
      <c r="G50" s="82"/>
      <c r="H50" s="82"/>
      <c r="I50" s="82"/>
      <c r="J50" s="82"/>
      <c r="K50" s="82"/>
      <c r="M50" s="82"/>
      <c r="N50" s="82"/>
      <c r="O50" s="82"/>
      <c r="P50" s="82"/>
      <c r="Q50" s="82"/>
    </row>
    <row r="51" spans="2:20">
      <c r="B51" s="508" t="s">
        <v>208</v>
      </c>
      <c r="C51" s="508"/>
      <c r="D51" s="508"/>
      <c r="E51" s="508"/>
      <c r="F51" s="508"/>
      <c r="G51" s="508"/>
      <c r="H51" s="508"/>
      <c r="I51" s="508"/>
      <c r="J51" s="508"/>
      <c r="K51" s="508"/>
      <c r="M51" s="511" t="s">
        <v>207</v>
      </c>
      <c r="N51" s="511"/>
      <c r="O51" s="511"/>
      <c r="P51" s="511"/>
      <c r="Q51" s="511"/>
    </row>
    <row r="52" spans="2:20">
      <c r="B52" s="508"/>
      <c r="C52" s="508"/>
      <c r="D52" s="508"/>
      <c r="E52" s="508"/>
      <c r="F52" s="508"/>
      <c r="G52" s="508"/>
      <c r="H52" s="508"/>
      <c r="I52" s="508"/>
      <c r="J52" s="508"/>
      <c r="K52" s="508"/>
      <c r="L52" s="199"/>
      <c r="M52" s="512" t="s">
        <v>206</v>
      </c>
      <c r="N52" s="512"/>
      <c r="O52" s="512"/>
      <c r="P52" s="512"/>
      <c r="Q52" s="512"/>
      <c r="R52" s="199"/>
      <c r="S52" s="199"/>
      <c r="T52" s="199"/>
    </row>
    <row r="53" spans="2:20">
      <c r="B53" s="508"/>
      <c r="C53" s="508"/>
      <c r="D53" s="508"/>
      <c r="E53" s="508"/>
      <c r="F53" s="508"/>
      <c r="G53" s="508"/>
      <c r="H53" s="508"/>
      <c r="I53" s="508"/>
      <c r="J53" s="508"/>
      <c r="K53" s="508"/>
      <c r="M53" s="512"/>
      <c r="N53" s="512"/>
      <c r="O53" s="512"/>
      <c r="P53" s="512"/>
      <c r="Q53" s="512"/>
    </row>
    <row r="55" spans="2:20" ht="15.75">
      <c r="B55" s="198" t="str">
        <f>'[1]Data Sheet'!B54&amp;" - One Page Profile"</f>
        <v>10311.91 - One Page Profile</v>
      </c>
      <c r="C55" s="198" t="str">
        <f>'[1]Data Sheet'!C54&amp;" - One Page Profile"</f>
        <v>10838.24 - One Page Profile</v>
      </c>
      <c r="D55" s="198" t="str">
        <f>'[1]Data Sheet'!D54&amp;" - One Page Profile"</f>
        <v>12165.33 - One Page Profile</v>
      </c>
      <c r="E55" s="198" t="str">
        <f>'[1]Data Sheet'!E54&amp;" - One Page Profile"</f>
        <v>11554.95 - One Page Profile</v>
      </c>
      <c r="F55" s="198" t="str">
        <f>'[1]Data Sheet'!F54&amp;" - One Page Profile"</f>
        <v>11932.07 - One Page Profile</v>
      </c>
      <c r="G55" s="198" t="str">
        <f>'[1]Data Sheet'!G54&amp;" - One Page Profile"</f>
        <v>13247.28 - One Page Profile</v>
      </c>
      <c r="H55" s="198" t="str">
        <f>'[1]Data Sheet'!H54&amp;" - One Page Profile"</f>
        <v>13168.88 - One Page Profile</v>
      </c>
      <c r="I55" s="198" t="str">
        <f>'[1]Data Sheet'!I54&amp;" - One Page Profile"</f>
        <v>12646.32 - One Page Profile</v>
      </c>
      <c r="J55" s="198" t="str">
        <f>'[1]Data Sheet'!J54&amp;" - One Page Profile"</f>
        <v>13133.35 - One Page Profile</v>
      </c>
      <c r="K55" s="198" t="str">
        <f>'[1]Data Sheet'!K54&amp;" - One Page Profile"</f>
        <v>15734.74 - One Page Profile</v>
      </c>
      <c r="L55" s="198" t="str">
        <f>'[1]Data Sheet'!L54&amp;" - One Page Profile"</f>
        <v xml:space="preserve"> - One Page Profile</v>
      </c>
      <c r="M55" s="198" t="str">
        <f>'[1]Data Sheet'!M54&amp;" - One Page Profile"</f>
        <v xml:space="preserve"> - One Page Profile</v>
      </c>
      <c r="N55" s="198" t="str">
        <f>'[1]Data Sheet'!N54&amp;" - One Page Profile"</f>
        <v xml:space="preserve"> - One Page Profile</v>
      </c>
      <c r="O55" s="198" t="str">
        <f>'[1]Data Sheet'!O54&amp;" - One Page Profile"</f>
        <v xml:space="preserve"> - One Page Profile</v>
      </c>
      <c r="P55" s="198" t="str">
        <f>'[1]Data Sheet'!P54&amp;" - One Page Profile"</f>
        <v xml:space="preserve"> - One Page Profile</v>
      </c>
      <c r="Q55" s="198" t="str">
        <f>'[1]Data Sheet'!Q54&amp;" - One Page Profile"</f>
        <v xml:space="preserve"> - One Page Profile</v>
      </c>
    </row>
  </sheetData>
  <mergeCells count="26">
    <mergeCell ref="B51:K53"/>
    <mergeCell ref="M24:Q27"/>
    <mergeCell ref="M28:Q31"/>
    <mergeCell ref="M33:Q36"/>
    <mergeCell ref="M37:Q40"/>
    <mergeCell ref="M41:Q44"/>
    <mergeCell ref="J31:K31"/>
    <mergeCell ref="M51:Q51"/>
    <mergeCell ref="M52:Q53"/>
    <mergeCell ref="F46:G46"/>
    <mergeCell ref="F47:G47"/>
    <mergeCell ref="F48:G48"/>
    <mergeCell ref="H46:I46"/>
    <mergeCell ref="J46:K46"/>
    <mergeCell ref="J47:K47"/>
    <mergeCell ref="J48:K48"/>
    <mergeCell ref="C4:Q4"/>
    <mergeCell ref="C31:E31"/>
    <mergeCell ref="F31:G31"/>
    <mergeCell ref="H31:I31"/>
    <mergeCell ref="H47:I47"/>
    <mergeCell ref="M46:Q49"/>
    <mergeCell ref="D44:E44"/>
    <mergeCell ref="F44:G44"/>
    <mergeCell ref="H44:I44"/>
    <mergeCell ref="H48:I48"/>
  </mergeCells>
  <printOptions horizontalCentered="1" verticalCentered="1"/>
  <pageMargins left="0" right="0" top="0" bottom="0" header="0" footer="0"/>
  <pageSetup paperSize="9" scale="55" orientation="portrait" r:id="rId1"/>
  <colBreaks count="1" manualBreakCount="1">
    <brk id="17" max="1048575" man="1"/>
  </colBreaks>
  <drawing r:id="rId2"/>
</worksheet>
</file>

<file path=xl/worksheets/sheet4.xml><?xml version="1.0" encoding="utf-8"?>
<worksheet xmlns="http://schemas.openxmlformats.org/spreadsheetml/2006/main" xmlns:r="http://schemas.openxmlformats.org/officeDocument/2006/relationships">
  <dimension ref="A2:O112"/>
  <sheetViews>
    <sheetView showGridLines="0" topLeftCell="A28" workbookViewId="0">
      <selection activeCell="B2" sqref="B2:L7"/>
    </sheetView>
  </sheetViews>
  <sheetFormatPr defaultColWidth="11.140625" defaultRowHeight="15"/>
  <cols>
    <col min="1" max="1" width="2.7109375" style="1" customWidth="1"/>
    <col min="2" max="2" width="34.140625" style="1" customWidth="1"/>
    <col min="3" max="12" width="10.7109375" style="1" customWidth="1"/>
    <col min="13" max="16384" width="11.140625" style="1"/>
  </cols>
  <sheetData>
    <row r="2" spans="1:13">
      <c r="B2" s="3" t="s">
        <v>0</v>
      </c>
      <c r="C2" s="3" t="s">
        <v>0</v>
      </c>
      <c r="D2" s="3" t="s">
        <v>0</v>
      </c>
      <c r="E2" s="3" t="s">
        <v>0</v>
      </c>
      <c r="F2" s="3" t="s">
        <v>0</v>
      </c>
      <c r="G2" s="3" t="s">
        <v>0</v>
      </c>
      <c r="H2" s="3" t="s">
        <v>0</v>
      </c>
      <c r="I2" s="3" t="s">
        <v>0</v>
      </c>
      <c r="J2" s="3"/>
      <c r="K2" s="3"/>
      <c r="L2" s="3" t="s">
        <v>0</v>
      </c>
    </row>
    <row r="3" spans="1:13" ht="9.75" customHeight="1" thickBot="1">
      <c r="B3" s="59"/>
      <c r="C3" s="59"/>
      <c r="D3" s="59"/>
      <c r="E3" s="59"/>
      <c r="F3" s="59"/>
      <c r="G3" s="59"/>
      <c r="H3" s="59"/>
      <c r="I3" s="59"/>
      <c r="J3" s="59"/>
      <c r="K3" s="59"/>
      <c r="L3" s="59"/>
    </row>
    <row r="4" spans="1:13" ht="36" thickTop="1">
      <c r="B4" s="63" t="str">
        <f>'[2]Data Sheet'!B1</f>
        <v>BAJAJ AUTO LTD</v>
      </c>
    </row>
    <row r="5" spans="1:13">
      <c r="B5" s="62" t="str">
        <f>CONCATENATE(" ",VLOOKUP(B4,'[2]LIST OF STOCKS'!B5:D5444,3,FALSE)," | ","Bse Code: ",VLOOKUP(B4,'[2]LIST OF STOCKS'!B5:E5444,2,FALSE),)</f>
        <v xml:space="preserve"> BAJAJ-AUTO | Bse Code: 532977</v>
      </c>
    </row>
    <row r="6" spans="1:13" ht="15.75" thickBot="1">
      <c r="B6" s="61" t="s">
        <v>78</v>
      </c>
      <c r="C6" s="59"/>
      <c r="D6" s="59"/>
      <c r="E6" s="59"/>
      <c r="F6" s="59"/>
      <c r="G6" s="59"/>
      <c r="H6" s="59"/>
      <c r="I6" s="60"/>
      <c r="J6" s="60"/>
      <c r="K6" s="60"/>
      <c r="L6" s="59"/>
    </row>
    <row r="7" spans="1:13" ht="9" customHeight="1" thickTop="1">
      <c r="B7" s="25"/>
      <c r="C7" s="58"/>
      <c r="D7" s="58"/>
      <c r="E7" s="58"/>
      <c r="F7" s="58"/>
      <c r="G7" s="58"/>
      <c r="I7" s="57"/>
      <c r="J7" s="57"/>
      <c r="K7" s="57"/>
    </row>
    <row r="8" spans="1:13" ht="16.5" customHeight="1">
      <c r="B8" s="56" t="str">
        <f>"Historical Financial Statement - "&amp;'[2]Balance Sheet'!A1</f>
        <v>Historical Financial Statement - BAJAJ AUTO LTD</v>
      </c>
      <c r="C8" s="55"/>
      <c r="D8" s="54"/>
      <c r="E8" s="54"/>
      <c r="F8" s="54"/>
      <c r="G8" s="53"/>
      <c r="H8" s="53"/>
      <c r="I8" s="53"/>
      <c r="J8" s="53"/>
      <c r="K8" s="53"/>
      <c r="L8" s="53"/>
    </row>
    <row r="9" spans="1:13">
      <c r="B9" s="52" t="s">
        <v>77</v>
      </c>
      <c r="C9" s="51">
        <f>IFERROR('[2]Data Sheet'!C16,0)</f>
        <v>42825</v>
      </c>
      <c r="D9" s="51">
        <f>IFERROR('[2]Data Sheet'!D16,0)</f>
        <v>43190</v>
      </c>
      <c r="E9" s="51">
        <f>IFERROR('[2]Data Sheet'!E16,0)</f>
        <v>43555</v>
      </c>
      <c r="F9" s="51">
        <f>IFERROR('[2]Data Sheet'!F16,0)</f>
        <v>43921</v>
      </c>
      <c r="G9" s="51">
        <f>IFERROR('[2]Data Sheet'!G16,0)</f>
        <v>44286</v>
      </c>
      <c r="H9" s="51">
        <f>IFERROR('[2]Data Sheet'!H16,0)</f>
        <v>44651</v>
      </c>
      <c r="I9" s="51">
        <f>IFERROR('[2]Data Sheet'!I16,0)</f>
        <v>45016</v>
      </c>
      <c r="J9" s="51">
        <f>IFERROR('[2]Data Sheet'!J16,0)</f>
        <v>45382</v>
      </c>
      <c r="K9" s="51">
        <f>IFERROR('[2]Data Sheet'!K16,0)</f>
        <v>45747</v>
      </c>
      <c r="L9" s="51" t="s">
        <v>76</v>
      </c>
    </row>
    <row r="10" spans="1:13" ht="16.5" customHeight="1">
      <c r="B10" s="50"/>
      <c r="C10" s="49"/>
      <c r="D10" s="49"/>
      <c r="E10" s="49"/>
      <c r="F10" s="49"/>
      <c r="G10" s="49"/>
      <c r="H10" s="49"/>
      <c r="I10" s="49"/>
      <c r="J10" s="49"/>
      <c r="K10" s="49"/>
      <c r="L10" s="49"/>
    </row>
    <row r="11" spans="1:13" ht="14.25" customHeight="1">
      <c r="B11" s="23" t="s">
        <v>75</v>
      </c>
      <c r="C11" s="23"/>
      <c r="D11" s="48"/>
      <c r="E11" s="48"/>
      <c r="F11" s="48"/>
      <c r="G11" s="48"/>
      <c r="H11" s="48"/>
      <c r="I11" s="48"/>
      <c r="J11" s="48"/>
      <c r="K11" s="48"/>
      <c r="L11" s="48"/>
    </row>
    <row r="12" spans="1:13">
      <c r="B12" s="25"/>
      <c r="C12" s="25"/>
      <c r="M12" s="47"/>
    </row>
    <row r="13" spans="1:13" s="17" customFormat="1">
      <c r="A13" s="17" t="s">
        <v>74</v>
      </c>
      <c r="B13" s="1" t="s">
        <v>73</v>
      </c>
      <c r="C13" s="9">
        <f>'[2]Data Sheet'!C17</f>
        <v>21754.720000000001</v>
      </c>
      <c r="D13" s="9">
        <f>'[2]Data Sheet'!D17</f>
        <v>25209.93</v>
      </c>
      <c r="E13" s="9">
        <f>'[2]Data Sheet'!E17</f>
        <v>30357.63</v>
      </c>
      <c r="F13" s="9">
        <f>'[2]Data Sheet'!F17</f>
        <v>29918.65</v>
      </c>
      <c r="G13" s="9">
        <f>'[2]Data Sheet'!G17</f>
        <v>27741.08</v>
      </c>
      <c r="H13" s="9">
        <f>'[2]Data Sheet'!H17</f>
        <v>33144.71</v>
      </c>
      <c r="I13" s="9">
        <f>'[2]Data Sheet'!I17</f>
        <v>36455.379999999997</v>
      </c>
      <c r="J13" s="9">
        <f>'[2]Data Sheet'!J17</f>
        <v>44870.43</v>
      </c>
      <c r="K13" s="9">
        <f>'[2]Data Sheet'!K17</f>
        <v>50994.55</v>
      </c>
      <c r="L13" s="9">
        <f>IFERROR(SUM('[2]Data Sheet'!H42:K42),0)</f>
        <v>54683.289999999994</v>
      </c>
      <c r="M13" s="46"/>
    </row>
    <row r="14" spans="1:13">
      <c r="A14" s="26" t="s">
        <v>44</v>
      </c>
      <c r="B14" s="29" t="s">
        <v>72</v>
      </c>
      <c r="C14" s="45" t="s">
        <v>71</v>
      </c>
      <c r="D14" s="44">
        <f t="shared" ref="D14:K14" si="0">IFERROR(D13/C13-1,0)</f>
        <v>0.15882576286893135</v>
      </c>
      <c r="E14" s="44">
        <f t="shared" si="0"/>
        <v>0.20419334762135399</v>
      </c>
      <c r="F14" s="44">
        <f t="shared" si="0"/>
        <v>-1.4460285602005185E-2</v>
      </c>
      <c r="G14" s="44">
        <f t="shared" si="0"/>
        <v>-7.2783029982970482E-2</v>
      </c>
      <c r="H14" s="44">
        <f t="shared" si="0"/>
        <v>0.19478801834679826</v>
      </c>
      <c r="I14" s="44">
        <f t="shared" si="0"/>
        <v>9.9885321066317978E-2</v>
      </c>
      <c r="J14" s="44">
        <f t="shared" si="0"/>
        <v>0.23083149867042962</v>
      </c>
      <c r="K14" s="44">
        <f t="shared" si="0"/>
        <v>0.13648454004118094</v>
      </c>
      <c r="L14" s="44">
        <f>IFERROR(L13/I13-1,0)</f>
        <v>0.5000060347745654</v>
      </c>
    </row>
    <row r="15" spans="1:13">
      <c r="A15" s="26"/>
      <c r="C15" s="9"/>
      <c r="D15" s="9"/>
      <c r="E15" s="9"/>
      <c r="F15" s="9"/>
      <c r="G15" s="9"/>
      <c r="H15" s="9"/>
      <c r="I15" s="9"/>
      <c r="J15" s="9"/>
      <c r="K15" s="9"/>
      <c r="L15" s="9"/>
    </row>
    <row r="16" spans="1:13">
      <c r="B16" s="1" t="s">
        <v>70</v>
      </c>
      <c r="C16" s="9">
        <f>SUM('[2]Data Sheet'!C18:C22)</f>
        <v>16355.339999999998</v>
      </c>
      <c r="D16" s="9">
        <f>SUM('[2]Data Sheet'!D18:D22)</f>
        <v>19113.739999999998</v>
      </c>
      <c r="E16" s="9">
        <f>SUM('[2]Data Sheet'!E18:E22)</f>
        <v>23919.839999999997</v>
      </c>
      <c r="F16" s="9">
        <f>SUM('[2]Data Sheet'!F18:F22)</f>
        <v>23344.7</v>
      </c>
      <c r="G16" s="9">
        <f>SUM('[2]Data Sheet'!G18:G22)</f>
        <v>22033.13</v>
      </c>
      <c r="H16" s="9">
        <f>SUM('[2]Data Sheet'!H18:H22)</f>
        <v>26264.19</v>
      </c>
      <c r="I16" s="9">
        <f>SUM('[2]Data Sheet'!I18:I22)</f>
        <v>28676.16</v>
      </c>
      <c r="J16" s="9">
        <f>SUM('[2]Data Sheet'!J18:J22)</f>
        <v>34559.339999999997</v>
      </c>
      <c r="K16" s="9">
        <f>SUM('[2]Data Sheet'!K18:K22)</f>
        <v>38125.199999999997</v>
      </c>
      <c r="L16" s="9">
        <f>IFERROR(SUM('[2]Data Sheet'!J18:J22)-'[2]Data Sheet'!J19,0)</f>
        <v>34483</v>
      </c>
      <c r="M16" s="24"/>
    </row>
    <row r="17" spans="2:15">
      <c r="B17" s="29" t="s">
        <v>69</v>
      </c>
      <c r="C17" s="28">
        <f t="shared" ref="C17:I17" si="1">C16/C13</f>
        <v>0.75180650451947884</v>
      </c>
      <c r="D17" s="28">
        <f t="shared" si="1"/>
        <v>0.75818298583137667</v>
      </c>
      <c r="E17" s="28">
        <f t="shared" si="1"/>
        <v>0.78793502654851499</v>
      </c>
      <c r="F17" s="28">
        <f t="shared" si="1"/>
        <v>0.78027250561104866</v>
      </c>
      <c r="G17" s="28">
        <f t="shared" si="1"/>
        <v>0.79424196895001919</v>
      </c>
      <c r="H17" s="28">
        <f t="shared" si="1"/>
        <v>0.79240970881929573</v>
      </c>
      <c r="I17" s="28">
        <f t="shared" si="1"/>
        <v>0.78660982274769875</v>
      </c>
      <c r="J17" s="28"/>
      <c r="K17" s="28"/>
      <c r="L17" s="28">
        <f>L16/L13</f>
        <v>0.63059483070605304</v>
      </c>
      <c r="M17" s="24"/>
    </row>
    <row r="18" spans="2:15">
      <c r="C18" s="9"/>
      <c r="D18" s="9"/>
      <c r="E18" s="9"/>
      <c r="F18" s="9"/>
      <c r="G18" s="9"/>
      <c r="H18" s="9"/>
      <c r="I18" s="9"/>
      <c r="J18" s="9"/>
      <c r="K18" s="9"/>
      <c r="L18" s="9"/>
      <c r="M18" s="24"/>
    </row>
    <row r="19" spans="2:15">
      <c r="B19" s="8" t="s">
        <v>68</v>
      </c>
      <c r="C19" s="7">
        <f t="shared" ref="C19:L19" si="2">C13-C16</f>
        <v>5399.3800000000028</v>
      </c>
      <c r="D19" s="7">
        <f t="shared" si="2"/>
        <v>6096.1900000000023</v>
      </c>
      <c r="E19" s="7">
        <f t="shared" si="2"/>
        <v>6437.7900000000045</v>
      </c>
      <c r="F19" s="7">
        <f t="shared" si="2"/>
        <v>6573.9500000000007</v>
      </c>
      <c r="G19" s="7">
        <f t="shared" si="2"/>
        <v>5707.9500000000007</v>
      </c>
      <c r="H19" s="7">
        <f t="shared" si="2"/>
        <v>6880.52</v>
      </c>
      <c r="I19" s="7">
        <f t="shared" si="2"/>
        <v>7779.2199999999975</v>
      </c>
      <c r="J19" s="7">
        <f t="shared" si="2"/>
        <v>10311.090000000004</v>
      </c>
      <c r="K19" s="7">
        <f t="shared" si="2"/>
        <v>12869.350000000006</v>
      </c>
      <c r="L19" s="7">
        <f t="shared" si="2"/>
        <v>20200.289999999994</v>
      </c>
      <c r="M19" s="24"/>
      <c r="O19" s="43"/>
    </row>
    <row r="20" spans="2:15">
      <c r="B20" s="42" t="s">
        <v>67</v>
      </c>
      <c r="C20" s="40">
        <f t="shared" ref="C20:L20" si="3">C19/C13</f>
        <v>0.24819349548052114</v>
      </c>
      <c r="D20" s="40">
        <f t="shared" si="3"/>
        <v>0.24181701416862333</v>
      </c>
      <c r="E20" s="40">
        <f t="shared" si="3"/>
        <v>0.21206497345148498</v>
      </c>
      <c r="F20" s="40">
        <f t="shared" si="3"/>
        <v>0.21972749438895139</v>
      </c>
      <c r="G20" s="40">
        <f t="shared" si="3"/>
        <v>0.20575803104998078</v>
      </c>
      <c r="H20" s="40">
        <f t="shared" si="3"/>
        <v>0.20759029118070427</v>
      </c>
      <c r="I20" s="40">
        <f t="shared" si="3"/>
        <v>0.21339017725230125</v>
      </c>
      <c r="J20" s="40">
        <f t="shared" si="3"/>
        <v>0.22979699548232552</v>
      </c>
      <c r="K20" s="40">
        <f t="shared" si="3"/>
        <v>0.25236716472642673</v>
      </c>
      <c r="L20" s="40">
        <f t="shared" si="3"/>
        <v>0.36940516929394696</v>
      </c>
      <c r="M20" s="24"/>
    </row>
    <row r="21" spans="2:15">
      <c r="C21" s="9"/>
      <c r="D21" s="9"/>
      <c r="E21" s="9"/>
      <c r="F21" s="9"/>
      <c r="G21" s="9"/>
      <c r="H21" s="9"/>
      <c r="I21" s="9"/>
      <c r="J21" s="9"/>
      <c r="K21" s="9"/>
      <c r="L21" s="9"/>
      <c r="M21" s="24"/>
    </row>
    <row r="22" spans="2:15">
      <c r="B22" s="1" t="s">
        <v>66</v>
      </c>
      <c r="C22" s="9">
        <f>IFERROR(SUM('[2]Data Sheet'!C23:C24),0)</f>
        <v>1058.1100000000001</v>
      </c>
      <c r="D22" s="9">
        <f>IFERROR(SUM('[2]Data Sheet'!D23:D24),0)</f>
        <v>1231.03</v>
      </c>
      <c r="E22" s="9">
        <f>IFERROR(SUM('[2]Data Sheet'!E23:E24),0)</f>
        <v>1352.71</v>
      </c>
      <c r="F22" s="9">
        <f>IFERROR(SUM('[2]Data Sheet'!F23:F24),0)</f>
        <v>1590.63</v>
      </c>
      <c r="G22" s="9">
        <f>IFERROR(SUM('[2]Data Sheet'!G23:G24),0)</f>
        <v>1209.1300000000001</v>
      </c>
      <c r="H22" s="9">
        <f>IFERROR(SUM('[2]Data Sheet'!H23:H24),0)</f>
        <v>1245.8</v>
      </c>
      <c r="I22" s="9">
        <f>IFERROR(SUM('[2]Data Sheet'!I23:I24),0)</f>
        <v>1515.24</v>
      </c>
      <c r="J22" s="9">
        <f>IFERROR(SUM('[2]Data Sheet'!J23:J24),0)</f>
        <v>1699.0900000000001</v>
      </c>
      <c r="K22" s="9">
        <f>IFERROR(SUM('[2]Data Sheet'!K23:K24),0)</f>
        <v>3257.9300000000003</v>
      </c>
      <c r="L22" s="41"/>
      <c r="M22" s="24"/>
    </row>
    <row r="23" spans="2:15">
      <c r="B23" s="29" t="s">
        <v>65</v>
      </c>
      <c r="C23" s="40">
        <f t="shared" ref="C23:K23" si="4">C22/C13</f>
        <v>4.8638180587936779E-2</v>
      </c>
      <c r="D23" s="40">
        <f t="shared" si="4"/>
        <v>4.8831155025023866E-2</v>
      </c>
      <c r="E23" s="40">
        <f t="shared" si="4"/>
        <v>4.4559143780328041E-2</v>
      </c>
      <c r="F23" s="40">
        <f t="shared" si="4"/>
        <v>5.3165166209036836E-2</v>
      </c>
      <c r="G23" s="40">
        <f t="shared" si="4"/>
        <v>4.3586262683356233E-2</v>
      </c>
      <c r="H23" s="40">
        <f t="shared" si="4"/>
        <v>3.7586691812962009E-2</v>
      </c>
      <c r="I23" s="40">
        <f t="shared" si="4"/>
        <v>4.1564235512014963E-2</v>
      </c>
      <c r="J23" s="40">
        <f t="shared" si="4"/>
        <v>3.7866586079072569E-2</v>
      </c>
      <c r="K23" s="40">
        <f t="shared" si="4"/>
        <v>6.3887807618657297E-2</v>
      </c>
      <c r="L23" s="30"/>
      <c r="M23" s="24"/>
    </row>
    <row r="24" spans="2:15">
      <c r="C24" s="39"/>
      <c r="D24" s="9"/>
      <c r="E24" s="9"/>
      <c r="F24" s="9"/>
      <c r="G24" s="9"/>
      <c r="H24" s="9"/>
      <c r="I24" s="9"/>
      <c r="J24" s="9"/>
      <c r="K24" s="9"/>
      <c r="L24" s="9"/>
      <c r="M24" s="24"/>
    </row>
    <row r="25" spans="2:15">
      <c r="B25" s="25" t="s">
        <v>64</v>
      </c>
      <c r="C25" s="38">
        <f t="shared" ref="C25:K25" si="5">C19-C22</f>
        <v>4341.2700000000023</v>
      </c>
      <c r="D25" s="38">
        <f t="shared" si="5"/>
        <v>4865.1600000000026</v>
      </c>
      <c r="E25" s="38">
        <f t="shared" si="5"/>
        <v>5085.0800000000045</v>
      </c>
      <c r="F25" s="38">
        <f t="shared" si="5"/>
        <v>4983.3200000000006</v>
      </c>
      <c r="G25" s="38">
        <f t="shared" si="5"/>
        <v>4498.8200000000006</v>
      </c>
      <c r="H25" s="38">
        <f t="shared" si="5"/>
        <v>5634.72</v>
      </c>
      <c r="I25" s="38">
        <f t="shared" si="5"/>
        <v>6263.9799999999977</v>
      </c>
      <c r="J25" s="38">
        <f t="shared" si="5"/>
        <v>8612.0000000000036</v>
      </c>
      <c r="K25" s="38">
        <f t="shared" si="5"/>
        <v>9611.4200000000055</v>
      </c>
      <c r="L25" s="38">
        <f>IFERROR(SUM('[2]Data Sheet'!H51:K51),0)</f>
        <v>10730.210000000001</v>
      </c>
      <c r="M25" s="24"/>
    </row>
    <row r="26" spans="2:15">
      <c r="B26" s="29" t="s">
        <v>63</v>
      </c>
      <c r="C26" s="37">
        <f t="shared" ref="C26:L26" si="6">C25/C13</f>
        <v>0.19955531489258432</v>
      </c>
      <c r="D26" s="37">
        <f t="shared" si="6"/>
        <v>0.19298585914359948</v>
      </c>
      <c r="E26" s="37">
        <f t="shared" si="6"/>
        <v>0.16750582967115696</v>
      </c>
      <c r="F26" s="37">
        <f t="shared" si="6"/>
        <v>0.16656232817991454</v>
      </c>
      <c r="G26" s="37">
        <f t="shared" si="6"/>
        <v>0.16217176836662453</v>
      </c>
      <c r="H26" s="37">
        <f t="shared" si="6"/>
        <v>0.17000359936774226</v>
      </c>
      <c r="I26" s="37">
        <f t="shared" si="6"/>
        <v>0.17182594174028629</v>
      </c>
      <c r="J26" s="37">
        <f t="shared" si="6"/>
        <v>0.19193040940325296</v>
      </c>
      <c r="K26" s="37">
        <f t="shared" si="6"/>
        <v>0.18847935710776945</v>
      </c>
      <c r="L26" s="37">
        <f t="shared" si="6"/>
        <v>0.19622466022070001</v>
      </c>
      <c r="M26" s="24"/>
    </row>
    <row r="27" spans="2:15">
      <c r="C27" s="9"/>
      <c r="D27" s="9"/>
      <c r="E27" s="9"/>
      <c r="F27" s="9"/>
      <c r="G27" s="9"/>
      <c r="H27" s="9"/>
      <c r="I27" s="9"/>
      <c r="J27" s="9"/>
      <c r="K27" s="9"/>
      <c r="L27" s="9"/>
      <c r="M27" s="24"/>
    </row>
    <row r="28" spans="2:15">
      <c r="B28" s="1" t="s">
        <v>62</v>
      </c>
      <c r="C28" s="9">
        <f>IFERROR('[2]Data Sheet'!C27,0)</f>
        <v>1.4</v>
      </c>
      <c r="D28" s="9">
        <f>IFERROR('[2]Data Sheet'!D27,0)</f>
        <v>1.31</v>
      </c>
      <c r="E28" s="9">
        <f>IFERROR('[2]Data Sheet'!E27,0)</f>
        <v>4.4800000000000004</v>
      </c>
      <c r="F28" s="9">
        <f>IFERROR('[2]Data Sheet'!F27,0)</f>
        <v>3.16</v>
      </c>
      <c r="G28" s="9">
        <f>IFERROR('[2]Data Sheet'!G27,0)</f>
        <v>6.66</v>
      </c>
      <c r="H28" s="9">
        <f>IFERROR('[2]Data Sheet'!H27,0)</f>
        <v>8.66</v>
      </c>
      <c r="I28" s="9">
        <f>IFERROR('[2]Data Sheet'!I27,0)</f>
        <v>39.51</v>
      </c>
      <c r="J28" s="9">
        <f>IFERROR('[2]Data Sheet'!J27,0)</f>
        <v>60.36</v>
      </c>
      <c r="K28" s="9">
        <f>IFERROR('[2]Data Sheet'!K27,0)</f>
        <v>388.9</v>
      </c>
      <c r="L28" s="9">
        <f>IFERROR(SUM('[2]Data Sheet'!H46:K46),0)</f>
        <v>777.32999999999993</v>
      </c>
      <c r="M28" s="24"/>
    </row>
    <row r="29" spans="2:15">
      <c r="B29" s="29" t="s">
        <v>61</v>
      </c>
      <c r="C29" s="28">
        <f t="shared" ref="C29:L29" si="7">C28/C13</f>
        <v>6.435385056668162E-5</v>
      </c>
      <c r="D29" s="28">
        <f t="shared" si="7"/>
        <v>5.1963650831239911E-5</v>
      </c>
      <c r="E29" s="28">
        <f t="shared" si="7"/>
        <v>1.4757410245793234E-4</v>
      </c>
      <c r="F29" s="28">
        <f t="shared" si="7"/>
        <v>1.0561973885853807E-4</v>
      </c>
      <c r="G29" s="28">
        <f t="shared" si="7"/>
        <v>2.4007717075182365E-4</v>
      </c>
      <c r="H29" s="28">
        <f t="shared" si="7"/>
        <v>2.6127849662887381E-4</v>
      </c>
      <c r="I29" s="28">
        <f t="shared" si="7"/>
        <v>1.0837906503786273E-3</v>
      </c>
      <c r="J29" s="28">
        <f t="shared" si="7"/>
        <v>1.3452066316280008E-3</v>
      </c>
      <c r="K29" s="28">
        <f t="shared" si="7"/>
        <v>7.6263051639832088E-3</v>
      </c>
      <c r="L29" s="28">
        <f t="shared" si="7"/>
        <v>1.4215128606929101E-2</v>
      </c>
      <c r="M29" s="24"/>
    </row>
    <row r="30" spans="2:15">
      <c r="C30" s="9"/>
      <c r="D30" s="9"/>
      <c r="E30" s="9"/>
      <c r="F30" s="9"/>
      <c r="G30" s="9"/>
      <c r="H30" s="9"/>
      <c r="I30" s="9"/>
      <c r="J30" s="9"/>
      <c r="K30" s="9"/>
      <c r="L30" s="9"/>
      <c r="M30" s="24"/>
    </row>
    <row r="31" spans="2:15">
      <c r="B31" s="1" t="s">
        <v>60</v>
      </c>
      <c r="C31" s="9">
        <f>IFERROR('[2]Data Sheet'!C26,0)</f>
        <v>307.29000000000002</v>
      </c>
      <c r="D31" s="9">
        <f>IFERROR('[2]Data Sheet'!D26,0)</f>
        <v>314.8</v>
      </c>
      <c r="E31" s="9">
        <f>IFERROR('[2]Data Sheet'!E26,0)</f>
        <v>265.69</v>
      </c>
      <c r="F31" s="9">
        <f>IFERROR('[2]Data Sheet'!F26,0)</f>
        <v>246.43</v>
      </c>
      <c r="G31" s="9">
        <f>IFERROR('[2]Data Sheet'!G26,0)</f>
        <v>259.37</v>
      </c>
      <c r="H31" s="9">
        <f>IFERROR('[2]Data Sheet'!H26,0)</f>
        <v>269.76</v>
      </c>
      <c r="I31" s="9">
        <f>IFERROR('[2]Data Sheet'!I26,0)</f>
        <v>285.85000000000002</v>
      </c>
      <c r="J31" s="9">
        <f>IFERROR('[2]Data Sheet'!J26,0)</f>
        <v>364.77</v>
      </c>
      <c r="K31" s="9">
        <f>IFERROR('[2]Data Sheet'!K26,0)</f>
        <v>414.23</v>
      </c>
      <c r="L31" s="9">
        <f>IFERROR(SUM('[2]Data Sheet'!H45:K45),0)</f>
        <v>457.45</v>
      </c>
      <c r="M31" s="24"/>
    </row>
    <row r="32" spans="2:15">
      <c r="B32" s="29" t="s">
        <v>59</v>
      </c>
      <c r="C32" s="36">
        <f t="shared" ref="C32:L32" si="8">C31/C13</f>
        <v>1.4125210529025425E-2</v>
      </c>
      <c r="D32" s="36">
        <f t="shared" si="8"/>
        <v>1.2487142963110171E-2</v>
      </c>
      <c r="E32" s="36">
        <f t="shared" si="8"/>
        <v>8.7520007326000078E-3</v>
      </c>
      <c r="F32" s="36">
        <f t="shared" si="8"/>
        <v>8.2366684325663082E-3</v>
      </c>
      <c r="G32" s="36">
        <f t="shared" si="8"/>
        <v>9.3496720387237983E-3</v>
      </c>
      <c r="H32" s="36">
        <f t="shared" si="8"/>
        <v>8.1388553407165127E-3</v>
      </c>
      <c r="I32" s="36">
        <f t="shared" si="8"/>
        <v>7.8410923161409928E-3</v>
      </c>
      <c r="J32" s="36">
        <f t="shared" si="8"/>
        <v>8.1294072733423765E-3</v>
      </c>
      <c r="K32" s="36">
        <f t="shared" si="8"/>
        <v>8.1230249114856382E-3</v>
      </c>
      <c r="L32" s="36">
        <f t="shared" si="8"/>
        <v>8.3654439957800645E-3</v>
      </c>
      <c r="M32" s="24"/>
    </row>
    <row r="33" spans="2:13">
      <c r="C33" s="9"/>
      <c r="D33" s="9"/>
      <c r="E33" s="9"/>
      <c r="F33" s="9"/>
      <c r="G33" s="9"/>
      <c r="H33" s="9"/>
      <c r="I33" s="9"/>
      <c r="J33" s="9"/>
      <c r="K33" s="9"/>
      <c r="L33" s="9"/>
      <c r="M33" s="24"/>
    </row>
    <row r="34" spans="2:13">
      <c r="B34" s="1" t="s">
        <v>58</v>
      </c>
      <c r="C34" s="9">
        <f>IFERROR(C25-SUM(C28:C31),0)</f>
        <v>4032.5799356461516</v>
      </c>
      <c r="D34" s="9">
        <f t="shared" ref="D34:L34" si="9">D25-SUM(D28:D31)</f>
        <v>4549.0499480363515</v>
      </c>
      <c r="E34" s="9">
        <f t="shared" si="9"/>
        <v>4814.9098524259025</v>
      </c>
      <c r="F34" s="9">
        <f t="shared" si="9"/>
        <v>4733.7298943802616</v>
      </c>
      <c r="G34" s="9">
        <f t="shared" si="9"/>
        <v>4232.7897599228299</v>
      </c>
      <c r="H34" s="9">
        <f t="shared" si="9"/>
        <v>5356.2997387215037</v>
      </c>
      <c r="I34" s="9">
        <f t="shared" si="9"/>
        <v>5938.6189162093469</v>
      </c>
      <c r="J34" s="9">
        <f t="shared" si="9"/>
        <v>8186.8686547933721</v>
      </c>
      <c r="K34" s="9">
        <f t="shared" si="9"/>
        <v>8808.2823736948412</v>
      </c>
      <c r="L34" s="9">
        <f t="shared" si="9"/>
        <v>9495.4157848713949</v>
      </c>
      <c r="M34" s="24"/>
    </row>
    <row r="35" spans="2:13">
      <c r="B35" s="29" t="s">
        <v>57</v>
      </c>
      <c r="C35" s="28">
        <f t="shared" ref="C35:L35" si="10">C34/C13</f>
        <v>0.18536574755483645</v>
      </c>
      <c r="D35" s="28">
        <f t="shared" si="10"/>
        <v>0.18044675046842062</v>
      </c>
      <c r="E35" s="28">
        <f t="shared" si="10"/>
        <v>0.15860624997491249</v>
      </c>
      <c r="F35" s="28">
        <f t="shared" si="10"/>
        <v>0.15822003647825891</v>
      </c>
      <c r="G35" s="28">
        <f t="shared" si="10"/>
        <v>0.15258201050293752</v>
      </c>
      <c r="H35" s="28">
        <f t="shared" si="10"/>
        <v>0.16160345764743464</v>
      </c>
      <c r="I35" s="28">
        <f t="shared" si="10"/>
        <v>0.16290102904452916</v>
      </c>
      <c r="J35" s="28">
        <f t="shared" si="10"/>
        <v>0.18245576551848003</v>
      </c>
      <c r="K35" s="28">
        <f t="shared" si="10"/>
        <v>0.17272987748092375</v>
      </c>
      <c r="L35" s="28">
        <f t="shared" si="10"/>
        <v>0.17364382766419861</v>
      </c>
      <c r="M35" s="24"/>
    </row>
    <row r="36" spans="2:13">
      <c r="C36" s="9"/>
      <c r="D36" s="9"/>
      <c r="E36" s="9"/>
      <c r="F36" s="9"/>
      <c r="G36" s="9"/>
      <c r="H36" s="9"/>
      <c r="I36" s="9"/>
      <c r="J36" s="9"/>
      <c r="K36" s="9"/>
      <c r="L36" s="9"/>
      <c r="M36" s="24"/>
    </row>
    <row r="37" spans="2:13">
      <c r="B37" s="1" t="s">
        <v>56</v>
      </c>
      <c r="C37" s="9">
        <f>IFERROR('[2]Data Sheet'!C29,0)</f>
        <v>1508.07</v>
      </c>
      <c r="D37" s="9">
        <f>IFERROR('[2]Data Sheet'!D29,0)</f>
        <v>1714.47</v>
      </c>
      <c r="E37" s="9">
        <f>IFERROR('[2]Data Sheet'!E29,0)</f>
        <v>2027.98</v>
      </c>
      <c r="F37" s="9">
        <f>IFERROR('[2]Data Sheet'!F29,0)</f>
        <v>1480.22</v>
      </c>
      <c r="G37" s="9">
        <f>IFERROR('[2]Data Sheet'!G29,0)</f>
        <v>1384.41</v>
      </c>
      <c r="H37" s="9">
        <f>IFERROR('[2]Data Sheet'!H29,0)</f>
        <v>1485.81</v>
      </c>
      <c r="I37" s="9">
        <f>IFERROR('[2]Data Sheet'!I29,0)</f>
        <v>1781.77</v>
      </c>
      <c r="J37" s="9">
        <f>IFERROR('[2]Data Sheet'!J29,0)</f>
        <v>2331.8000000000002</v>
      </c>
      <c r="K37" s="9">
        <f>IFERROR('[2]Data Sheet'!K29,0)</f>
        <v>2898.8</v>
      </c>
      <c r="L37" s="9">
        <f>IFERROR(SUM('[2]Data Sheet'!H48:K48),0)</f>
        <v>2990</v>
      </c>
      <c r="M37" s="24"/>
    </row>
    <row r="38" spans="2:13">
      <c r="B38" s="35" t="s">
        <v>55</v>
      </c>
      <c r="C38" s="28">
        <f t="shared" ref="C38:L38" si="11">C37/C34</f>
        <v>0.37397150808328805</v>
      </c>
      <c r="D38" s="28">
        <f t="shared" si="11"/>
        <v>0.37688528804570948</v>
      </c>
      <c r="E38" s="28">
        <f t="shared" si="11"/>
        <v>0.4211875325097188</v>
      </c>
      <c r="F38" s="28">
        <f t="shared" si="11"/>
        <v>0.31269633735487773</v>
      </c>
      <c r="G38" s="28">
        <f t="shared" si="11"/>
        <v>0.32706798081680294</v>
      </c>
      <c r="H38" s="28">
        <f t="shared" si="11"/>
        <v>0.27739485698659727</v>
      </c>
      <c r="I38" s="28">
        <f t="shared" si="11"/>
        <v>0.30003103838447903</v>
      </c>
      <c r="J38" s="28">
        <f t="shared" si="11"/>
        <v>0.28482196286790828</v>
      </c>
      <c r="K38" s="28">
        <f t="shared" si="11"/>
        <v>0.32909934956865267</v>
      </c>
      <c r="L38" s="28">
        <f t="shared" si="11"/>
        <v>0.3148887913643369</v>
      </c>
      <c r="M38" s="24"/>
    </row>
    <row r="39" spans="2:13">
      <c r="C39" s="9"/>
      <c r="D39" s="9"/>
      <c r="E39" s="9"/>
      <c r="F39" s="9"/>
      <c r="G39" s="9"/>
      <c r="H39" s="9"/>
      <c r="I39" s="9"/>
      <c r="J39" s="9"/>
      <c r="K39" s="9"/>
      <c r="L39" s="9"/>
      <c r="M39" s="24"/>
    </row>
    <row r="40" spans="2:13">
      <c r="B40" s="34" t="s">
        <v>54</v>
      </c>
      <c r="C40" s="33">
        <f t="shared" ref="C40:L40" si="12">IFERROR(C34-C37,0)</f>
        <v>2524.5099356461515</v>
      </c>
      <c r="D40" s="33">
        <f t="shared" si="12"/>
        <v>2834.5799480363512</v>
      </c>
      <c r="E40" s="33">
        <f t="shared" si="12"/>
        <v>2786.9298524259025</v>
      </c>
      <c r="F40" s="33">
        <f t="shared" si="12"/>
        <v>3253.5098943802614</v>
      </c>
      <c r="G40" s="33">
        <f t="shared" si="12"/>
        <v>2848.3797599228301</v>
      </c>
      <c r="H40" s="33">
        <f t="shared" si="12"/>
        <v>3870.4897387215037</v>
      </c>
      <c r="I40" s="33">
        <f t="shared" si="12"/>
        <v>4156.8489162093465</v>
      </c>
      <c r="J40" s="33">
        <f t="shared" si="12"/>
        <v>5855.0686547933719</v>
      </c>
      <c r="K40" s="33">
        <f t="shared" si="12"/>
        <v>5909.482373694841</v>
      </c>
      <c r="L40" s="33">
        <f t="shared" si="12"/>
        <v>6505.4157848713949</v>
      </c>
      <c r="M40" s="24"/>
    </row>
    <row r="41" spans="2:13">
      <c r="B41" s="32" t="s">
        <v>53</v>
      </c>
      <c r="C41" s="31">
        <f t="shared" ref="C41:L41" si="13">C40/C13</f>
        <v>0.11604423939476818</v>
      </c>
      <c r="D41" s="31">
        <f t="shared" si="13"/>
        <v>0.11243902494121766</v>
      </c>
      <c r="E41" s="31">
        <f t="shared" si="13"/>
        <v>9.1803274907359442E-2</v>
      </c>
      <c r="F41" s="31">
        <f t="shared" si="13"/>
        <v>0.10874521057535221</v>
      </c>
      <c r="G41" s="31">
        <f t="shared" si="13"/>
        <v>0.10267732041877353</v>
      </c>
      <c r="H41" s="31">
        <f t="shared" si="13"/>
        <v>0.11677548962478489</v>
      </c>
      <c r="I41" s="31">
        <f t="shared" si="13"/>
        <v>0.11402566414639888</v>
      </c>
      <c r="J41" s="31">
        <f t="shared" si="13"/>
        <v>0.13048835624693972</v>
      </c>
      <c r="K41" s="31">
        <f t="shared" si="13"/>
        <v>0.11588458715087868</v>
      </c>
      <c r="L41" s="31">
        <f t="shared" si="13"/>
        <v>0.11896533264314191</v>
      </c>
      <c r="M41" s="24"/>
    </row>
    <row r="42" spans="2:13">
      <c r="C42" s="24"/>
      <c r="D42" s="24"/>
      <c r="E42" s="24"/>
      <c r="F42" s="24"/>
      <c r="G42" s="24"/>
      <c r="H42" s="24"/>
      <c r="I42" s="24"/>
      <c r="J42" s="24"/>
      <c r="K42" s="24"/>
      <c r="L42" s="24"/>
      <c r="M42" s="24"/>
    </row>
    <row r="43" spans="2:13">
      <c r="B43" s="1" t="s">
        <v>52</v>
      </c>
      <c r="C43" s="9">
        <f>IFERROR('[2]Data Sheet'!C93,0)</f>
        <v>28.94</v>
      </c>
      <c r="D43" s="9">
        <f>IFERROR('[2]Data Sheet'!D93,0)</f>
        <v>28.94</v>
      </c>
      <c r="E43" s="9">
        <f>IFERROR('[2]Data Sheet'!E93,0)</f>
        <v>28.94</v>
      </c>
      <c r="F43" s="9">
        <f>IFERROR('[2]Data Sheet'!F93,0)</f>
        <v>28.94</v>
      </c>
      <c r="G43" s="9">
        <f>IFERROR('[2]Data Sheet'!G93,0)</f>
        <v>28.94</v>
      </c>
      <c r="H43" s="9">
        <f>IFERROR('[2]Data Sheet'!H93,0)</f>
        <v>28.94</v>
      </c>
      <c r="I43" s="9">
        <f>IFERROR('[2]Data Sheet'!I93,0)</f>
        <v>28.3</v>
      </c>
      <c r="J43" s="9">
        <f>IFERROR('[2]Data Sheet'!J93,0)</f>
        <v>27.92</v>
      </c>
      <c r="K43" s="9">
        <f>IFERROR('[2]Data Sheet'!K93,0)</f>
        <v>27.93</v>
      </c>
      <c r="L43" s="9">
        <f>IFERROR(SUM('[2]Data Sheet'!H93:K93),0)</f>
        <v>113.09</v>
      </c>
      <c r="M43" s="24"/>
    </row>
    <row r="44" spans="2:13">
      <c r="C44" s="9"/>
      <c r="D44" s="9"/>
      <c r="E44" s="9"/>
      <c r="F44" s="9"/>
      <c r="G44" s="9"/>
      <c r="H44" s="9"/>
      <c r="I44" s="9"/>
      <c r="J44" s="9"/>
      <c r="K44" s="9"/>
      <c r="L44" s="9"/>
      <c r="M44" s="24"/>
    </row>
    <row r="45" spans="2:13">
      <c r="B45" s="1" t="s">
        <v>51</v>
      </c>
      <c r="C45" s="9">
        <f t="shared" ref="C45:L45" si="14">IFERROR(C40/C43,0)</f>
        <v>87.232547879963761</v>
      </c>
      <c r="D45" s="9">
        <f t="shared" si="14"/>
        <v>97.946784659169012</v>
      </c>
      <c r="E45" s="9">
        <f t="shared" si="14"/>
        <v>96.3002713346891</v>
      </c>
      <c r="F45" s="9">
        <f t="shared" si="14"/>
        <v>112.42259483000211</v>
      </c>
      <c r="G45" s="9">
        <f t="shared" si="14"/>
        <v>98.423626811431575</v>
      </c>
      <c r="H45" s="9">
        <f t="shared" si="14"/>
        <v>133.74187072292688</v>
      </c>
      <c r="I45" s="9">
        <f t="shared" si="14"/>
        <v>146.88512071411117</v>
      </c>
      <c r="J45" s="9">
        <f t="shared" si="14"/>
        <v>209.70876270749898</v>
      </c>
      <c r="K45" s="9">
        <f t="shared" si="14"/>
        <v>211.58189665932119</v>
      </c>
      <c r="L45" s="9">
        <f t="shared" si="14"/>
        <v>57.524235430819651</v>
      </c>
      <c r="M45" s="24"/>
    </row>
    <row r="46" spans="2:13">
      <c r="B46" s="29" t="s">
        <v>50</v>
      </c>
      <c r="C46" s="30"/>
      <c r="D46" s="28">
        <f t="shared" ref="D46:K46" si="15">D45/C45-1</f>
        <v>0.12282384315941974</v>
      </c>
      <c r="E46" s="28">
        <f t="shared" si="15"/>
        <v>-1.6810284586772029E-2</v>
      </c>
      <c r="F46" s="28">
        <f t="shared" si="15"/>
        <v>0.16741721774885021</v>
      </c>
      <c r="G46" s="28">
        <f t="shared" si="15"/>
        <v>-0.12452094741042785</v>
      </c>
      <c r="H46" s="28">
        <f t="shared" si="15"/>
        <v>0.3588390821968086</v>
      </c>
      <c r="I46" s="28">
        <f t="shared" si="15"/>
        <v>9.827326266740477E-2</v>
      </c>
      <c r="J46" s="28">
        <f t="shared" si="15"/>
        <v>0.42770596291821938</v>
      </c>
      <c r="K46" s="28">
        <f t="shared" si="15"/>
        <v>8.9320728787802839E-3</v>
      </c>
      <c r="L46" s="28">
        <f>L45/I45</f>
        <v>0.39162738302664124</v>
      </c>
      <c r="M46" s="24"/>
    </row>
    <row r="47" spans="2:13">
      <c r="C47" s="24"/>
      <c r="D47" s="24"/>
      <c r="E47" s="24"/>
      <c r="F47" s="24"/>
      <c r="G47" s="24"/>
      <c r="H47" s="24"/>
      <c r="I47" s="24"/>
      <c r="J47" s="24"/>
      <c r="K47" s="24"/>
      <c r="L47" s="24"/>
      <c r="M47" s="24"/>
    </row>
    <row r="48" spans="2:13">
      <c r="B48" s="1" t="s">
        <v>49</v>
      </c>
      <c r="C48" s="9">
        <f>IFERROR('[2]Data Sheet'!C31/'Historical FS'!C43,0)</f>
        <v>54.994471319972355</v>
      </c>
      <c r="D48" s="9">
        <f>IFERROR('[2]Data Sheet'!D31/'Historical FS'!D43,0)</f>
        <v>59.993780234968902</v>
      </c>
      <c r="E48" s="9">
        <f>IFERROR('[2]Data Sheet'!E31/'Historical FS'!E43,0)</f>
        <v>59.993780234968902</v>
      </c>
      <c r="F48" s="9">
        <f>IFERROR('[2]Data Sheet'!F31/'Historical FS'!F43,0)</f>
        <v>119.9875604699378</v>
      </c>
      <c r="G48" s="9">
        <f>IFERROR('[2]Data Sheet'!G31/'Historical FS'!G43,0)</f>
        <v>139.98548721492742</v>
      </c>
      <c r="H48" s="9">
        <f>IFERROR('[2]Data Sheet'!H31/'Historical FS'!H43,0)</f>
        <v>139.98548721492742</v>
      </c>
      <c r="I48" s="9">
        <f>IFERROR('[2]Data Sheet'!I31/'Historical FS'!I43,0)</f>
        <v>139.98021201413428</v>
      </c>
      <c r="J48" s="9">
        <f>IFERROR('[2]Data Sheet'!J31/'Historical FS'!J43,0)</f>
        <v>79.994269340974213</v>
      </c>
      <c r="K48" s="9">
        <f>IFERROR('[2]Data Sheet'!K31/'Historical FS'!K43,0)</f>
        <v>209.96992481203009</v>
      </c>
      <c r="L48" s="9">
        <f>IFERROR('[2]Data Sheet'!J31/'Historical FS'!L43,0)</f>
        <v>19.749226279954019</v>
      </c>
      <c r="M48" s="24"/>
    </row>
    <row r="49" spans="1:13">
      <c r="B49" s="29" t="s">
        <v>48</v>
      </c>
      <c r="C49" s="28">
        <f t="shared" ref="C49:L49" si="16">IFERROR(C48/C45,0)</f>
        <v>0.63043522924089557</v>
      </c>
      <c r="D49" s="28">
        <f t="shared" si="16"/>
        <v>0.61251403447017339</v>
      </c>
      <c r="E49" s="28">
        <f t="shared" si="16"/>
        <v>0.62298661679220069</v>
      </c>
      <c r="F49" s="28">
        <f t="shared" si="16"/>
        <v>1.0672904379353183</v>
      </c>
      <c r="G49" s="28">
        <f t="shared" si="16"/>
        <v>1.4222752376634487</v>
      </c>
      <c r="H49" s="28">
        <f t="shared" si="16"/>
        <v>1.0466840822417942</v>
      </c>
      <c r="I49" s="28">
        <f t="shared" si="16"/>
        <v>0.95299109490187095</v>
      </c>
      <c r="J49" s="28">
        <f t="shared" si="16"/>
        <v>0.38145410953833114</v>
      </c>
      <c r="K49" s="28">
        <f t="shared" si="16"/>
        <v>0.99238133378732951</v>
      </c>
      <c r="L49" s="28">
        <f t="shared" si="16"/>
        <v>0.34332010033762245</v>
      </c>
      <c r="M49" s="24"/>
    </row>
    <row r="50" spans="1:13">
      <c r="C50" s="24"/>
      <c r="D50" s="24"/>
      <c r="E50" s="24"/>
      <c r="F50" s="24"/>
      <c r="G50" s="24"/>
      <c r="H50" s="24"/>
      <c r="I50" s="24"/>
      <c r="J50" s="24"/>
      <c r="K50" s="24"/>
      <c r="L50" s="24"/>
      <c r="M50" s="24"/>
    </row>
    <row r="51" spans="1:13">
      <c r="B51" s="1" t="s">
        <v>47</v>
      </c>
      <c r="C51" s="27">
        <f t="shared" ref="C51:L51" si="17">IFERROR(1-C49,0)</f>
        <v>0.36956477075910443</v>
      </c>
      <c r="D51" s="27">
        <f t="shared" si="17"/>
        <v>0.38748596552982661</v>
      </c>
      <c r="E51" s="27">
        <f t="shared" si="17"/>
        <v>0.37701338320779931</v>
      </c>
      <c r="F51" s="27">
        <f t="shared" si="17"/>
        <v>-6.7290437935318304E-2</v>
      </c>
      <c r="G51" s="27">
        <f t="shared" si="17"/>
        <v>-0.42227523766344865</v>
      </c>
      <c r="H51" s="27">
        <f t="shared" si="17"/>
        <v>-4.6684082241794211E-2</v>
      </c>
      <c r="I51" s="27">
        <f t="shared" si="17"/>
        <v>4.700890509812905E-2</v>
      </c>
      <c r="J51" s="27">
        <f t="shared" si="17"/>
        <v>0.61854589046166886</v>
      </c>
      <c r="K51" s="27">
        <f t="shared" si="17"/>
        <v>7.6186662126704885E-3</v>
      </c>
      <c r="L51" s="27">
        <f t="shared" si="17"/>
        <v>0.6566798996623775</v>
      </c>
      <c r="M51" s="24"/>
    </row>
    <row r="52" spans="1:13">
      <c r="C52" s="24"/>
      <c r="D52" s="24"/>
      <c r="E52" s="24"/>
      <c r="F52" s="24"/>
      <c r="G52" s="24"/>
      <c r="H52" s="24"/>
      <c r="I52" s="24"/>
      <c r="J52" s="24"/>
      <c r="K52" s="24"/>
      <c r="L52" s="24"/>
      <c r="M52" s="24"/>
    </row>
    <row r="53" spans="1:13">
      <c r="B53" s="23" t="s">
        <v>46</v>
      </c>
      <c r="C53" s="22"/>
      <c r="D53" s="21"/>
      <c r="E53" s="21"/>
      <c r="F53" s="21"/>
      <c r="G53" s="21"/>
      <c r="H53" s="21"/>
      <c r="I53" s="21"/>
      <c r="J53" s="21"/>
      <c r="K53" s="21"/>
      <c r="L53" s="21"/>
      <c r="M53" s="24"/>
    </row>
    <row r="54" spans="1:13">
      <c r="C54" s="24"/>
      <c r="D54" s="24"/>
      <c r="E54" s="24"/>
      <c r="F54" s="24"/>
      <c r="G54" s="24"/>
      <c r="H54" s="24"/>
      <c r="I54" s="24"/>
      <c r="J54" s="24"/>
      <c r="K54" s="24"/>
      <c r="L54" s="24"/>
      <c r="M54" s="24"/>
    </row>
    <row r="55" spans="1:13">
      <c r="B55" s="1" t="s">
        <v>45</v>
      </c>
      <c r="C55" s="9">
        <f>IFERROR('[2]Data Sheet'!C57,0)</f>
        <v>289.37</v>
      </c>
      <c r="D55" s="9">
        <f>IFERROR('[2]Data Sheet'!D57,0)</f>
        <v>289.37</v>
      </c>
      <c r="E55" s="9">
        <f>IFERROR('[2]Data Sheet'!E57,0)</f>
        <v>289.37</v>
      </c>
      <c r="F55" s="9">
        <f>IFERROR('[2]Data Sheet'!F57,0)</f>
        <v>289.37</v>
      </c>
      <c r="G55" s="9">
        <f>IFERROR('[2]Data Sheet'!G57,0)</f>
        <v>289.37</v>
      </c>
      <c r="H55" s="9">
        <f>IFERROR('[2]Data Sheet'!H57,0)</f>
        <v>289.37</v>
      </c>
      <c r="I55" s="9">
        <f>IFERROR('[2]Data Sheet'!I57,0)</f>
        <v>282.95999999999998</v>
      </c>
      <c r="J55" s="9">
        <f>IFERROR('[2]Data Sheet'!J57,0)</f>
        <v>279.18</v>
      </c>
      <c r="K55" s="9">
        <f>IFERROR('[2]Data Sheet'!K57,0)</f>
        <v>279.26</v>
      </c>
      <c r="L55" s="24"/>
      <c r="M55" s="24"/>
    </row>
    <row r="56" spans="1:13">
      <c r="A56" s="26" t="s">
        <v>44</v>
      </c>
      <c r="B56" s="1" t="s">
        <v>43</v>
      </c>
      <c r="C56" s="9">
        <f>IFERROR('[2]Data Sheet'!C58,0)</f>
        <v>17567.2</v>
      </c>
      <c r="D56" s="9">
        <f>IFERROR('[2]Data Sheet'!D58,0)</f>
        <v>20135.87</v>
      </c>
      <c r="E56" s="9">
        <f>IFERROR('[2]Data Sheet'!E58,0)</f>
        <v>22944.44</v>
      </c>
      <c r="F56" s="9">
        <f>IFERROR('[2]Data Sheet'!F58,0)</f>
        <v>21372.71</v>
      </c>
      <c r="G56" s="9">
        <f>IFERROR('[2]Data Sheet'!G58,0)</f>
        <v>26984.06</v>
      </c>
      <c r="H56" s="9">
        <f>IFERROR('[2]Data Sheet'!H58,0)</f>
        <v>29570.28</v>
      </c>
      <c r="I56" s="9">
        <f>IFERROR('[2]Data Sheet'!I58,0)</f>
        <v>29078.58</v>
      </c>
      <c r="J56" s="9">
        <f>IFERROR('[2]Data Sheet'!J58,0)</f>
        <v>28683.23</v>
      </c>
      <c r="K56" s="9">
        <f>IFERROR('[2]Data Sheet'!K58,0)</f>
        <v>34909.480000000003</v>
      </c>
      <c r="L56" s="24"/>
      <c r="M56" s="24"/>
    </row>
    <row r="57" spans="1:13">
      <c r="B57" s="1" t="s">
        <v>42</v>
      </c>
      <c r="C57" s="9">
        <f>IFERROR('[2]Data Sheet'!C59,0)</f>
        <v>119.9</v>
      </c>
      <c r="D57" s="9">
        <f>IFERROR('[2]Data Sheet'!D59,0)</f>
        <v>120.77</v>
      </c>
      <c r="E57" s="9">
        <f>IFERROR('[2]Data Sheet'!E59,0)</f>
        <v>124.52</v>
      </c>
      <c r="F57" s="9">
        <f>IFERROR('[2]Data Sheet'!F59,0)</f>
        <v>125.59</v>
      </c>
      <c r="G57" s="9">
        <f>IFERROR('[2]Data Sheet'!G59,0)</f>
        <v>121.46</v>
      </c>
      <c r="H57" s="9">
        <f>IFERROR('[2]Data Sheet'!H59,0)</f>
        <v>122.77</v>
      </c>
      <c r="I57" s="9">
        <f>IFERROR('[2]Data Sheet'!I59,0)</f>
        <v>124.23</v>
      </c>
      <c r="J57" s="9">
        <f>IFERROR('[2]Data Sheet'!J59,0)</f>
        <v>1911.74</v>
      </c>
      <c r="K57" s="9">
        <f>IFERROR('[2]Data Sheet'!K59,0)</f>
        <v>9364.16</v>
      </c>
      <c r="L57" s="24"/>
      <c r="M57" s="24"/>
    </row>
    <row r="58" spans="1:13">
      <c r="B58" s="1" t="s">
        <v>41</v>
      </c>
      <c r="C58" s="9">
        <f>IFERROR('[2]Data Sheet'!C60,0)</f>
        <v>3661.15</v>
      </c>
      <c r="D58" s="9">
        <f>IFERROR('[2]Data Sheet'!D60,0)</f>
        <v>4594.99</v>
      </c>
      <c r="E58" s="9">
        <f>IFERROR('[2]Data Sheet'!E60,0)</f>
        <v>5476.08</v>
      </c>
      <c r="F58" s="9">
        <f>IFERROR('[2]Data Sheet'!F60,0)</f>
        <v>4722.3500000000004</v>
      </c>
      <c r="G58" s="9">
        <f>IFERROR('[2]Data Sheet'!G60,0)</f>
        <v>6206.82</v>
      </c>
      <c r="H58" s="9">
        <f>IFERROR('[2]Data Sheet'!H60,0)</f>
        <v>5128.79</v>
      </c>
      <c r="I58" s="9">
        <f>IFERROR('[2]Data Sheet'!I60,0)</f>
        <v>5650.68</v>
      </c>
      <c r="J58" s="9">
        <f>IFERROR('[2]Data Sheet'!J60,0)</f>
        <v>8469.5400000000009</v>
      </c>
      <c r="K58" s="9">
        <f>IFERROR('[2]Data Sheet'!K60,0)</f>
        <v>9557.02</v>
      </c>
      <c r="L58" s="24"/>
      <c r="M58" s="24"/>
    </row>
    <row r="59" spans="1:13">
      <c r="B59" s="8" t="s">
        <v>40</v>
      </c>
      <c r="C59" s="7">
        <f t="shared" ref="C59:K59" si="18">IFERROR(SUM(C55:C58),0)</f>
        <v>21637.620000000003</v>
      </c>
      <c r="D59" s="7">
        <f t="shared" si="18"/>
        <v>25141</v>
      </c>
      <c r="E59" s="7">
        <f t="shared" si="18"/>
        <v>28834.409999999996</v>
      </c>
      <c r="F59" s="7">
        <f t="shared" si="18"/>
        <v>26510.019999999997</v>
      </c>
      <c r="G59" s="7">
        <f t="shared" si="18"/>
        <v>33601.71</v>
      </c>
      <c r="H59" s="7">
        <f t="shared" si="18"/>
        <v>35111.21</v>
      </c>
      <c r="I59" s="6">
        <f t="shared" si="18"/>
        <v>35136.449999999997</v>
      </c>
      <c r="J59" s="6">
        <f t="shared" si="18"/>
        <v>39343.69</v>
      </c>
      <c r="K59" s="6">
        <f t="shared" si="18"/>
        <v>54109.920000000013</v>
      </c>
      <c r="L59" s="24"/>
      <c r="M59" s="24"/>
    </row>
    <row r="60" spans="1:13">
      <c r="C60" s="24"/>
      <c r="D60" s="24"/>
      <c r="E60" s="24"/>
      <c r="F60" s="24"/>
      <c r="G60" s="24"/>
      <c r="H60" s="24"/>
      <c r="I60" s="24"/>
      <c r="J60" s="24"/>
      <c r="K60" s="24"/>
      <c r="L60" s="24"/>
      <c r="M60" s="24"/>
    </row>
    <row r="61" spans="1:13">
      <c r="B61" s="1" t="s">
        <v>39</v>
      </c>
      <c r="C61" s="9">
        <f>IFERROR('[2]Data Sheet'!C62,0)</f>
        <v>2001.79</v>
      </c>
      <c r="D61" s="9">
        <f>IFERROR('[2]Data Sheet'!D62,0)</f>
        <v>1878.33</v>
      </c>
      <c r="E61" s="9">
        <f>IFERROR('[2]Data Sheet'!E62,0)</f>
        <v>1763.94</v>
      </c>
      <c r="F61" s="9">
        <f>IFERROR('[2]Data Sheet'!F62,0)</f>
        <v>1699.02</v>
      </c>
      <c r="G61" s="9">
        <f>IFERROR('[2]Data Sheet'!G62,0)</f>
        <v>1667.55</v>
      </c>
      <c r="H61" s="9">
        <f>IFERROR('[2]Data Sheet'!H62,0)</f>
        <v>1836.05</v>
      </c>
      <c r="I61" s="9">
        <f>IFERROR('[2]Data Sheet'!I62,0)</f>
        <v>2842.24</v>
      </c>
      <c r="J61" s="9">
        <f>IFERROR('[2]Data Sheet'!J62,0)</f>
        <v>3217.37</v>
      </c>
      <c r="K61" s="9">
        <f>IFERROR('[2]Data Sheet'!K62,0)</f>
        <v>3676.59</v>
      </c>
      <c r="L61" s="24"/>
      <c r="M61" s="24"/>
    </row>
    <row r="62" spans="1:13">
      <c r="B62" s="1" t="s">
        <v>38</v>
      </c>
      <c r="C62" s="9">
        <f>IFERROR('[2]Data Sheet'!C63,0)</f>
        <v>42.17</v>
      </c>
      <c r="D62" s="9">
        <f>IFERROR('[2]Data Sheet'!D63,0)</f>
        <v>56.47</v>
      </c>
      <c r="E62" s="9">
        <f>IFERROR('[2]Data Sheet'!E63,0)</f>
        <v>48.02</v>
      </c>
      <c r="F62" s="9">
        <f>IFERROR('[2]Data Sheet'!F63,0)</f>
        <v>60.19</v>
      </c>
      <c r="G62" s="9">
        <f>IFERROR('[2]Data Sheet'!G63,0)</f>
        <v>15.98</v>
      </c>
      <c r="H62" s="9">
        <f>IFERROR('[2]Data Sheet'!H63,0)</f>
        <v>77.209999999999994</v>
      </c>
      <c r="I62" s="9">
        <f>IFERROR('[2]Data Sheet'!I63,0)</f>
        <v>85.27</v>
      </c>
      <c r="J62" s="9">
        <f>IFERROR('[2]Data Sheet'!J63,0)</f>
        <v>35.1</v>
      </c>
      <c r="K62" s="9">
        <f>IFERROR('[2]Data Sheet'!K63,0)</f>
        <v>60.8</v>
      </c>
      <c r="L62" s="24"/>
      <c r="M62" s="24"/>
    </row>
    <row r="63" spans="1:13">
      <c r="B63" s="1" t="s">
        <v>37</v>
      </c>
      <c r="C63" s="9">
        <f>IFERROR('[2]Data Sheet'!C64,0)</f>
        <v>15477.04</v>
      </c>
      <c r="D63" s="9">
        <f>IFERROR('[2]Data Sheet'!D64,0)</f>
        <v>18894.57</v>
      </c>
      <c r="E63" s="9">
        <f>IFERROR('[2]Data Sheet'!E64,0)</f>
        <v>20602.849999999999</v>
      </c>
      <c r="F63" s="9">
        <f>IFERROR('[2]Data Sheet'!F64,0)</f>
        <v>19913.580000000002</v>
      </c>
      <c r="G63" s="9">
        <f>IFERROR('[2]Data Sheet'!G64,0)</f>
        <v>24686.65</v>
      </c>
      <c r="H63" s="9">
        <f>IFERROR('[2]Data Sheet'!H64,0)</f>
        <v>26634.12</v>
      </c>
      <c r="I63" s="9">
        <f>IFERROR('[2]Data Sheet'!I64,0)</f>
        <v>26182.91</v>
      </c>
      <c r="J63" s="9">
        <f>IFERROR('[2]Data Sheet'!J64,0)</f>
        <v>28086.68</v>
      </c>
      <c r="K63" s="9">
        <f>IFERROR('[2]Data Sheet'!K64,0)</f>
        <v>28913.87</v>
      </c>
      <c r="L63" s="24"/>
      <c r="M63" s="24"/>
    </row>
    <row r="64" spans="1:13">
      <c r="B64" s="1" t="s">
        <v>36</v>
      </c>
      <c r="C64" s="9">
        <f>IFERROR('[2]Data Sheet'!C65-SUM(C67:C69),0)</f>
        <v>2133.5899999999997</v>
      </c>
      <c r="D64" s="9">
        <f>IFERROR('[2]Data Sheet'!D65-SUM(D67:D69),0)</f>
        <v>1284.5200000000004</v>
      </c>
      <c r="E64" s="9">
        <f>IFERROR('[2]Data Sheet'!E65-SUM(E67:E69),0)</f>
        <v>1965.3300000000008</v>
      </c>
      <c r="F64" s="9">
        <f>IFERROR('[2]Data Sheet'!F65-SUM(F67:F69),0)</f>
        <v>1732.2899999999995</v>
      </c>
      <c r="G64" s="9">
        <f>IFERROR('[2]Data Sheet'!G65-SUM(G67:G69),0)</f>
        <v>2481.9499999999998</v>
      </c>
      <c r="H64" s="9">
        <f>IFERROR('[2]Data Sheet'!H65-SUM(H67:H69),0)</f>
        <v>2858.8799999999997</v>
      </c>
      <c r="I64" s="9">
        <f>IFERROR('[2]Data Sheet'!I65-SUM(I67:I69),0)</f>
        <v>2019.5699999999997</v>
      </c>
      <c r="J64" s="9">
        <f>IFERROR('[2]Data Sheet'!J65-SUM(J67:J69),0)</f>
        <v>3284.9399999999996</v>
      </c>
      <c r="K64" s="9">
        <f>IFERROR('[2]Data Sheet'!K65-SUM(K67:K69),0)</f>
        <v>14408.48</v>
      </c>
      <c r="L64" s="24"/>
      <c r="M64" s="24"/>
    </row>
    <row r="65" spans="1:13">
      <c r="B65" s="8" t="s">
        <v>35</v>
      </c>
      <c r="C65" s="7">
        <f t="shared" ref="C65:K65" si="19">IFERROR(SUM(C61:C64),0)</f>
        <v>19654.59</v>
      </c>
      <c r="D65" s="7">
        <f t="shared" si="19"/>
        <v>22113.89</v>
      </c>
      <c r="E65" s="7">
        <f t="shared" si="19"/>
        <v>24380.14</v>
      </c>
      <c r="F65" s="7">
        <f t="shared" si="19"/>
        <v>23405.08</v>
      </c>
      <c r="G65" s="7">
        <f t="shared" si="19"/>
        <v>28852.13</v>
      </c>
      <c r="H65" s="7">
        <f t="shared" si="19"/>
        <v>31406.26</v>
      </c>
      <c r="I65" s="6">
        <f t="shared" si="19"/>
        <v>31129.989999999998</v>
      </c>
      <c r="J65" s="6">
        <f t="shared" si="19"/>
        <v>34624.090000000004</v>
      </c>
      <c r="K65" s="6">
        <f t="shared" si="19"/>
        <v>47059.74</v>
      </c>
      <c r="L65" s="24"/>
      <c r="M65" s="24"/>
    </row>
    <row r="66" spans="1:13">
      <c r="B66" s="25"/>
      <c r="C66" s="24"/>
      <c r="D66" s="24"/>
      <c r="E66" s="24"/>
      <c r="F66" s="24"/>
      <c r="G66" s="24"/>
      <c r="H66" s="24"/>
      <c r="I66" s="24"/>
      <c r="J66" s="24"/>
      <c r="K66" s="24"/>
      <c r="L66" s="24"/>
      <c r="M66" s="24"/>
    </row>
    <row r="67" spans="1:13">
      <c r="B67" s="1" t="s">
        <v>26</v>
      </c>
      <c r="C67" s="9">
        <f>IFERROR('[2]Data Sheet'!C67,0)</f>
        <v>953.29</v>
      </c>
      <c r="D67" s="9">
        <f>IFERROR('[2]Data Sheet'!D67,0)</f>
        <v>1491.87</v>
      </c>
      <c r="E67" s="9">
        <f>IFERROR('[2]Data Sheet'!E67,0)</f>
        <v>2559.69</v>
      </c>
      <c r="F67" s="9">
        <f>IFERROR('[2]Data Sheet'!F67,0)</f>
        <v>1725.1</v>
      </c>
      <c r="G67" s="9">
        <f>IFERROR('[2]Data Sheet'!G67,0)</f>
        <v>2716.85</v>
      </c>
      <c r="H67" s="9">
        <f>IFERROR('[2]Data Sheet'!H67,0)</f>
        <v>1516.38</v>
      </c>
      <c r="I67" s="9">
        <f>IFERROR('[2]Data Sheet'!I67,0)</f>
        <v>1752.43</v>
      </c>
      <c r="J67" s="9">
        <f>IFERROR('[2]Data Sheet'!J67,0)</f>
        <v>2075.5300000000002</v>
      </c>
      <c r="K67" s="9">
        <f>IFERROR('[2]Data Sheet'!K67,0)</f>
        <v>2125.2199999999998</v>
      </c>
      <c r="L67" s="24"/>
      <c r="M67" s="24"/>
    </row>
    <row r="68" spans="1:13">
      <c r="B68" s="1" t="s">
        <v>25</v>
      </c>
      <c r="C68" s="9">
        <f>IFERROR('[2]Data Sheet'!C68,0)</f>
        <v>728.38</v>
      </c>
      <c r="D68" s="9">
        <f>IFERROR('[2]Data Sheet'!D68,0)</f>
        <v>742.58</v>
      </c>
      <c r="E68" s="9">
        <f>IFERROR('[2]Data Sheet'!E68,0)</f>
        <v>961.51</v>
      </c>
      <c r="F68" s="9">
        <f>IFERROR('[2]Data Sheet'!F68,0)</f>
        <v>1063.5</v>
      </c>
      <c r="G68" s="9">
        <f>IFERROR('[2]Data Sheet'!G68,0)</f>
        <v>1493.89</v>
      </c>
      <c r="H68" s="9">
        <f>IFERROR('[2]Data Sheet'!H68,0)</f>
        <v>1230.51</v>
      </c>
      <c r="I68" s="9">
        <f>IFERROR('[2]Data Sheet'!I68,0)</f>
        <v>1563.55</v>
      </c>
      <c r="J68" s="9">
        <f>IFERROR('[2]Data Sheet'!J68,0)</f>
        <v>1688.75</v>
      </c>
      <c r="K68" s="9">
        <f>IFERROR('[2]Data Sheet'!K68,0)</f>
        <v>2077.36</v>
      </c>
      <c r="L68" s="24"/>
      <c r="M68" s="24"/>
    </row>
    <row r="69" spans="1:13">
      <c r="B69" s="1" t="s">
        <v>34</v>
      </c>
      <c r="C69" s="9">
        <f>IFERROR('[2]Data Sheet'!C69,0)</f>
        <v>301.36</v>
      </c>
      <c r="D69" s="9">
        <f>IFERROR('[2]Data Sheet'!D69,0)</f>
        <v>792.66</v>
      </c>
      <c r="E69" s="9">
        <f>IFERROR('[2]Data Sheet'!E69,0)</f>
        <v>933.07</v>
      </c>
      <c r="F69" s="9">
        <f>IFERROR('[2]Data Sheet'!F69,0)</f>
        <v>316.33999999999997</v>
      </c>
      <c r="G69" s="9">
        <f>IFERROR('[2]Data Sheet'!G69,0)</f>
        <v>538.84</v>
      </c>
      <c r="H69" s="9">
        <f>IFERROR('[2]Data Sheet'!H69,0)</f>
        <v>958.06</v>
      </c>
      <c r="I69" s="9">
        <f>IFERROR('[2]Data Sheet'!I69,0)</f>
        <v>690.48</v>
      </c>
      <c r="J69" s="9">
        <f>IFERROR('[2]Data Sheet'!J69,0)</f>
        <v>955.32</v>
      </c>
      <c r="K69" s="9">
        <f>IFERROR('[2]Data Sheet'!K69,0)</f>
        <v>2847.6</v>
      </c>
      <c r="L69" s="24"/>
      <c r="M69" s="24"/>
    </row>
    <row r="70" spans="1:13">
      <c r="B70" s="8" t="s">
        <v>33</v>
      </c>
      <c r="C70" s="7">
        <f t="shared" ref="C70:K70" si="20">IFERROR(SUM(C67:C69),0)</f>
        <v>1983.0300000000002</v>
      </c>
      <c r="D70" s="7">
        <f t="shared" si="20"/>
        <v>3027.1099999999997</v>
      </c>
      <c r="E70" s="7">
        <f t="shared" si="20"/>
        <v>4454.2699999999995</v>
      </c>
      <c r="F70" s="7">
        <f t="shared" si="20"/>
        <v>3104.94</v>
      </c>
      <c r="G70" s="7">
        <f t="shared" si="20"/>
        <v>4749.58</v>
      </c>
      <c r="H70" s="7">
        <f t="shared" si="20"/>
        <v>3704.9500000000003</v>
      </c>
      <c r="I70" s="6">
        <f t="shared" si="20"/>
        <v>4006.46</v>
      </c>
      <c r="J70" s="6">
        <f t="shared" si="20"/>
        <v>4719.6000000000004</v>
      </c>
      <c r="K70" s="6">
        <f t="shared" si="20"/>
        <v>7050.18</v>
      </c>
      <c r="L70" s="24"/>
      <c r="M70" s="24"/>
    </row>
    <row r="71" spans="1:13">
      <c r="C71" s="24"/>
      <c r="D71" s="24"/>
      <c r="E71" s="24"/>
      <c r="F71" s="24"/>
      <c r="G71" s="24"/>
      <c r="H71" s="24"/>
      <c r="I71" s="24"/>
      <c r="J71" s="24"/>
      <c r="K71" s="24"/>
      <c r="L71" s="24"/>
      <c r="M71" s="24"/>
    </row>
    <row r="72" spans="1:13">
      <c r="B72" s="5" t="s">
        <v>32</v>
      </c>
      <c r="C72" s="4">
        <f t="shared" ref="C72:K72" si="21">IFERROR(C70+C65,0)</f>
        <v>21637.62</v>
      </c>
      <c r="D72" s="4">
        <f t="shared" si="21"/>
        <v>25141</v>
      </c>
      <c r="E72" s="4">
        <f t="shared" si="21"/>
        <v>28834.41</v>
      </c>
      <c r="F72" s="4">
        <f t="shared" si="21"/>
        <v>26510.02</v>
      </c>
      <c r="G72" s="4">
        <f t="shared" si="21"/>
        <v>33601.71</v>
      </c>
      <c r="H72" s="4">
        <f t="shared" si="21"/>
        <v>35111.21</v>
      </c>
      <c r="I72" s="4">
        <f t="shared" si="21"/>
        <v>35136.449999999997</v>
      </c>
      <c r="J72" s="4">
        <f t="shared" si="21"/>
        <v>39343.69</v>
      </c>
      <c r="K72" s="4">
        <f t="shared" si="21"/>
        <v>54109.919999999998</v>
      </c>
      <c r="M72" s="24"/>
    </row>
    <row r="73" spans="1:13">
      <c r="M73" s="24"/>
    </row>
    <row r="74" spans="1:13">
      <c r="B74" s="25" t="s">
        <v>31</v>
      </c>
      <c r="C74" s="1" t="b">
        <f t="shared" ref="C74:K74" si="22">C72=C59</f>
        <v>1</v>
      </c>
      <c r="D74" s="1" t="b">
        <f t="shared" si="22"/>
        <v>1</v>
      </c>
      <c r="E74" s="1" t="b">
        <f t="shared" si="22"/>
        <v>1</v>
      </c>
      <c r="F74" s="1" t="b">
        <f t="shared" si="22"/>
        <v>1</v>
      </c>
      <c r="G74" s="1" t="b">
        <f t="shared" si="22"/>
        <v>1</v>
      </c>
      <c r="H74" s="1" t="b">
        <f t="shared" si="22"/>
        <v>1</v>
      </c>
      <c r="I74" s="1" t="b">
        <f t="shared" si="22"/>
        <v>1</v>
      </c>
      <c r="J74" s="1" t="b">
        <f t="shared" si="22"/>
        <v>1</v>
      </c>
      <c r="K74" s="1" t="b">
        <f t="shared" si="22"/>
        <v>1</v>
      </c>
      <c r="M74" s="24"/>
    </row>
    <row r="76" spans="1:13">
      <c r="B76" s="23" t="s">
        <v>30</v>
      </c>
      <c r="C76" s="22"/>
      <c r="D76" s="21"/>
      <c r="E76" s="21"/>
      <c r="F76" s="21"/>
      <c r="G76" s="21"/>
      <c r="H76" s="21"/>
      <c r="I76" s="21"/>
      <c r="J76" s="21"/>
      <c r="K76" s="21"/>
      <c r="L76" s="21"/>
    </row>
    <row r="77" spans="1:13">
      <c r="B77" s="20"/>
      <c r="C77" s="19"/>
      <c r="D77" s="18"/>
      <c r="E77" s="18"/>
      <c r="F77" s="18"/>
      <c r="G77" s="18"/>
      <c r="H77" s="18"/>
      <c r="I77" s="18"/>
      <c r="J77" s="18"/>
      <c r="K77" s="18"/>
      <c r="L77" s="18"/>
    </row>
    <row r="78" spans="1:13">
      <c r="B78" s="15" t="s">
        <v>29</v>
      </c>
      <c r="C78" s="9"/>
      <c r="D78" s="9"/>
      <c r="E78" s="9"/>
      <c r="F78" s="9"/>
      <c r="G78" s="9"/>
      <c r="H78" s="9"/>
      <c r="I78" s="9"/>
      <c r="J78" s="9"/>
      <c r="K78" s="9"/>
    </row>
    <row r="79" spans="1:13">
      <c r="A79" s="1" t="s">
        <v>28</v>
      </c>
      <c r="B79" s="12" t="s">
        <v>27</v>
      </c>
      <c r="C79" s="9">
        <v>4613</v>
      </c>
      <c r="D79" s="9">
        <f>IFERROR('[2]Cash Flow Data'!E10,0)</f>
        <v>4922</v>
      </c>
      <c r="E79" s="9">
        <f>IFERROR('[2]Cash Flow Data'!F10,0)</f>
        <v>5249</v>
      </c>
      <c r="F79" s="9">
        <f>IFERROR('[2]Cash Flow Data'!G10,0)</f>
        <v>5163</v>
      </c>
      <c r="G79" s="9">
        <f>IFERROR('[2]Cash Flow Data'!H10,0)</f>
        <v>4961</v>
      </c>
      <c r="H79" s="9">
        <f>IFERROR('[2]Cash Flow Data'!I10,0)</f>
        <v>5300</v>
      </c>
      <c r="I79" s="9">
        <f>IFERROR('[2]Cash Flow Data'!J10,0)</f>
        <v>6609</v>
      </c>
      <c r="J79" s="9">
        <f>IFERROR('[2]Cash Flow Data'!K10,0)</f>
        <v>8784</v>
      </c>
      <c r="K79" s="9">
        <f>IFERROR('[2]Cash Flow Data'!L10,0)</f>
        <v>10404</v>
      </c>
      <c r="L79" s="16"/>
    </row>
    <row r="80" spans="1:13" s="17" customFormat="1">
      <c r="B80" s="12" t="s">
        <v>26</v>
      </c>
      <c r="C80" s="9">
        <v>-241</v>
      </c>
      <c r="D80" s="9">
        <f>IFERROR('[2]Cash Flow Data'!E11,0)</f>
        <v>-539</v>
      </c>
      <c r="E80" s="9">
        <f>IFERROR('[2]Cash Flow Data'!F11,0)</f>
        <v>-1070</v>
      </c>
      <c r="F80" s="9">
        <f>IFERROR('[2]Cash Flow Data'!G11,0)</f>
        <v>829</v>
      </c>
      <c r="G80" s="9">
        <f>IFERROR('[2]Cash Flow Data'!H11,0)</f>
        <v>-1002</v>
      </c>
      <c r="H80" s="9">
        <f>IFERROR('[2]Cash Flow Data'!I11,0)</f>
        <v>1203</v>
      </c>
      <c r="I80" s="9">
        <f>IFERROR('[2]Cash Flow Data'!J11,0)</f>
        <v>-243</v>
      </c>
      <c r="J80" s="9">
        <f>IFERROR('[2]Cash Flow Data'!K11,0)</f>
        <v>-293</v>
      </c>
      <c r="K80" s="9">
        <f>IFERROR('[2]Cash Flow Data'!L11,0)</f>
        <v>-52</v>
      </c>
      <c r="L80" s="1"/>
    </row>
    <row r="81" spans="2:12">
      <c r="B81" s="12" t="s">
        <v>25</v>
      </c>
      <c r="C81" s="9">
        <v>-9</v>
      </c>
      <c r="D81" s="9">
        <f>IFERROR('[2]Cash Flow Data'!E12,0)</f>
        <v>-14</v>
      </c>
      <c r="E81" s="9">
        <f>IFERROR('[2]Cash Flow Data'!F12,0)</f>
        <v>-219</v>
      </c>
      <c r="F81" s="9">
        <f>IFERROR('[2]Cash Flow Data'!G12,0)</f>
        <v>-102</v>
      </c>
      <c r="G81" s="9">
        <f>IFERROR('[2]Cash Flow Data'!H12,0)</f>
        <v>-430</v>
      </c>
      <c r="H81" s="9">
        <f>IFERROR('[2]Cash Flow Data'!I12,0)</f>
        <v>263</v>
      </c>
      <c r="I81" s="9">
        <f>IFERROR('[2]Cash Flow Data'!J12,0)</f>
        <v>-333</v>
      </c>
      <c r="J81" s="9">
        <f>IFERROR('[2]Cash Flow Data'!K12,0)</f>
        <v>-125</v>
      </c>
      <c r="K81" s="9">
        <f>IFERROR('[2]Cash Flow Data'!L12,0)</f>
        <v>-389</v>
      </c>
    </row>
    <row r="82" spans="2:12">
      <c r="B82" s="12" t="s">
        <v>24</v>
      </c>
      <c r="C82" s="9">
        <v>0</v>
      </c>
      <c r="D82" s="9">
        <f>IFERROR('[2]Cash Flow Data'!E13,0)</f>
        <v>0</v>
      </c>
      <c r="E82" s="9">
        <f>IFERROR('[2]Cash Flow Data'!F13,0)</f>
        <v>0</v>
      </c>
      <c r="F82" s="9">
        <f>IFERROR('[2]Cash Flow Data'!G13,0)</f>
        <v>0</v>
      </c>
      <c r="G82" s="9">
        <f>IFERROR('[2]Cash Flow Data'!H13,0)</f>
        <v>0</v>
      </c>
      <c r="H82" s="9">
        <f>IFERROR('[2]Cash Flow Data'!I13,0)</f>
        <v>0</v>
      </c>
      <c r="I82" s="9">
        <f>IFERROR('[2]Cash Flow Data'!J13,0)</f>
        <v>0</v>
      </c>
      <c r="J82" s="9">
        <f>IFERROR('[2]Cash Flow Data'!K13,0)</f>
        <v>0</v>
      </c>
      <c r="K82" s="9">
        <f>IFERROR('[2]Cash Flow Data'!L13,0)</f>
        <v>-9848</v>
      </c>
    </row>
    <row r="83" spans="2:12">
      <c r="B83" s="12" t="s">
        <v>23</v>
      </c>
      <c r="C83" s="9">
        <v>407</v>
      </c>
      <c r="D83" s="9">
        <f>IFERROR('[2]Cash Flow Data'!E14,0)</f>
        <v>1644</v>
      </c>
      <c r="E83" s="9">
        <f>IFERROR('[2]Cash Flow Data'!F14,0)</f>
        <v>491</v>
      </c>
      <c r="F83" s="9">
        <f>IFERROR('[2]Cash Flow Data'!G14,0)</f>
        <v>-361</v>
      </c>
      <c r="G83" s="9">
        <f>IFERROR('[2]Cash Flow Data'!H14,0)</f>
        <v>931</v>
      </c>
      <c r="H83" s="9">
        <f>IFERROR('[2]Cash Flow Data'!I14,0)</f>
        <v>-867</v>
      </c>
      <c r="I83" s="9">
        <f>IFERROR('[2]Cash Flow Data'!J14,0)</f>
        <v>1164</v>
      </c>
      <c r="J83" s="9">
        <f>IFERROR('[2]Cash Flow Data'!K14,0)</f>
        <v>579</v>
      </c>
      <c r="K83" s="9">
        <f>IFERROR('[2]Cash Flow Data'!L14,0)</f>
        <v>1229</v>
      </c>
    </row>
    <row r="84" spans="2:12">
      <c r="B84" s="12" t="s">
        <v>22</v>
      </c>
      <c r="C84" s="9">
        <v>157</v>
      </c>
      <c r="D84" s="9">
        <f>IFERROR('[2]Cash Flow Data'!E15,0)</f>
        <v>1091</v>
      </c>
      <c r="E84" s="9">
        <f>IFERROR('[2]Cash Flow Data'!F15,0)</f>
        <v>-798</v>
      </c>
      <c r="F84" s="9">
        <f>IFERROR('[2]Cash Flow Data'!G15,0)</f>
        <v>366</v>
      </c>
      <c r="G84" s="9">
        <f>IFERROR('[2]Cash Flow Data'!H15,0)</f>
        <v>-501</v>
      </c>
      <c r="H84" s="9">
        <f>IFERROR('[2]Cash Flow Data'!I15,0)</f>
        <v>599</v>
      </c>
      <c r="I84" s="9">
        <f>IFERROR('[2]Cash Flow Data'!J15,0)</f>
        <v>587</v>
      </c>
      <c r="J84" s="9">
        <f>IFERROR('[2]Cash Flow Data'!K15,0)</f>
        <v>161</v>
      </c>
      <c r="K84" s="9">
        <f>IFERROR('[2]Cash Flow Data'!L15,0)</f>
        <v>-9060</v>
      </c>
    </row>
    <row r="85" spans="2:12">
      <c r="B85" s="12" t="s">
        <v>21</v>
      </c>
      <c r="C85" s="9">
        <v>-1503</v>
      </c>
      <c r="D85" s="9">
        <f>IFERROR('[2]Cash Flow Data'!E16,0)</f>
        <v>-1685</v>
      </c>
      <c r="E85" s="9">
        <f>IFERROR('[2]Cash Flow Data'!F16,0)</f>
        <v>-1964</v>
      </c>
      <c r="F85" s="9">
        <f>IFERROR('[2]Cash Flow Data'!G16,0)</f>
        <v>-1678</v>
      </c>
      <c r="G85" s="9">
        <f>IFERROR('[2]Cash Flow Data'!H16,0)</f>
        <v>-1340</v>
      </c>
      <c r="H85" s="9">
        <f>IFERROR('[2]Cash Flow Data'!I16,0)</f>
        <v>-1702</v>
      </c>
      <c r="I85" s="9">
        <f>IFERROR('[2]Cash Flow Data'!J16,0)</f>
        <v>-1919</v>
      </c>
      <c r="J85" s="9">
        <f>IFERROR('[2]Cash Flow Data'!K16,0)</f>
        <v>-2387</v>
      </c>
      <c r="K85" s="9">
        <f>IFERROR('[2]Cash Flow Data'!L16,0)</f>
        <v>-2750</v>
      </c>
      <c r="L85" s="16"/>
    </row>
    <row r="86" spans="2:12">
      <c r="B86" s="14" t="s">
        <v>20</v>
      </c>
      <c r="C86" s="7">
        <f>SUM(C79:C85)</f>
        <v>3424</v>
      </c>
      <c r="D86" s="7">
        <f t="shared" ref="D86:K86" si="23">IFERROR(SUM(D79:D85),0)</f>
        <v>5419</v>
      </c>
      <c r="E86" s="7">
        <f t="shared" si="23"/>
        <v>1689</v>
      </c>
      <c r="F86" s="7">
        <f t="shared" si="23"/>
        <v>4217</v>
      </c>
      <c r="G86" s="7">
        <f t="shared" si="23"/>
        <v>2619</v>
      </c>
      <c r="H86" s="7">
        <f t="shared" si="23"/>
        <v>4796</v>
      </c>
      <c r="I86" s="6">
        <f t="shared" si="23"/>
        <v>5865</v>
      </c>
      <c r="J86" s="6">
        <f t="shared" si="23"/>
        <v>6719</v>
      </c>
      <c r="K86" s="6">
        <f t="shared" si="23"/>
        <v>-10466</v>
      </c>
    </row>
    <row r="88" spans="2:12">
      <c r="B88" s="15" t="s">
        <v>19</v>
      </c>
    </row>
    <row r="89" spans="2:12">
      <c r="B89" s="10" t="s">
        <v>18</v>
      </c>
      <c r="C89" s="9">
        <v>-206</v>
      </c>
      <c r="D89" s="9">
        <f>IFERROR('[2]Cash Flow Data'!E18,0)</f>
        <v>-196</v>
      </c>
      <c r="E89" s="9">
        <f>IFERROR('[2]Cash Flow Data'!F18,0)</f>
        <v>-184</v>
      </c>
      <c r="F89" s="9">
        <f>IFERROR('[2]Cash Flow Data'!G18,0)</f>
        <v>-297</v>
      </c>
      <c r="G89" s="9">
        <f>IFERROR('[2]Cash Flow Data'!H18,0)</f>
        <v>-260</v>
      </c>
      <c r="H89" s="9">
        <f>IFERROR('[2]Cash Flow Data'!I18,0)</f>
        <v>-551</v>
      </c>
      <c r="I89" s="9">
        <f>IFERROR('[2]Cash Flow Data'!J18,0)</f>
        <v>-1110</v>
      </c>
      <c r="J89" s="9">
        <f>IFERROR('[2]Cash Flow Data'!K18,0)</f>
        <v>-723</v>
      </c>
      <c r="K89" s="9">
        <f>IFERROR('[2]Cash Flow Data'!L18,0)</f>
        <v>-874</v>
      </c>
    </row>
    <row r="90" spans="2:12">
      <c r="B90" s="10" t="s">
        <v>17</v>
      </c>
      <c r="C90" s="9">
        <v>9</v>
      </c>
      <c r="D90" s="9">
        <f>IFERROR('[2]Cash Flow Data'!E19,0)</f>
        <v>13</v>
      </c>
      <c r="E90" s="9">
        <f>IFERROR('[2]Cash Flow Data'!F19,0)</f>
        <v>76</v>
      </c>
      <c r="F90" s="9">
        <f>IFERROR('[2]Cash Flow Data'!G19,0)</f>
        <v>17</v>
      </c>
      <c r="G90" s="9">
        <f>IFERROR('[2]Cash Flow Data'!H19,0)</f>
        <v>6</v>
      </c>
      <c r="H90" s="9">
        <f>IFERROR('[2]Cash Flow Data'!I19,0)</f>
        <v>33</v>
      </c>
      <c r="I90" s="9">
        <f>IFERROR('[2]Cash Flow Data'!J19,0)</f>
        <v>137</v>
      </c>
      <c r="J90" s="9">
        <f>IFERROR('[2]Cash Flow Data'!K19,0)</f>
        <v>12</v>
      </c>
      <c r="K90" s="9">
        <f>IFERROR('[2]Cash Flow Data'!L19,0)</f>
        <v>6</v>
      </c>
    </row>
    <row r="91" spans="2:12">
      <c r="B91" s="10" t="s">
        <v>16</v>
      </c>
      <c r="C91" s="9">
        <v>-5783</v>
      </c>
      <c r="D91" s="9">
        <f>IFERROR('[2]Cash Flow Data'!E20,0)</f>
        <v>-7484</v>
      </c>
      <c r="E91" s="9">
        <f>IFERROR('[2]Cash Flow Data'!F20,0)</f>
        <v>-9601</v>
      </c>
      <c r="F91" s="9">
        <f>IFERROR('[2]Cash Flow Data'!G20,0)</f>
        <v>-3518</v>
      </c>
      <c r="G91" s="9">
        <f>IFERROR('[2]Cash Flow Data'!H20,0)</f>
        <v>-6240</v>
      </c>
      <c r="H91" s="9">
        <f>IFERROR('[2]Cash Flow Data'!I20,0)</f>
        <v>-11293</v>
      </c>
      <c r="I91" s="9">
        <f>IFERROR('[2]Cash Flow Data'!J20,0)</f>
        <v>-9384</v>
      </c>
      <c r="J91" s="9">
        <f>IFERROR('[2]Cash Flow Data'!K20,0)</f>
        <v>-17365</v>
      </c>
      <c r="K91" s="9">
        <f>IFERROR('[2]Cash Flow Data'!L20,0)</f>
        <v>-11897</v>
      </c>
    </row>
    <row r="92" spans="2:12">
      <c r="B92" s="10" t="s">
        <v>15</v>
      </c>
      <c r="C92" s="9">
        <v>2200</v>
      </c>
      <c r="D92" s="9">
        <f>IFERROR('[2]Cash Flow Data'!E21,0)</f>
        <v>5547</v>
      </c>
      <c r="E92" s="9">
        <f>IFERROR('[2]Cash Flow Data'!F21,0)</f>
        <v>9355</v>
      </c>
      <c r="F92" s="9">
        <f>IFERROR('[2]Cash Flow Data'!G21,0)</f>
        <v>5346</v>
      </c>
      <c r="G92" s="9">
        <f>IFERROR('[2]Cash Flow Data'!H21,0)</f>
        <v>3556</v>
      </c>
      <c r="H92" s="9">
        <f>IFERROR('[2]Cash Flow Data'!I21,0)</f>
        <v>11527</v>
      </c>
      <c r="I92" s="9">
        <f>IFERROR('[2]Cash Flow Data'!J21,0)</f>
        <v>11553</v>
      </c>
      <c r="J92" s="9">
        <f>IFERROR('[2]Cash Flow Data'!K21,0)</f>
        <v>17248</v>
      </c>
      <c r="K92" s="9">
        <f>IFERROR('[2]Cash Flow Data'!L21,0)</f>
        <v>11229</v>
      </c>
    </row>
    <row r="93" spans="2:12">
      <c r="B93" s="10" t="s">
        <v>14</v>
      </c>
      <c r="C93" s="9">
        <v>0</v>
      </c>
      <c r="D93" s="9">
        <f>IFERROR('[2]Cash Flow Data'!E22,0)</f>
        <v>0</v>
      </c>
      <c r="E93" s="9">
        <f>IFERROR('[2]Cash Flow Data'!F22,0)</f>
        <v>0</v>
      </c>
      <c r="F93" s="9">
        <f>IFERROR('[2]Cash Flow Data'!G22,0)</f>
        <v>0</v>
      </c>
      <c r="G93" s="9">
        <f>IFERROR('[2]Cash Flow Data'!H22,0)</f>
        <v>0</v>
      </c>
      <c r="H93" s="9">
        <f>IFERROR('[2]Cash Flow Data'!I22,0)</f>
        <v>0</v>
      </c>
      <c r="I93" s="9">
        <f>IFERROR('[2]Cash Flow Data'!J22,0)</f>
        <v>0</v>
      </c>
      <c r="J93" s="9">
        <f>IFERROR('[2]Cash Flow Data'!K22,0)</f>
        <v>0</v>
      </c>
      <c r="K93" s="9">
        <f>IFERROR('[2]Cash Flow Data'!L22,0)</f>
        <v>0</v>
      </c>
    </row>
    <row r="94" spans="2:12">
      <c r="B94" s="10" t="s">
        <v>13</v>
      </c>
      <c r="C94" s="9">
        <v>63</v>
      </c>
      <c r="D94" s="9">
        <f>IFERROR('[2]Cash Flow Data'!E23,0)</f>
        <v>70</v>
      </c>
      <c r="E94" s="9">
        <f>IFERROR('[2]Cash Flow Data'!F23,0)</f>
        <v>16</v>
      </c>
      <c r="F94" s="9">
        <f>IFERROR('[2]Cash Flow Data'!G23,0)</f>
        <v>23</v>
      </c>
      <c r="G94" s="9">
        <f>IFERROR('[2]Cash Flow Data'!H23,0)</f>
        <v>66</v>
      </c>
      <c r="H94" s="9">
        <f>IFERROR('[2]Cash Flow Data'!I23,0)</f>
        <v>197</v>
      </c>
      <c r="I94" s="9">
        <f>IFERROR('[2]Cash Flow Data'!J23,0)</f>
        <v>376</v>
      </c>
      <c r="J94" s="9">
        <f>IFERROR('[2]Cash Flow Data'!K23,0)</f>
        <v>413</v>
      </c>
      <c r="K94" s="9">
        <f>IFERROR('[2]Cash Flow Data'!L23,0)</f>
        <v>277</v>
      </c>
    </row>
    <row r="95" spans="2:12">
      <c r="B95" s="10" t="s">
        <v>12</v>
      </c>
      <c r="C95" s="9">
        <v>0</v>
      </c>
      <c r="D95" s="9">
        <f>IFERROR('[2]Cash Flow Data'!E24,0)</f>
        <v>0</v>
      </c>
      <c r="E95" s="9">
        <f>IFERROR('[2]Cash Flow Data'!F24,0)</f>
        <v>0</v>
      </c>
      <c r="F95" s="9">
        <f>IFERROR('[2]Cash Flow Data'!G24,0)</f>
        <v>25</v>
      </c>
      <c r="G95" s="9">
        <f>IFERROR('[2]Cash Flow Data'!H24,0)</f>
        <v>0</v>
      </c>
      <c r="H95" s="9">
        <f>IFERROR('[2]Cash Flow Data'!I24,0)</f>
        <v>46</v>
      </c>
      <c r="I95" s="9">
        <f>IFERROR('[2]Cash Flow Data'!J24,0)</f>
        <v>47</v>
      </c>
      <c r="J95" s="9">
        <f>IFERROR('[2]Cash Flow Data'!K24,0)</f>
        <v>43</v>
      </c>
      <c r="K95" s="9">
        <f>IFERROR('[2]Cash Flow Data'!L24,0)</f>
        <v>30</v>
      </c>
    </row>
    <row r="96" spans="2:12">
      <c r="B96" s="10" t="s">
        <v>11</v>
      </c>
      <c r="C96" s="9">
        <v>107</v>
      </c>
      <c r="D96" s="9">
        <f>IFERROR('[2]Cash Flow Data'!E25,0)</f>
        <v>95</v>
      </c>
      <c r="E96" s="9">
        <f>IFERROR('[2]Cash Flow Data'!F25,0)</f>
        <v>65</v>
      </c>
      <c r="F96" s="9">
        <f>IFERROR('[2]Cash Flow Data'!G25,0)</f>
        <v>170</v>
      </c>
      <c r="G96" s="9">
        <f>IFERROR('[2]Cash Flow Data'!H25,0)</f>
        <v>2</v>
      </c>
      <c r="H96" s="9">
        <f>IFERROR('[2]Cash Flow Data'!I25,0)</f>
        <v>318</v>
      </c>
      <c r="I96" s="9">
        <f>IFERROR('[2]Cash Flow Data'!J25,0)</f>
        <v>-407</v>
      </c>
      <c r="J96" s="9">
        <f>IFERROR('[2]Cash Flow Data'!K25,0)</f>
        <v>300</v>
      </c>
      <c r="K96" s="9">
        <f>IFERROR('[2]Cash Flow Data'!L25,0)</f>
        <v>174</v>
      </c>
    </row>
    <row r="97" spans="2:12">
      <c r="B97" s="14" t="s">
        <v>10</v>
      </c>
      <c r="C97" s="7">
        <f t="shared" ref="C97:K97" si="24">SUM(C89:C96)</f>
        <v>-3610</v>
      </c>
      <c r="D97" s="7">
        <f t="shared" si="24"/>
        <v>-1955</v>
      </c>
      <c r="E97" s="7">
        <f t="shared" si="24"/>
        <v>-273</v>
      </c>
      <c r="F97" s="7">
        <f t="shared" si="24"/>
        <v>1766</v>
      </c>
      <c r="G97" s="7">
        <f t="shared" si="24"/>
        <v>-2870</v>
      </c>
      <c r="H97" s="7">
        <f t="shared" si="24"/>
        <v>277</v>
      </c>
      <c r="I97" s="6">
        <f t="shared" si="24"/>
        <v>1212</v>
      </c>
      <c r="J97" s="6">
        <f t="shared" si="24"/>
        <v>-72</v>
      </c>
      <c r="K97" s="6">
        <f t="shared" si="24"/>
        <v>-1055</v>
      </c>
    </row>
    <row r="98" spans="2:12">
      <c r="B98" s="10"/>
    </row>
    <row r="99" spans="2:12">
      <c r="B99" s="13" t="s">
        <v>9</v>
      </c>
    </row>
    <row r="100" spans="2:12">
      <c r="B100" s="12" t="s">
        <v>8</v>
      </c>
      <c r="C100" s="9">
        <v>0</v>
      </c>
      <c r="D100" s="9">
        <f>IFERROR('[2]Cash Flow Data'!E27,0)</f>
        <v>0</v>
      </c>
      <c r="E100" s="9">
        <f>IFERROR('[2]Cash Flow Data'!F27,0)</f>
        <v>0</v>
      </c>
      <c r="F100" s="9">
        <f>IFERROR('[2]Cash Flow Data'!G27,0)</f>
        <v>0</v>
      </c>
      <c r="G100" s="9">
        <f>IFERROR('[2]Cash Flow Data'!H27,0)</f>
        <v>0</v>
      </c>
      <c r="H100" s="9">
        <f>IFERROR('[2]Cash Flow Data'!I27,0)</f>
        <v>0</v>
      </c>
      <c r="I100" s="9">
        <f>IFERROR('[2]Cash Flow Data'!J27,0)</f>
        <v>0</v>
      </c>
      <c r="J100" s="9">
        <f>IFERROR('[2]Cash Flow Data'!K27,0)</f>
        <v>87</v>
      </c>
      <c r="K100" s="9">
        <f>IFERROR('[2]Cash Flow Data'!L27,0)</f>
        <v>29</v>
      </c>
    </row>
    <row r="101" spans="2:12">
      <c r="B101" s="12" t="s">
        <v>7</v>
      </c>
      <c r="C101" s="9">
        <v>0</v>
      </c>
      <c r="D101" s="9">
        <f>IFERROR('[2]Cash Flow Data'!E28,0)</f>
        <v>0</v>
      </c>
      <c r="E101" s="9">
        <f>IFERROR('[2]Cash Flow Data'!F28,0)</f>
        <v>0</v>
      </c>
      <c r="F101" s="9">
        <f>IFERROR('[2]Cash Flow Data'!G28,0)</f>
        <v>0</v>
      </c>
      <c r="G101" s="9">
        <f>IFERROR('[2]Cash Flow Data'!H28,0)</f>
        <v>0</v>
      </c>
      <c r="H101" s="9">
        <f>IFERROR('[2]Cash Flow Data'!I28,0)</f>
        <v>0</v>
      </c>
      <c r="I101" s="9">
        <f>IFERROR('[2]Cash Flow Data'!J28,0)</f>
        <v>0</v>
      </c>
      <c r="J101" s="9">
        <f>IFERROR('[2]Cash Flow Data'!K28,0)</f>
        <v>1785</v>
      </c>
      <c r="K101" s="9">
        <f>IFERROR('[2]Cash Flow Data'!L28,0)</f>
        <v>8945</v>
      </c>
    </row>
    <row r="102" spans="2:12">
      <c r="B102" s="12" t="s">
        <v>6</v>
      </c>
      <c r="C102" s="9">
        <v>0</v>
      </c>
      <c r="D102" s="9">
        <f>IFERROR('[2]Cash Flow Data'!E29,0)</f>
        <v>0</v>
      </c>
      <c r="E102" s="9">
        <f>IFERROR('[2]Cash Flow Data'!F29,0)</f>
        <v>0</v>
      </c>
      <c r="F102" s="9">
        <f>IFERROR('[2]Cash Flow Data'!G29,0)</f>
        <v>0</v>
      </c>
      <c r="G102" s="9">
        <f>IFERROR('[2]Cash Flow Data'!H29,0)</f>
        <v>0</v>
      </c>
      <c r="H102" s="9">
        <f>IFERROR('[2]Cash Flow Data'!I29,0)</f>
        <v>0</v>
      </c>
      <c r="I102" s="9">
        <f>IFERROR('[2]Cash Flow Data'!J29,0)</f>
        <v>0</v>
      </c>
      <c r="J102" s="9">
        <f>IFERROR('[2]Cash Flow Data'!K29,0)</f>
        <v>0</v>
      </c>
      <c r="K102" s="9">
        <f>IFERROR('[2]Cash Flow Data'!L29,0)</f>
        <v>-1511</v>
      </c>
    </row>
    <row r="103" spans="2:12" ht="15.75">
      <c r="B103" s="11" t="s">
        <v>5</v>
      </c>
      <c r="C103" s="9">
        <v>-1</v>
      </c>
      <c r="D103" s="9">
        <f>IFERROR('[2]Cash Flow Data'!E30,0)</f>
        <v>0</v>
      </c>
      <c r="E103" s="9">
        <f>IFERROR('[2]Cash Flow Data'!F30,0)</f>
        <v>-4</v>
      </c>
      <c r="F103" s="9">
        <f>IFERROR('[2]Cash Flow Data'!G30,0)</f>
        <v>-2</v>
      </c>
      <c r="G103" s="9">
        <f>IFERROR('[2]Cash Flow Data'!H30,0)</f>
        <v>-5</v>
      </c>
      <c r="H103" s="9">
        <f>IFERROR('[2]Cash Flow Data'!I30,0)</f>
        <v>-7</v>
      </c>
      <c r="I103" s="9">
        <f>IFERROR('[2]Cash Flow Data'!J30,0)</f>
        <v>-38</v>
      </c>
      <c r="J103" s="9">
        <f>IFERROR('[2]Cash Flow Data'!K30,0)</f>
        <v>-59</v>
      </c>
      <c r="K103" s="9">
        <f>IFERROR('[2]Cash Flow Data'!L30,0)</f>
        <v>-66</v>
      </c>
    </row>
    <row r="104" spans="2:12" ht="15.75">
      <c r="B104" s="11" t="s">
        <v>4</v>
      </c>
      <c r="C104" s="9">
        <v>-173</v>
      </c>
      <c r="D104" s="9">
        <f>IFERROR('[2]Cash Flow Data'!E31,0)</f>
        <v>-1588</v>
      </c>
      <c r="E104" s="9">
        <f>IFERROR('[2]Cash Flow Data'!F31,0)</f>
        <v>-1736</v>
      </c>
      <c r="F104" s="9">
        <f>IFERROR('[2]Cash Flow Data'!G31,0)</f>
        <v>-5195</v>
      </c>
      <c r="G104" s="9">
        <f>IFERROR('[2]Cash Flow Data'!H31,0)</f>
        <v>-14</v>
      </c>
      <c r="H104" s="9">
        <f>IFERROR('[2]Cash Flow Data'!I31,0)</f>
        <v>-4049</v>
      </c>
      <c r="I104" s="9">
        <f>IFERROR('[2]Cash Flow Data'!J31,0)</f>
        <v>-4047</v>
      </c>
      <c r="J104" s="9">
        <f>IFERROR('[2]Cash Flow Data'!K31,0)</f>
        <v>-3960</v>
      </c>
      <c r="K104" s="9">
        <f>IFERROR('[2]Cash Flow Data'!L31,0)</f>
        <v>-2235</v>
      </c>
    </row>
    <row r="105" spans="2:12">
      <c r="B105" s="10" t="s">
        <v>3</v>
      </c>
      <c r="C105" s="9">
        <v>-17</v>
      </c>
      <c r="D105" s="9">
        <f>IFERROR('[2]Cash Flow Data'!E32,0)</f>
        <v>-296</v>
      </c>
      <c r="E105" s="9">
        <f>IFERROR('[2]Cash Flow Data'!F32,0)</f>
        <v>-335</v>
      </c>
      <c r="F105" s="9">
        <f>IFERROR('[2]Cash Flow Data'!G32,0)</f>
        <v>-1049</v>
      </c>
      <c r="G105" s="9">
        <f>IFERROR('[2]Cash Flow Data'!H32,0)</f>
        <v>0</v>
      </c>
      <c r="H105" s="9">
        <f>IFERROR('[2]Cash Flow Data'!I32,0)</f>
        <v>0</v>
      </c>
      <c r="I105" s="9">
        <f>IFERROR('[2]Cash Flow Data'!J32,0)</f>
        <v>-3096</v>
      </c>
      <c r="J105" s="9">
        <f>IFERROR('[2]Cash Flow Data'!K32,0)</f>
        <v>-4019</v>
      </c>
      <c r="K105" s="9">
        <f>IFERROR('[2]Cash Flow Data'!L32,0)</f>
        <v>-932</v>
      </c>
    </row>
    <row r="106" spans="2:12">
      <c r="B106" s="8" t="s">
        <v>2</v>
      </c>
      <c r="C106" s="7">
        <f>SUM(C100:C105)</f>
        <v>-191</v>
      </c>
      <c r="D106" s="7">
        <f t="shared" ref="D106:K106" si="25">IFERROR(SUM(D100:D105),0)</f>
        <v>-1884</v>
      </c>
      <c r="E106" s="7">
        <f t="shared" si="25"/>
        <v>-2075</v>
      </c>
      <c r="F106" s="7">
        <f t="shared" si="25"/>
        <v>-6246</v>
      </c>
      <c r="G106" s="7">
        <f t="shared" si="25"/>
        <v>-19</v>
      </c>
      <c r="H106" s="7">
        <f t="shared" si="25"/>
        <v>-4056</v>
      </c>
      <c r="I106" s="6">
        <f t="shared" si="25"/>
        <v>-7181</v>
      </c>
      <c r="J106" s="6">
        <f t="shared" si="25"/>
        <v>-6166</v>
      </c>
      <c r="K106" s="6">
        <f t="shared" si="25"/>
        <v>4230</v>
      </c>
    </row>
    <row r="108" spans="2:12">
      <c r="B108" s="5" t="s">
        <v>1</v>
      </c>
      <c r="C108" s="4">
        <f>SUM(C86,C97,C106)</f>
        <v>-377</v>
      </c>
      <c r="D108" s="4">
        <f t="shared" ref="D108:K108" si="26">IFERROR(SUM(D86+D97+D106),0)</f>
        <v>1580</v>
      </c>
      <c r="E108" s="4">
        <f t="shared" si="26"/>
        <v>-659</v>
      </c>
      <c r="F108" s="4">
        <f t="shared" si="26"/>
        <v>-263</v>
      </c>
      <c r="G108" s="4">
        <f t="shared" si="26"/>
        <v>-270</v>
      </c>
      <c r="H108" s="4">
        <f t="shared" si="26"/>
        <v>1017</v>
      </c>
      <c r="I108" s="4">
        <f t="shared" si="26"/>
        <v>-104</v>
      </c>
      <c r="J108" s="4">
        <f t="shared" si="26"/>
        <v>481</v>
      </c>
      <c r="K108" s="4">
        <f t="shared" si="26"/>
        <v>-7291</v>
      </c>
    </row>
    <row r="110" spans="2:12">
      <c r="B110" s="3" t="s">
        <v>0</v>
      </c>
      <c r="C110" s="3" t="s">
        <v>0</v>
      </c>
      <c r="D110" s="3" t="s">
        <v>0</v>
      </c>
      <c r="E110" s="3" t="s">
        <v>0</v>
      </c>
      <c r="F110" s="3" t="s">
        <v>0</v>
      </c>
      <c r="G110" s="3" t="s">
        <v>0</v>
      </c>
      <c r="H110" s="3" t="s">
        <v>0</v>
      </c>
      <c r="I110" s="3" t="s">
        <v>0</v>
      </c>
      <c r="J110" s="3"/>
      <c r="K110" s="3"/>
      <c r="L110" s="3" t="s">
        <v>0</v>
      </c>
    </row>
    <row r="111" spans="2:12" ht="15.75" thickBot="1">
      <c r="B111" s="2"/>
      <c r="C111" s="2"/>
      <c r="D111" s="2"/>
      <c r="E111" s="2"/>
      <c r="F111" s="2"/>
      <c r="G111" s="2"/>
      <c r="H111" s="2"/>
      <c r="I111" s="2"/>
      <c r="J111" s="2"/>
      <c r="K111" s="2"/>
      <c r="L111" s="2"/>
    </row>
    <row r="112" spans="2:12" ht="10.5" customHeight="1"/>
  </sheetData>
  <printOptions horizontalCentered="1"/>
  <pageMargins left="0.25" right="0" top="0.75" bottom="0.75" header="0.3" footer="0.3"/>
  <pageSetup paperSize="12" scale="56" fitToWidth="3" fitToHeight="3" orientation="portrait" r:id="rId1"/>
  <colBreaks count="1" manualBreakCount="1">
    <brk id="12" max="1048575" man="1"/>
  </colBreaks>
  <drawing r:id="rId2"/>
</worksheet>
</file>

<file path=xl/worksheets/sheet5.xml><?xml version="1.0" encoding="utf-8"?>
<worksheet xmlns="http://schemas.openxmlformats.org/spreadsheetml/2006/main" xmlns:r="http://schemas.openxmlformats.org/officeDocument/2006/relationships">
  <dimension ref="B2:O65"/>
  <sheetViews>
    <sheetView showGridLines="0" zoomScaleSheetLayoutView="50" workbookViewId="0">
      <selection activeCell="B2" sqref="B2"/>
    </sheetView>
  </sheetViews>
  <sheetFormatPr defaultColWidth="9.140625" defaultRowHeight="15"/>
  <cols>
    <col min="1" max="1" width="2" style="1" customWidth="1"/>
    <col min="2" max="2" width="13.7109375" style="1" customWidth="1"/>
    <col min="3" max="3" width="9.140625" style="1"/>
    <col min="4" max="4" width="10.28515625" style="1" customWidth="1"/>
    <col min="5" max="5" width="12.28515625" style="1" customWidth="1"/>
    <col min="6" max="6" width="5.5703125" style="1" customWidth="1"/>
    <col min="7" max="7" width="9.140625" style="1"/>
    <col min="8" max="8" width="12.28515625" style="1" customWidth="1"/>
    <col min="9" max="9" width="8.7109375" style="1" customWidth="1"/>
    <col min="10" max="10" width="14.140625" style="1" customWidth="1"/>
    <col min="11" max="11" width="13.85546875" style="1" customWidth="1"/>
    <col min="12" max="12" width="8.140625" style="1" customWidth="1"/>
    <col min="13" max="16384" width="9.140625" style="1"/>
  </cols>
  <sheetData>
    <row r="2" spans="2:15">
      <c r="B2" s="3" t="s">
        <v>0</v>
      </c>
      <c r="C2" s="3" t="s">
        <v>0</v>
      </c>
      <c r="D2" s="3" t="s">
        <v>0</v>
      </c>
      <c r="E2" s="3" t="s">
        <v>0</v>
      </c>
      <c r="F2" s="3" t="s">
        <v>0</v>
      </c>
      <c r="G2" s="3" t="s">
        <v>0</v>
      </c>
      <c r="H2" s="3" t="s">
        <v>0</v>
      </c>
      <c r="I2" s="3" t="s">
        <v>0</v>
      </c>
      <c r="J2" s="3" t="s">
        <v>0</v>
      </c>
      <c r="K2" s="98"/>
    </row>
    <row r="3" spans="2:15" ht="10.5" customHeight="1" thickBot="1">
      <c r="B3" s="59"/>
      <c r="C3" s="59"/>
      <c r="D3" s="59"/>
      <c r="E3" s="59"/>
      <c r="F3" s="59"/>
      <c r="G3" s="59"/>
      <c r="H3" s="59"/>
      <c r="I3" s="59"/>
      <c r="J3" s="59"/>
    </row>
    <row r="4" spans="2:15" ht="36" thickTop="1">
      <c r="B4" s="63" t="str">
        <f>'[2]Data Sheet'!B1</f>
        <v>BAJAJ AUTO LTD</v>
      </c>
      <c r="K4" s="101"/>
    </row>
    <row r="5" spans="2:15">
      <c r="B5" s="62" t="str">
        <f>CONCATENATE(" ",VLOOKUP(B4,'[2]LIST OF STOCKS'!B5:D5444,3,FALSE)," | ","Bse Code: ",VLOOKUP(B4,'[2]LIST OF STOCKS'!B5:E5444,2,FALSE),)</f>
        <v xml:space="preserve"> BAJAJ-AUTO | Bse Code: 532977</v>
      </c>
    </row>
    <row r="6" spans="2:15" ht="19.5" thickBot="1">
      <c r="B6" s="100"/>
      <c r="C6" s="59"/>
      <c r="D6" s="59"/>
      <c r="E6" s="59"/>
      <c r="F6" s="59"/>
      <c r="G6" s="59"/>
      <c r="H6" s="59"/>
      <c r="I6" s="59"/>
      <c r="J6" s="59"/>
      <c r="K6" s="59"/>
    </row>
    <row r="7" spans="2:15" ht="10.5" customHeight="1" thickTop="1">
      <c r="B7" s="25"/>
      <c r="C7" s="58"/>
      <c r="D7" s="58"/>
      <c r="E7" s="58"/>
      <c r="F7" s="58"/>
      <c r="G7" s="58"/>
      <c r="I7" s="57"/>
    </row>
    <row r="8" spans="2:15" ht="9.75" customHeight="1">
      <c r="B8" s="98"/>
      <c r="C8" s="98"/>
      <c r="D8" s="98"/>
      <c r="E8" s="98"/>
      <c r="F8" s="98"/>
      <c r="G8" s="98"/>
      <c r="H8" s="98"/>
      <c r="I8" s="99"/>
      <c r="J8" s="98"/>
      <c r="K8" s="98"/>
    </row>
    <row r="10" spans="2:15">
      <c r="B10" s="97" t="str">
        <f>"Sales Forcasting - "&amp;'[2]Balance Sheet'!A1</f>
        <v>Sales Forcasting - BAJAJ AUTO LTD</v>
      </c>
      <c r="C10" s="96"/>
      <c r="D10" s="96"/>
      <c r="E10" s="95"/>
      <c r="F10" s="93"/>
      <c r="H10" s="94"/>
      <c r="I10" s="94"/>
      <c r="J10" s="94"/>
      <c r="K10" s="93"/>
    </row>
    <row r="11" spans="2:15">
      <c r="B11" s="92" t="s">
        <v>98</v>
      </c>
      <c r="C11" s="91" t="s">
        <v>97</v>
      </c>
      <c r="D11" s="91" t="s">
        <v>73</v>
      </c>
      <c r="E11" s="90" t="s">
        <v>72</v>
      </c>
      <c r="F11" s="89"/>
      <c r="H11" s="88"/>
      <c r="I11" s="88"/>
      <c r="J11" s="88"/>
      <c r="K11" s="88"/>
    </row>
    <row r="12" spans="2:15" ht="15" customHeight="1">
      <c r="B12" s="71">
        <v>1</v>
      </c>
      <c r="C12" s="70" t="s">
        <v>94</v>
      </c>
      <c r="D12" s="69">
        <f t="array" ref="D12:D18">TRANSPOSE('[2]Data Sheet'!C17:I17)</f>
        <v>21754.720000000001</v>
      </c>
      <c r="E12" s="84"/>
      <c r="F12" s="82"/>
      <c r="H12" s="71"/>
      <c r="I12" s="81"/>
      <c r="J12" s="80"/>
      <c r="K12" s="87"/>
    </row>
    <row r="13" spans="2:15">
      <c r="B13" s="71">
        <v>2</v>
      </c>
      <c r="C13" s="70" t="s">
        <v>93</v>
      </c>
      <c r="D13" s="69">
        <v>25209.93</v>
      </c>
      <c r="E13" s="84">
        <f t="shared" ref="E13:E25" si="0">D13/D12-1</f>
        <v>0.15882576286893135</v>
      </c>
      <c r="F13" s="82"/>
      <c r="H13" s="71"/>
      <c r="I13" s="81"/>
      <c r="J13" s="80"/>
      <c r="K13" s="79"/>
    </row>
    <row r="14" spans="2:15">
      <c r="B14" s="71">
        <v>3</v>
      </c>
      <c r="C14" s="70" t="s">
        <v>92</v>
      </c>
      <c r="D14" s="69">
        <v>30357.63</v>
      </c>
      <c r="E14" s="84">
        <f t="shared" si="0"/>
        <v>0.20419334762135399</v>
      </c>
      <c r="F14" s="82"/>
      <c r="H14" s="71"/>
      <c r="I14" s="81"/>
      <c r="J14" s="80"/>
      <c r="K14" s="79"/>
    </row>
    <row r="15" spans="2:15">
      <c r="B15" s="71">
        <v>4</v>
      </c>
      <c r="C15" s="70" t="s">
        <v>91</v>
      </c>
      <c r="D15" s="69">
        <v>29918.65</v>
      </c>
      <c r="E15" s="84">
        <f t="shared" si="0"/>
        <v>-1.4460285602005185E-2</v>
      </c>
      <c r="F15" s="82"/>
      <c r="H15" s="71"/>
      <c r="I15" s="81"/>
      <c r="J15" s="80"/>
      <c r="K15" s="79"/>
      <c r="L15" s="86"/>
      <c r="M15" s="17"/>
      <c r="N15" s="17"/>
      <c r="O15" s="17"/>
    </row>
    <row r="16" spans="2:15">
      <c r="B16" s="71">
        <v>5</v>
      </c>
      <c r="C16" s="70" t="s">
        <v>90</v>
      </c>
      <c r="D16" s="69">
        <v>27741.08</v>
      </c>
      <c r="E16" s="84">
        <f t="shared" si="0"/>
        <v>-7.2783029982970482E-2</v>
      </c>
      <c r="F16" s="82"/>
      <c r="H16" s="71"/>
      <c r="I16" s="81"/>
      <c r="J16" s="80"/>
      <c r="K16" s="79"/>
      <c r="L16" s="85"/>
      <c r="M16" s="17"/>
      <c r="N16" s="17"/>
      <c r="O16" s="17"/>
    </row>
    <row r="17" spans="2:15">
      <c r="B17" s="71">
        <v>6</v>
      </c>
      <c r="C17" s="70" t="s">
        <v>89</v>
      </c>
      <c r="D17" s="69">
        <v>33144.71</v>
      </c>
      <c r="E17" s="84">
        <f t="shared" si="0"/>
        <v>0.19478801834679826</v>
      </c>
      <c r="F17" s="82"/>
      <c r="H17" s="71"/>
      <c r="I17" s="81"/>
      <c r="J17" s="80"/>
      <c r="K17" s="79"/>
      <c r="L17" s="17"/>
      <c r="M17" s="17"/>
      <c r="N17" s="17"/>
      <c r="O17" s="17"/>
    </row>
    <row r="18" spans="2:15">
      <c r="B18" s="71">
        <v>7</v>
      </c>
      <c r="C18" s="70" t="s">
        <v>88</v>
      </c>
      <c r="D18" s="69">
        <v>36455.379999999997</v>
      </c>
      <c r="E18" s="84">
        <f t="shared" si="0"/>
        <v>9.9885321066317978E-2</v>
      </c>
      <c r="F18" s="82"/>
      <c r="H18" s="71"/>
      <c r="I18" s="81"/>
      <c r="J18" s="80"/>
      <c r="K18" s="79"/>
      <c r="L18" s="17"/>
      <c r="M18" s="17"/>
      <c r="N18" s="17"/>
      <c r="O18" s="17"/>
    </row>
    <row r="19" spans="2:15">
      <c r="B19" s="71">
        <v>8</v>
      </c>
      <c r="C19" s="70" t="s">
        <v>87</v>
      </c>
      <c r="D19" s="69">
        <f>'[2]Data Sheet'!J17</f>
        <v>44870.43</v>
      </c>
      <c r="E19" s="84">
        <f t="shared" si="0"/>
        <v>0.23083149867042962</v>
      </c>
      <c r="F19" s="82"/>
      <c r="H19" s="71"/>
      <c r="I19" s="81"/>
      <c r="J19" s="80"/>
      <c r="K19" s="79"/>
      <c r="L19" s="17"/>
      <c r="M19" s="17"/>
      <c r="N19" s="17"/>
      <c r="O19" s="17"/>
    </row>
    <row r="20" spans="2:15">
      <c r="B20" s="71">
        <v>9</v>
      </c>
      <c r="C20" s="70" t="s">
        <v>86</v>
      </c>
      <c r="D20" s="69">
        <f>'[2]Data Sheet'!K17</f>
        <v>50994.55</v>
      </c>
      <c r="E20" s="84">
        <f t="shared" si="0"/>
        <v>0.13648454004118094</v>
      </c>
      <c r="F20" s="82"/>
      <c r="H20" s="71"/>
      <c r="I20" s="81"/>
      <c r="J20" s="80"/>
      <c r="K20" s="79"/>
      <c r="L20" s="17"/>
      <c r="M20" s="17"/>
      <c r="N20" s="17"/>
      <c r="O20" s="17"/>
    </row>
    <row r="21" spans="2:15">
      <c r="B21" s="67">
        <v>10</v>
      </c>
      <c r="C21" s="48" t="s">
        <v>85</v>
      </c>
      <c r="D21" s="66">
        <f>FORECAST(B21,$D$12:$D$20,$B$12:$B$20)</f>
        <v>49329.873888888891</v>
      </c>
      <c r="E21" s="83">
        <f t="shared" si="0"/>
        <v>-3.2644196509452716E-2</v>
      </c>
      <c r="F21" s="82"/>
      <c r="H21" s="71"/>
      <c r="I21" s="81"/>
      <c r="J21" s="80"/>
      <c r="K21" s="79"/>
      <c r="L21" s="17"/>
      <c r="M21" s="17"/>
      <c r="N21" s="17"/>
      <c r="O21" s="17"/>
    </row>
    <row r="22" spans="2:15">
      <c r="B22" s="67">
        <v>11</v>
      </c>
      <c r="C22" s="48" t="s">
        <v>84</v>
      </c>
      <c r="D22" s="66">
        <f>FORECAST(B22,$D$12:$D$20,$B$12:$B$20)</f>
        <v>52519.246888888898</v>
      </c>
      <c r="E22" s="83">
        <f t="shared" si="0"/>
        <v>6.465398649069698E-2</v>
      </c>
      <c r="F22" s="82"/>
      <c r="H22" s="71"/>
      <c r="I22" s="81"/>
      <c r="J22" s="80"/>
      <c r="K22" s="79"/>
      <c r="L22" s="17"/>
      <c r="M22" s="17"/>
      <c r="N22" s="17"/>
      <c r="O22" s="17"/>
    </row>
    <row r="23" spans="2:15">
      <c r="B23" s="67">
        <v>12</v>
      </c>
      <c r="C23" s="48" t="s">
        <v>83</v>
      </c>
      <c r="D23" s="66">
        <f>FORECAST(B23,$D$12:$D$20,$B$12:$B$20)</f>
        <v>55708.619888888898</v>
      </c>
      <c r="E23" s="83">
        <f t="shared" si="0"/>
        <v>6.0727698680590692E-2</v>
      </c>
      <c r="F23" s="82"/>
      <c r="H23" s="71"/>
      <c r="I23" s="81"/>
      <c r="J23" s="80"/>
      <c r="K23" s="79"/>
      <c r="L23" s="17"/>
      <c r="M23" s="17"/>
      <c r="N23" s="17"/>
      <c r="O23" s="17"/>
    </row>
    <row r="24" spans="2:15">
      <c r="B24" s="67">
        <v>13</v>
      </c>
      <c r="C24" s="48" t="s">
        <v>82</v>
      </c>
      <c r="D24" s="66">
        <f>FORECAST(B24,$D$12:$D$20,$B$12:$B$20)</f>
        <v>58897.992888888897</v>
      </c>
      <c r="E24" s="83">
        <f t="shared" si="0"/>
        <v>5.7250978508554207E-2</v>
      </c>
      <c r="F24" s="82"/>
      <c r="H24" s="71"/>
      <c r="I24" s="81"/>
      <c r="J24" s="80"/>
      <c r="K24" s="79"/>
    </row>
    <row r="25" spans="2:15">
      <c r="B25" s="67">
        <v>14</v>
      </c>
      <c r="C25" s="48" t="s">
        <v>81</v>
      </c>
      <c r="D25" s="66">
        <f>FORECAST(B25,$D$12:$D$20,$B$12:$B$20)</f>
        <v>62087.365888888897</v>
      </c>
      <c r="E25" s="83">
        <f t="shared" si="0"/>
        <v>5.4150792642743362E-2</v>
      </c>
      <c r="F25" s="82"/>
      <c r="H25" s="71"/>
      <c r="I25" s="81"/>
      <c r="J25" s="80"/>
      <c r="K25" s="79"/>
    </row>
    <row r="26" spans="2:15">
      <c r="B26" s="71"/>
      <c r="D26" s="69"/>
      <c r="E26" s="68"/>
    </row>
    <row r="27" spans="2:15">
      <c r="B27" s="78" t="s">
        <v>0</v>
      </c>
      <c r="C27" s="78" t="s">
        <v>0</v>
      </c>
      <c r="D27" s="78" t="s">
        <v>0</v>
      </c>
      <c r="E27" s="78" t="s">
        <v>0</v>
      </c>
      <c r="F27" s="78" t="s">
        <v>0</v>
      </c>
      <c r="G27" s="78" t="s">
        <v>0</v>
      </c>
      <c r="H27" s="78" t="s">
        <v>0</v>
      </c>
      <c r="I27" s="78" t="s">
        <v>0</v>
      </c>
      <c r="J27" s="78" t="s">
        <v>0</v>
      </c>
      <c r="K27" s="78" t="s">
        <v>0</v>
      </c>
    </row>
    <row r="28" spans="2:15">
      <c r="B28" s="71"/>
      <c r="D28" s="69"/>
      <c r="E28" s="68"/>
      <c r="H28" s="77" t="str">
        <f>"EBITDA Forcasting - "&amp;'[2]Balance Sheet'!A1</f>
        <v>EBITDA Forcasting - BAJAJ AUTO LTD</v>
      </c>
      <c r="I28" s="76"/>
      <c r="J28" s="76"/>
      <c r="K28" s="76"/>
    </row>
    <row r="29" spans="2:15">
      <c r="H29" s="74" t="s">
        <v>98</v>
      </c>
      <c r="I29" s="75" t="s">
        <v>97</v>
      </c>
      <c r="J29" s="75" t="s">
        <v>96</v>
      </c>
      <c r="K29" s="74" t="s">
        <v>95</v>
      </c>
    </row>
    <row r="30" spans="2:15">
      <c r="H30" s="71">
        <v>1</v>
      </c>
      <c r="I30" s="70" t="s">
        <v>94</v>
      </c>
      <c r="J30" s="69">
        <f>'Historical FS'!C25</f>
        <v>4341.2700000000023</v>
      </c>
    </row>
    <row r="31" spans="2:15">
      <c r="H31" s="71">
        <v>2</v>
      </c>
      <c r="I31" s="70" t="s">
        <v>93</v>
      </c>
      <c r="J31" s="69">
        <f>'Historical FS'!D25</f>
        <v>4865.1600000000026</v>
      </c>
      <c r="K31" s="68">
        <f t="shared" ref="K31:K43" si="1">J31/J30-1</f>
        <v>0.12067666834820234</v>
      </c>
    </row>
    <row r="32" spans="2:15">
      <c r="H32" s="71">
        <v>3</v>
      </c>
      <c r="I32" s="70" t="s">
        <v>92</v>
      </c>
      <c r="J32" s="69">
        <f>'Historical FS'!E25</f>
        <v>5085.0800000000045</v>
      </c>
      <c r="K32" s="68">
        <f t="shared" si="1"/>
        <v>4.5203035460293473E-2</v>
      </c>
    </row>
    <row r="33" spans="2:11">
      <c r="H33" s="71">
        <v>4</v>
      </c>
      <c r="I33" s="70" t="s">
        <v>91</v>
      </c>
      <c r="J33" s="69">
        <f>'Historical FS'!F25</f>
        <v>4983.3200000000006</v>
      </c>
      <c r="K33" s="68">
        <f t="shared" si="1"/>
        <v>-2.0011484578414507E-2</v>
      </c>
    </row>
    <row r="34" spans="2:11">
      <c r="H34" s="71">
        <v>5</v>
      </c>
      <c r="I34" s="70" t="s">
        <v>90</v>
      </c>
      <c r="J34" s="69">
        <f>'Historical FS'!G25</f>
        <v>4498.8200000000006</v>
      </c>
      <c r="K34" s="68">
        <f t="shared" si="1"/>
        <v>-9.722434039957295E-2</v>
      </c>
    </row>
    <row r="35" spans="2:11">
      <c r="H35" s="71">
        <v>6</v>
      </c>
      <c r="I35" s="70" t="s">
        <v>89</v>
      </c>
      <c r="J35" s="69">
        <f>'Historical FS'!H25</f>
        <v>5634.72</v>
      </c>
      <c r="K35" s="68">
        <f t="shared" si="1"/>
        <v>0.25248843029950074</v>
      </c>
    </row>
    <row r="36" spans="2:11">
      <c r="H36" s="71">
        <v>7</v>
      </c>
      <c r="I36" s="70" t="s">
        <v>88</v>
      </c>
      <c r="J36" s="69">
        <f>'Historical FS'!I25</f>
        <v>6263.9799999999977</v>
      </c>
      <c r="K36" s="68">
        <f t="shared" si="1"/>
        <v>0.11167546923360838</v>
      </c>
    </row>
    <row r="37" spans="2:11">
      <c r="H37" s="71">
        <v>8</v>
      </c>
      <c r="I37" s="70" t="s">
        <v>87</v>
      </c>
      <c r="J37" s="69">
        <f>'Historical FS'!J25</f>
        <v>8612.0000000000036</v>
      </c>
      <c r="K37" s="68">
        <f t="shared" si="1"/>
        <v>0.37484474726930905</v>
      </c>
    </row>
    <row r="38" spans="2:11">
      <c r="H38" s="71">
        <v>9</v>
      </c>
      <c r="I38" s="70" t="s">
        <v>86</v>
      </c>
      <c r="J38" s="69">
        <f>'Historical FS'!K25</f>
        <v>9611.4200000000055</v>
      </c>
      <c r="K38" s="68">
        <f t="shared" si="1"/>
        <v>0.11604969809568066</v>
      </c>
    </row>
    <row r="39" spans="2:11">
      <c r="H39" s="67">
        <v>10</v>
      </c>
      <c r="I39" s="48" t="s">
        <v>85</v>
      </c>
      <c r="J39" s="66">
        <f>FORECAST(H39,$J$30:$J$38,$H$30:$H$38)</f>
        <v>8932.6122222222239</v>
      </c>
      <c r="K39" s="65">
        <f t="shared" si="1"/>
        <v>-7.0625129042095836E-2</v>
      </c>
    </row>
    <row r="40" spans="2:11">
      <c r="H40" s="67">
        <v>11</v>
      </c>
      <c r="I40" s="48" t="s">
        <v>84</v>
      </c>
      <c r="J40" s="66">
        <f>FORECAST(H40,$J$30:$J$38,$H$30:$H$38)</f>
        <v>9521.4508888888922</v>
      </c>
      <c r="K40" s="65">
        <f t="shared" si="1"/>
        <v>6.5920097281484624E-2</v>
      </c>
    </row>
    <row r="41" spans="2:11">
      <c r="H41" s="67">
        <v>12</v>
      </c>
      <c r="I41" s="48" t="s">
        <v>83</v>
      </c>
      <c r="J41" s="66">
        <f>FORECAST(H41,$J$30:$J$38,$H$30:$H$38)</f>
        <v>10110.289555555559</v>
      </c>
      <c r="K41" s="65">
        <f t="shared" si="1"/>
        <v>6.1843375924336863E-2</v>
      </c>
    </row>
    <row r="42" spans="2:11">
      <c r="H42" s="67">
        <v>13</v>
      </c>
      <c r="I42" s="48" t="s">
        <v>82</v>
      </c>
      <c r="J42" s="66">
        <f>FORECAST(H42,$J$30:$J$38,$H$30:$H$38)</f>
        <v>10699.128222222225</v>
      </c>
      <c r="K42" s="65">
        <f t="shared" si="1"/>
        <v>5.824152349257905E-2</v>
      </c>
    </row>
    <row r="43" spans="2:11">
      <c r="H43" s="67">
        <v>14</v>
      </c>
      <c r="I43" s="48" t="s">
        <v>81</v>
      </c>
      <c r="J43" s="66">
        <f>FORECAST(H43,$J$30:$J$38,$H$30:$H$38)</f>
        <v>11287.966888888892</v>
      </c>
      <c r="K43" s="65">
        <f t="shared" si="1"/>
        <v>5.5036135135163811E-2</v>
      </c>
    </row>
    <row r="46" spans="2:11">
      <c r="B46" s="514" t="str">
        <f>"Net Profit Forcasting - "&amp;'[2]Balance Sheet'!A1</f>
        <v>Net Profit Forcasting - BAJAJ AUTO LTD</v>
      </c>
      <c r="C46" s="514"/>
      <c r="D46" s="514"/>
      <c r="E46" s="514"/>
      <c r="F46" s="514"/>
    </row>
    <row r="47" spans="2:11">
      <c r="B47" s="72" t="str">
        <f>B11</f>
        <v>Year Weight</v>
      </c>
      <c r="C47" s="73" t="str">
        <f>C11</f>
        <v>Year</v>
      </c>
      <c r="D47" s="72" t="s">
        <v>80</v>
      </c>
      <c r="E47" s="515" t="s">
        <v>79</v>
      </c>
      <c r="F47" s="515"/>
    </row>
    <row r="48" spans="2:11">
      <c r="B48" s="71">
        <v>1</v>
      </c>
      <c r="C48" s="70" t="str">
        <f t="shared" ref="C48:C61" si="2">C12</f>
        <v>2017A</v>
      </c>
      <c r="D48" s="69">
        <f>'Historical FS'!C40</f>
        <v>2524.5099356461515</v>
      </c>
    </row>
    <row r="49" spans="2:11">
      <c r="B49" s="71">
        <v>2</v>
      </c>
      <c r="C49" s="70" t="str">
        <f t="shared" si="2"/>
        <v>2018A</v>
      </c>
      <c r="D49" s="69">
        <f>'Historical FS'!D40</f>
        <v>2834.5799480363512</v>
      </c>
      <c r="E49" s="68">
        <f t="shared" ref="E49:E61" si="3">D49/D48-1</f>
        <v>0.12282384315941974</v>
      </c>
    </row>
    <row r="50" spans="2:11">
      <c r="B50" s="71">
        <v>3</v>
      </c>
      <c r="C50" s="70" t="str">
        <f t="shared" si="2"/>
        <v>2019A</v>
      </c>
      <c r="D50" s="69">
        <f>'Historical FS'!E40</f>
        <v>2786.9298524259025</v>
      </c>
      <c r="E50" s="68">
        <f t="shared" si="3"/>
        <v>-1.681028458677214E-2</v>
      </c>
    </row>
    <row r="51" spans="2:11">
      <c r="B51" s="71">
        <v>4</v>
      </c>
      <c r="C51" s="70" t="str">
        <f t="shared" si="2"/>
        <v>2020A</v>
      </c>
      <c r="D51" s="69">
        <f>'Historical FS'!F40</f>
        <v>3253.5098943802614</v>
      </c>
      <c r="E51" s="68">
        <f t="shared" si="3"/>
        <v>0.16741721774885043</v>
      </c>
    </row>
    <row r="52" spans="2:11">
      <c r="B52" s="71">
        <v>5</v>
      </c>
      <c r="C52" s="70" t="str">
        <f t="shared" si="2"/>
        <v>2021A</v>
      </c>
      <c r="D52" s="69">
        <f>'Historical FS'!G40</f>
        <v>2848.3797599228301</v>
      </c>
      <c r="E52" s="68">
        <f t="shared" si="3"/>
        <v>-0.12452094741042785</v>
      </c>
    </row>
    <row r="53" spans="2:11">
      <c r="B53" s="71">
        <v>6</v>
      </c>
      <c r="C53" s="70" t="str">
        <f t="shared" si="2"/>
        <v>2022A</v>
      </c>
      <c r="D53" s="69">
        <f>'Historical FS'!H40</f>
        <v>3870.4897387215037</v>
      </c>
      <c r="E53" s="68">
        <f t="shared" si="3"/>
        <v>0.35883908219680838</v>
      </c>
    </row>
    <row r="54" spans="2:11">
      <c r="B54" s="71">
        <v>7</v>
      </c>
      <c r="C54" s="70" t="str">
        <f t="shared" si="2"/>
        <v>2023A</v>
      </c>
      <c r="D54" s="69">
        <f>'Historical FS'!I40</f>
        <v>4156.8489162093465</v>
      </c>
      <c r="E54" s="68">
        <f t="shared" si="3"/>
        <v>7.398525685858881E-2</v>
      </c>
    </row>
    <row r="55" spans="2:11">
      <c r="B55" s="71">
        <v>8</v>
      </c>
      <c r="C55" s="70" t="str">
        <f t="shared" si="2"/>
        <v>2024A</v>
      </c>
      <c r="D55" s="69">
        <f>'Historical FS'!J40</f>
        <v>5855.0686547933719</v>
      </c>
      <c r="E55" s="68">
        <f t="shared" si="3"/>
        <v>0.40853535281543052</v>
      </c>
    </row>
    <row r="56" spans="2:11">
      <c r="B56" s="71">
        <v>9</v>
      </c>
      <c r="C56" s="70" t="str">
        <f t="shared" si="2"/>
        <v>2025A</v>
      </c>
      <c r="D56" s="69">
        <f>'Historical FS'!K40</f>
        <v>5909.482373694841</v>
      </c>
      <c r="E56" s="68">
        <f t="shared" si="3"/>
        <v>9.2934382343958788E-3</v>
      </c>
    </row>
    <row r="57" spans="2:11">
      <c r="B57" s="67">
        <v>10</v>
      </c>
      <c r="C57" s="48" t="str">
        <f t="shared" si="2"/>
        <v>2026E</v>
      </c>
      <c r="D57" s="66">
        <f>FORECAST(B57,$D$48:$D$56,$B$48:$B$56)</f>
        <v>5945.3810507901144</v>
      </c>
      <c r="E57" s="65">
        <f t="shared" si="3"/>
        <v>6.0747582994866711E-3</v>
      </c>
    </row>
    <row r="58" spans="2:11">
      <c r="B58" s="67">
        <v>11</v>
      </c>
      <c r="C58" s="48" t="str">
        <f t="shared" si="2"/>
        <v>2027E</v>
      </c>
      <c r="D58" s="66">
        <f>FORECAST(B58,$D$48:$D$56,$B$48:$B$56)</f>
        <v>6378.0172815296792</v>
      </c>
      <c r="E58" s="65">
        <f t="shared" si="3"/>
        <v>7.2768461271640383E-2</v>
      </c>
    </row>
    <row r="59" spans="2:11">
      <c r="B59" s="67">
        <v>12</v>
      </c>
      <c r="C59" s="48" t="str">
        <f t="shared" si="2"/>
        <v>2028E</v>
      </c>
      <c r="D59" s="66">
        <f>FORECAST(B59,$D$48:$D$56,$B$48:$B$56)</f>
        <v>6810.6535122692458</v>
      </c>
      <c r="E59" s="65">
        <f t="shared" si="3"/>
        <v>6.7832401770445694E-2</v>
      </c>
    </row>
    <row r="60" spans="2:11">
      <c r="B60" s="67">
        <v>13</v>
      </c>
      <c r="C60" s="48" t="str">
        <f t="shared" si="2"/>
        <v>2029E</v>
      </c>
      <c r="D60" s="66">
        <f>FORECAST(B60,$D$48:$D$56,$B$48:$B$56)</f>
        <v>7243.2897430088105</v>
      </c>
      <c r="E60" s="65">
        <f t="shared" si="3"/>
        <v>6.3523453360265547E-2</v>
      </c>
    </row>
    <row r="61" spans="2:11">
      <c r="B61" s="67">
        <v>14</v>
      </c>
      <c r="C61" s="48" t="str">
        <f t="shared" si="2"/>
        <v>2030E</v>
      </c>
      <c r="D61" s="66">
        <f>FORECAST(B61,$D$48:$D$56,$B$48:$B$56)</f>
        <v>7675.9259737483771</v>
      </c>
      <c r="E61" s="65">
        <f t="shared" si="3"/>
        <v>5.9729245424310795E-2</v>
      </c>
    </row>
    <row r="63" spans="2:11">
      <c r="B63" s="64"/>
      <c r="C63" s="64"/>
      <c r="D63" s="64"/>
      <c r="E63" s="64"/>
      <c r="F63" s="64"/>
      <c r="G63" s="64"/>
      <c r="H63" s="64"/>
      <c r="I63" s="64"/>
      <c r="J63" s="64"/>
      <c r="K63" s="64"/>
    </row>
    <row r="64" spans="2:11" ht="10.5" customHeight="1" thickBot="1">
      <c r="B64" s="59"/>
      <c r="C64" s="59"/>
      <c r="D64" s="59"/>
      <c r="E64" s="59"/>
      <c r="F64" s="59"/>
      <c r="G64" s="59"/>
      <c r="H64" s="59"/>
      <c r="I64" s="59"/>
      <c r="J64" s="59"/>
      <c r="K64" s="59"/>
    </row>
    <row r="65" ht="15.75" thickTop="1"/>
  </sheetData>
  <mergeCells count="2">
    <mergeCell ref="B46:F46"/>
    <mergeCell ref="E47:F47"/>
  </mergeCells>
  <printOptions horizontalCentered="1" verticalCentered="1"/>
  <pageMargins left="0" right="0" top="0" bottom="0" header="0" footer="0"/>
  <pageSetup paperSize="9" scale="55" orientation="portrait" r:id="rId1"/>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dimension ref="B2:M50"/>
  <sheetViews>
    <sheetView showGridLines="0" workbookViewId="0">
      <selection activeCell="B8" sqref="B8"/>
    </sheetView>
  </sheetViews>
  <sheetFormatPr defaultColWidth="11.7109375" defaultRowHeight="15"/>
  <cols>
    <col min="1" max="1" width="2.7109375" style="1" customWidth="1"/>
    <col min="2" max="2" width="30.5703125" style="1" customWidth="1"/>
    <col min="3" max="3" width="11.7109375" style="1"/>
    <col min="4" max="5" width="12.28515625" style="1" bestFit="1" customWidth="1"/>
    <col min="6" max="9" width="11.85546875" style="1" bestFit="1" customWidth="1"/>
    <col min="10" max="11" width="11.85546875" style="1" customWidth="1"/>
    <col min="12" max="16384" width="11.7109375" style="1"/>
  </cols>
  <sheetData>
    <row r="2" spans="2:13">
      <c r="B2" s="3" t="s">
        <v>0</v>
      </c>
      <c r="C2" s="3" t="s">
        <v>0</v>
      </c>
      <c r="D2" s="3" t="s">
        <v>0</v>
      </c>
      <c r="E2" s="3" t="s">
        <v>0</v>
      </c>
      <c r="F2" s="3" t="s">
        <v>0</v>
      </c>
      <c r="G2" s="3" t="s">
        <v>0</v>
      </c>
      <c r="H2" s="3" t="s">
        <v>0</v>
      </c>
      <c r="I2" s="3" t="s">
        <v>0</v>
      </c>
      <c r="J2" s="3"/>
      <c r="K2" s="3"/>
      <c r="L2" s="3" t="s">
        <v>0</v>
      </c>
      <c r="M2" s="3" t="s">
        <v>0</v>
      </c>
    </row>
    <row r="3" spans="2:13" ht="9.75" customHeight="1" thickBot="1">
      <c r="B3" s="59"/>
      <c r="C3" s="59"/>
      <c r="D3" s="59"/>
      <c r="E3" s="59"/>
      <c r="F3" s="59"/>
      <c r="G3" s="59"/>
      <c r="H3" s="59"/>
      <c r="I3" s="59"/>
      <c r="J3" s="59"/>
      <c r="K3" s="59"/>
      <c r="L3" s="59"/>
    </row>
    <row r="4" spans="2:13" ht="36" thickTop="1">
      <c r="B4" s="63" t="str">
        <f>'[2]Data Sheet'!B1</f>
        <v>BAJAJ AUTO LTD</v>
      </c>
      <c r="M4" s="101"/>
    </row>
    <row r="5" spans="2:13">
      <c r="B5" s="62" t="str">
        <f>CONCATENATE(" ",VLOOKUP(B4,'[2]LIST OF STOCKS'!B5:D5444,3,FALSE)," | ","Bse Code: ",VLOOKUP(B4,'[2]LIST OF STOCKS'!B5:E5444,2,FALSE),)</f>
        <v xml:space="preserve"> BAJAJ-AUTO | Bse Code: 532977</v>
      </c>
    </row>
    <row r="6" spans="2:13" ht="13.5" customHeight="1" thickBot="1">
      <c r="B6" s="113"/>
      <c r="C6" s="59"/>
      <c r="D6" s="59"/>
      <c r="E6" s="59"/>
      <c r="F6" s="59"/>
      <c r="G6" s="59"/>
      <c r="H6" s="59"/>
      <c r="I6" s="60"/>
      <c r="J6" s="60"/>
      <c r="K6" s="60"/>
      <c r="L6" s="59"/>
      <c r="M6" s="59"/>
    </row>
    <row r="7" spans="2:13" ht="9" customHeight="1" thickTop="1">
      <c r="B7" s="25"/>
      <c r="C7" s="58"/>
      <c r="D7" s="58"/>
      <c r="E7" s="58"/>
      <c r="F7" s="58"/>
      <c r="G7" s="58"/>
      <c r="I7" s="57"/>
      <c r="J7" s="57"/>
      <c r="K7" s="57"/>
    </row>
    <row r="8" spans="2:13" ht="17.25" customHeight="1">
      <c r="B8" s="112" t="str">
        <f>"Ratio Analysis - "&amp;'[2]Balance Sheet'!A1</f>
        <v>Ratio Analysis - BAJAJ AUTO LTD</v>
      </c>
      <c r="C8" s="55"/>
      <c r="D8" s="54"/>
      <c r="E8" s="111"/>
      <c r="F8" s="111"/>
      <c r="G8" s="110"/>
      <c r="H8" s="53"/>
      <c r="I8" s="53"/>
      <c r="J8" s="53"/>
      <c r="K8" s="53"/>
      <c r="L8" s="53"/>
      <c r="M8" s="53"/>
    </row>
    <row r="9" spans="2:13">
      <c r="B9" s="52" t="s">
        <v>77</v>
      </c>
      <c r="C9" s="51">
        <f>IFERROR('[2]Data Sheet'!C16,0)</f>
        <v>42825</v>
      </c>
      <c r="D9" s="51">
        <f>IFERROR('[2]Data Sheet'!D16,0)</f>
        <v>43190</v>
      </c>
      <c r="E9" s="51">
        <f>IFERROR('[2]Data Sheet'!E16,0)</f>
        <v>43555</v>
      </c>
      <c r="F9" s="51">
        <f>IFERROR('[2]Data Sheet'!F16,0)</f>
        <v>43921</v>
      </c>
      <c r="G9" s="51">
        <f>IFERROR('[2]Data Sheet'!G16,0)</f>
        <v>44286</v>
      </c>
      <c r="H9" s="51">
        <f>IFERROR('[2]Data Sheet'!H16,0)</f>
        <v>44651</v>
      </c>
      <c r="I9" s="51">
        <f>IFERROR('[2]Data Sheet'!I16,0)</f>
        <v>45016</v>
      </c>
      <c r="J9" s="51">
        <f>IFERROR('[2]Data Sheet'!J16,0)</f>
        <v>45382</v>
      </c>
      <c r="K9" s="51">
        <f>IFERROR('[2]Data Sheet'!K16,0)</f>
        <v>45747</v>
      </c>
      <c r="L9" s="51" t="s">
        <v>128</v>
      </c>
      <c r="M9" s="51" t="s">
        <v>127</v>
      </c>
    </row>
    <row r="10" spans="2:13">
      <c r="B10" s="50"/>
      <c r="C10" s="49"/>
      <c r="D10" s="49"/>
      <c r="E10" s="49"/>
      <c r="F10" s="49"/>
      <c r="G10" s="49"/>
      <c r="H10" s="49"/>
      <c r="I10" s="49"/>
      <c r="J10" s="49"/>
      <c r="K10" s="49"/>
      <c r="L10" s="17"/>
      <c r="M10" s="17"/>
    </row>
    <row r="11" spans="2:13">
      <c r="B11" s="102" t="s">
        <v>72</v>
      </c>
      <c r="C11" s="102" t="s">
        <v>71</v>
      </c>
      <c r="D11" s="109">
        <f>IFERROR('Historical FS'!D14,0)</f>
        <v>0.15882576286893135</v>
      </c>
      <c r="E11" s="109">
        <f>IFERROR('Historical FS'!E14,0)</f>
        <v>0.20419334762135399</v>
      </c>
      <c r="F11" s="109">
        <f>IFERROR('Historical FS'!F14,0)</f>
        <v>-1.4460285602005185E-2</v>
      </c>
      <c r="G11" s="109">
        <f>IFERROR('Historical FS'!G14,0)</f>
        <v>-7.2783029982970482E-2</v>
      </c>
      <c r="H11" s="109">
        <f>IFERROR('Historical FS'!H14,0)</f>
        <v>0.19478801834679826</v>
      </c>
      <c r="I11" s="109">
        <f>IFERROR('Historical FS'!I14,0)</f>
        <v>9.9885321066317978E-2</v>
      </c>
      <c r="J11" s="109">
        <f>IFERROR('Historical FS'!J14,0)</f>
        <v>0.23083149867042962</v>
      </c>
      <c r="K11" s="109">
        <f>IFERROR('Historical FS'!K14,0)</f>
        <v>0.13648454004118094</v>
      </c>
      <c r="L11" s="109">
        <f>IFERROR(AVERAGE(D11:I11),0)</f>
        <v>9.5074855719737658E-2</v>
      </c>
      <c r="M11" s="109">
        <f>IFERROR(MEDIAN(D11:I11),0)</f>
        <v>0.12935554196762467</v>
      </c>
    </row>
    <row r="12" spans="2:13" s="17" customFormat="1">
      <c r="B12" s="1" t="s">
        <v>126</v>
      </c>
      <c r="C12" s="27"/>
      <c r="D12" s="27">
        <f>IFERROR('Historical FS'!D34/'Historical FS'!C34-1,0)</f>
        <v>0.12807433966152604</v>
      </c>
      <c r="E12" s="27">
        <f>IFERROR('Historical FS'!E34/'Historical FS'!D34-1,0)</f>
        <v>5.8442951259374931E-2</v>
      </c>
      <c r="F12" s="27">
        <f>IFERROR('Historical FS'!F34/'Historical FS'!E34-1,0)</f>
        <v>-1.6860120030023018E-2</v>
      </c>
      <c r="G12" s="27">
        <f>IFERROR('Historical FS'!G34/'Historical FS'!F34-1,0)</f>
        <v>-0.1058235568218906</v>
      </c>
      <c r="H12" s="27">
        <f>IFERROR('Historical FS'!H34/'Historical FS'!G34-1,0)</f>
        <v>0.26543014005476073</v>
      </c>
      <c r="I12" s="27">
        <f>IFERROR('Historical FS'!I34/'Historical FS'!H34-1,0)</f>
        <v>0.10871668985926419</v>
      </c>
      <c r="J12" s="27">
        <f>IFERROR('Historical FS'!J34/'Historical FS'!I34-1,0)</f>
        <v>0.37858124427675777</v>
      </c>
      <c r="K12" s="27">
        <f>IFERROR('Historical FS'!K34/'Historical FS'!J34-1,0)</f>
        <v>7.5903711797994156E-2</v>
      </c>
      <c r="L12" s="27">
        <f>IFERROR(AVERAGE(D12:I12),0)</f>
        <v>7.299674066383538E-2</v>
      </c>
      <c r="M12" s="27">
        <f>IFERROR(MEDIAN(D12:I12),0)</f>
        <v>8.3579820559319562E-2</v>
      </c>
    </row>
    <row r="13" spans="2:13">
      <c r="B13" s="1" t="s">
        <v>125</v>
      </c>
      <c r="C13" s="27"/>
      <c r="D13" s="27">
        <f>IFERROR('Historical FS'!D40/'Historical FS'!C40-1,0)</f>
        <v>0.12282384315941974</v>
      </c>
      <c r="E13" s="27">
        <f>IFERROR('Historical FS'!E40/'Historical FS'!D40-1,0)</f>
        <v>-1.681028458677214E-2</v>
      </c>
      <c r="F13" s="27">
        <f>IFERROR('Historical FS'!F40/'Historical FS'!E40-1,0)</f>
        <v>0.16741721774885043</v>
      </c>
      <c r="G13" s="27">
        <f>IFERROR('Historical FS'!G40/'Historical FS'!F40-1,0)</f>
        <v>-0.12452094741042785</v>
      </c>
      <c r="H13" s="27">
        <f>IFERROR('Historical FS'!H40/'Historical FS'!G40-1,0)</f>
        <v>0.35883908219680838</v>
      </c>
      <c r="I13" s="27">
        <f>IFERROR('Historical FS'!I40/'Historical FS'!H40-1,0)</f>
        <v>7.398525685858881E-2</v>
      </c>
      <c r="J13" s="27">
        <f>IFERROR('Historical FS'!J40/'Historical FS'!I40-1,0)</f>
        <v>0.40853535281543052</v>
      </c>
      <c r="K13" s="27">
        <f>IFERROR('Historical FS'!K40/'Historical FS'!J40-1,0)</f>
        <v>9.2934382343958788E-3</v>
      </c>
      <c r="L13" s="27">
        <f>IFERROR(AVERAGE(D13:I13),0)</f>
        <v>9.6955694661077896E-2</v>
      </c>
      <c r="M13" s="27">
        <f>IFERROR(MEDIAN(D13:I13),0)</f>
        <v>9.8404550009004277E-2</v>
      </c>
    </row>
    <row r="14" spans="2:13">
      <c r="B14" s="1" t="s">
        <v>124</v>
      </c>
      <c r="C14" s="27"/>
      <c r="D14" s="27">
        <f>IFERROR('Historical FS'!D48/'Historical FS'!C48-1,0)</f>
        <v>9.0905663696796868E-2</v>
      </c>
      <c r="E14" s="27">
        <f>IFERROR('Historical FS'!E48/'Historical FS'!D48-1,0)</f>
        <v>0</v>
      </c>
      <c r="F14" s="27">
        <f>IFERROR('Historical FS'!F48/'Historical FS'!E48-1,0)</f>
        <v>1</v>
      </c>
      <c r="G14" s="27">
        <f>IFERROR('Historical FS'!G48/'Historical FS'!F48-1,0)</f>
        <v>0.16666666666666652</v>
      </c>
      <c r="H14" s="27">
        <f>IFERROR('Historical FS'!H48/'Historical FS'!G48-1,0)</f>
        <v>0</v>
      </c>
      <c r="I14" s="27">
        <f>IFERROR('Historical FS'!I48/'Historical FS'!H48-1,0)</f>
        <v>-3.7683912083252835E-5</v>
      </c>
      <c r="J14" s="27">
        <f>IFERROR('Historical FS'!J48/'Historical FS'!I48-1,0)</f>
        <v>-0.42853158892989163</v>
      </c>
      <c r="K14" s="27">
        <f>IFERROR('Historical FS'!K48/'Historical FS'!J48-1,0)</f>
        <v>1.624812083938624</v>
      </c>
      <c r="L14" s="27">
        <f>IFERROR(AVERAGE(D14:I14),0)</f>
        <v>0.20958910774189668</v>
      </c>
      <c r="M14" s="27">
        <f>IFERROR(MEDIAN(D14:I14),0)</f>
        <v>4.5452831848398434E-2</v>
      </c>
    </row>
    <row r="15" spans="2:13">
      <c r="B15" s="1" t="s">
        <v>95</v>
      </c>
      <c r="C15" s="27"/>
      <c r="D15" s="27">
        <f>IFERROR('Historical FS'!D25/'Historical FS'!C25-1,0)</f>
        <v>0.12067666834820234</v>
      </c>
      <c r="E15" s="27">
        <f>IFERROR('Historical FS'!E25/'Historical FS'!D25-1,0)</f>
        <v>4.5203035460293473E-2</v>
      </c>
      <c r="F15" s="27">
        <f>IFERROR('Historical FS'!F25/'Historical FS'!E25-1,0)</f>
        <v>-2.0011484578414507E-2</v>
      </c>
      <c r="G15" s="27">
        <f>IFERROR('Historical FS'!G25/'Historical FS'!F25-1,0)</f>
        <v>-9.722434039957295E-2</v>
      </c>
      <c r="H15" s="27">
        <f>IFERROR('Historical FS'!H25/'Historical FS'!G25-1,0)</f>
        <v>0.25248843029950074</v>
      </c>
      <c r="I15" s="27">
        <f>IFERROR('Historical FS'!I25/'Historical FS'!H25-1,0)</f>
        <v>0.11167546923360838</v>
      </c>
      <c r="J15" s="27">
        <f>IFERROR('Historical FS'!J25/'Historical FS'!I25-1,0)</f>
        <v>0.37484474726930905</v>
      </c>
      <c r="K15" s="27">
        <f>IFERROR('Historical FS'!K25/'Historical FS'!J25-1,0)</f>
        <v>0.11604969809568066</v>
      </c>
      <c r="L15" s="27">
        <f>IFERROR(AVERAGE(D15:I15),0)</f>
        <v>6.8801296393936243E-2</v>
      </c>
      <c r="M15" s="27">
        <f>IFERROR(MEDIAN(D15:I15),0)</f>
        <v>7.8439252346950927E-2</v>
      </c>
    </row>
    <row r="16" spans="2:13">
      <c r="B16" s="106"/>
      <c r="C16" s="106"/>
      <c r="D16" s="106"/>
      <c r="E16" s="106"/>
      <c r="F16" s="106"/>
      <c r="G16" s="106"/>
      <c r="H16" s="106"/>
      <c r="I16" s="106"/>
      <c r="J16" s="106"/>
      <c r="K16" s="106"/>
      <c r="L16" s="105"/>
      <c r="M16" s="105"/>
    </row>
    <row r="17" spans="2:13">
      <c r="B17" s="1" t="s">
        <v>123</v>
      </c>
      <c r="C17" s="27">
        <f>IFERROR('Historical FS'!C20,0)</f>
        <v>0.24819349548052114</v>
      </c>
      <c r="D17" s="27">
        <f>IFERROR('Historical FS'!D20,0)</f>
        <v>0.24181701416862333</v>
      </c>
      <c r="E17" s="27">
        <f>IFERROR('Historical FS'!E20,0)</f>
        <v>0.21206497345148498</v>
      </c>
      <c r="F17" s="27">
        <f>IFERROR('Historical FS'!F20,0)</f>
        <v>0.21972749438895139</v>
      </c>
      <c r="G17" s="27">
        <f>IFERROR('Historical FS'!G20,0)</f>
        <v>0.20575803104998078</v>
      </c>
      <c r="H17" s="27">
        <f>IFERROR('Historical FS'!H20,0)</f>
        <v>0.20759029118070427</v>
      </c>
      <c r="I17" s="27">
        <f>IFERROR('Historical FS'!I20,0)</f>
        <v>0.21339017725230125</v>
      </c>
      <c r="J17" s="27">
        <f>IFERROR('Historical FS'!J20,0)</f>
        <v>0.22979699548232552</v>
      </c>
      <c r="K17" s="27">
        <f>IFERROR('Historical FS'!K20,0)</f>
        <v>0.25236716472642673</v>
      </c>
      <c r="L17" s="27">
        <f>IFERROR(AVERAGE(C17:I17),0)</f>
        <v>0.221220210996081</v>
      </c>
      <c r="M17" s="27">
        <f>IFERROR(MEDIAN(C17:I17),0)</f>
        <v>0.21339017725230125</v>
      </c>
    </row>
    <row r="18" spans="2:13">
      <c r="B18" s="1" t="s">
        <v>122</v>
      </c>
      <c r="C18" s="27">
        <f>IFERROR('Historical FS'!C26,0)</f>
        <v>0.19955531489258432</v>
      </c>
      <c r="D18" s="27">
        <f>IFERROR('Historical FS'!D26,0)</f>
        <v>0.19298585914359948</v>
      </c>
      <c r="E18" s="27">
        <f>IFERROR('Historical FS'!E26,0)</f>
        <v>0.16750582967115696</v>
      </c>
      <c r="F18" s="27">
        <f>IFERROR('Historical FS'!F26,0)</f>
        <v>0.16656232817991454</v>
      </c>
      <c r="G18" s="27">
        <f>IFERROR('Historical FS'!G26,0)</f>
        <v>0.16217176836662453</v>
      </c>
      <c r="H18" s="27">
        <f>IFERROR('Historical FS'!H26,0)</f>
        <v>0.17000359936774226</v>
      </c>
      <c r="I18" s="27">
        <f>IFERROR('Historical FS'!I26,0)</f>
        <v>0.17182594174028629</v>
      </c>
      <c r="J18" s="27">
        <f>IFERROR('Historical FS'!J26,0)</f>
        <v>0.19193040940325296</v>
      </c>
      <c r="K18" s="27">
        <f>IFERROR('Historical FS'!K26,0)</f>
        <v>0.18847935710776945</v>
      </c>
      <c r="L18" s="27">
        <f>IFERROR(AVERAGE(C18:I18),0)</f>
        <v>0.17580152019455836</v>
      </c>
      <c r="M18" s="27">
        <f>IFERROR(MEDIAN(C18:I18),0)</f>
        <v>0.17000359936774226</v>
      </c>
    </row>
    <row r="19" spans="2:13">
      <c r="B19" s="1" t="s">
        <v>121</v>
      </c>
      <c r="C19" s="27">
        <f>IFERROR(('Historical FS'!C25-'Historical FS'!C31)/'Historical FS'!C13,0)</f>
        <v>0.18543010436355889</v>
      </c>
      <c r="D19" s="27">
        <f>IFERROR(('Historical FS'!D25-'Historical FS'!D31)/'Historical FS'!D13,0)</f>
        <v>0.18049871618048929</v>
      </c>
      <c r="E19" s="27">
        <f>IFERROR(('Historical FS'!E25-'Historical FS'!E31)/'Historical FS'!E13,0)</f>
        <v>0.15875382893855694</v>
      </c>
      <c r="F19" s="27">
        <f>IFERROR(('Historical FS'!F25-'Historical FS'!F31)/'Historical FS'!F13,0)</f>
        <v>0.15832565974734822</v>
      </c>
      <c r="G19" s="27">
        <f>IFERROR(('Historical FS'!G25-'Historical FS'!G31)/'Historical FS'!G13,0)</f>
        <v>0.15282209632790072</v>
      </c>
      <c r="H19" s="27">
        <f>IFERROR(('Historical FS'!H25-'Historical FS'!H31)/'Historical FS'!H13,0)</f>
        <v>0.16186474402702575</v>
      </c>
      <c r="I19" s="27">
        <f>IFERROR(('Historical FS'!I25-'Historical FS'!I31)/'Historical FS'!I13,0)</f>
        <v>0.16398484942414529</v>
      </c>
      <c r="J19" s="27">
        <f>IFERROR(('Historical FS'!J25-'Historical FS'!J31)/'Historical FS'!J13,0)</f>
        <v>0.18380100212991057</v>
      </c>
      <c r="K19" s="27">
        <f>IFERROR(('Historical FS'!K25-'Historical FS'!K31)/'Historical FS'!K13,0)</f>
        <v>0.18035633219628383</v>
      </c>
      <c r="L19" s="27">
        <f>IFERROR(AVERAGE(C19:I19),0)</f>
        <v>0.16595428557271788</v>
      </c>
      <c r="M19" s="27">
        <f>IFERROR(MEDIAN(C19:I19),0)</f>
        <v>0.16186474402702575</v>
      </c>
    </row>
    <row r="20" spans="2:13">
      <c r="B20" s="1" t="s">
        <v>120</v>
      </c>
      <c r="C20" s="27">
        <f>IFERROR('Historical FS'!C23,0)</f>
        <v>4.8638180587936779E-2</v>
      </c>
      <c r="D20" s="27">
        <f>IFERROR('Historical FS'!D23,0)</f>
        <v>4.8831155025023866E-2</v>
      </c>
      <c r="E20" s="27">
        <f>IFERROR('Historical FS'!E23,0)</f>
        <v>4.4559143780328041E-2</v>
      </c>
      <c r="F20" s="27">
        <f>IFERROR('Historical FS'!F23,0)</f>
        <v>5.3165166209036836E-2</v>
      </c>
      <c r="G20" s="27">
        <f>IFERROR('Historical FS'!G23,0)</f>
        <v>4.3586262683356233E-2</v>
      </c>
      <c r="H20" s="27">
        <f>IFERROR('Historical FS'!H23,0)</f>
        <v>3.7586691812962009E-2</v>
      </c>
      <c r="I20" s="27">
        <f>IFERROR('Historical FS'!I23,0)</f>
        <v>4.1564235512014963E-2</v>
      </c>
      <c r="J20" s="27">
        <f>IFERROR('Historical FS'!J23,0)</f>
        <v>3.7866586079072569E-2</v>
      </c>
      <c r="K20" s="27">
        <f>IFERROR('Historical FS'!K23,0)</f>
        <v>6.3887807618657297E-2</v>
      </c>
      <c r="L20" s="27">
        <f>IFERROR(AVERAGE(C20:I20),0)</f>
        <v>4.5418690801522672E-2</v>
      </c>
      <c r="M20" s="27">
        <f>IFERROR(MEDIAN(C20:I20),0)</f>
        <v>4.4559143780328041E-2</v>
      </c>
    </row>
    <row r="21" spans="2:13">
      <c r="B21" s="1" t="s">
        <v>119</v>
      </c>
      <c r="C21" s="27">
        <f>IFERROR('Historical FS'!C41,0)</f>
        <v>0.11604423939476818</v>
      </c>
      <c r="D21" s="27">
        <f>IFERROR('Historical FS'!D41,0)</f>
        <v>0.11243902494121766</v>
      </c>
      <c r="E21" s="27">
        <f>IFERROR('Historical FS'!E41,0)</f>
        <v>9.1803274907359442E-2</v>
      </c>
      <c r="F21" s="27">
        <f>IFERROR('Historical FS'!F41,0)</f>
        <v>0.10874521057535221</v>
      </c>
      <c r="G21" s="27">
        <f>IFERROR('Historical FS'!G41,0)</f>
        <v>0.10267732041877353</v>
      </c>
      <c r="H21" s="27">
        <f>IFERROR('Historical FS'!H41,0)</f>
        <v>0.11677548962478489</v>
      </c>
      <c r="I21" s="27">
        <f>IFERROR('Historical FS'!I41,0)</f>
        <v>0.11402566414639888</v>
      </c>
      <c r="J21" s="27">
        <f>IFERROR('Historical FS'!J41,0)</f>
        <v>0.13048835624693972</v>
      </c>
      <c r="K21" s="27">
        <f>IFERROR('Historical FS'!K41,0)</f>
        <v>0.11588458715087868</v>
      </c>
      <c r="L21" s="27">
        <f>IFERROR(AVERAGE(C21:I21),0)</f>
        <v>0.1089300320012364</v>
      </c>
      <c r="M21" s="27">
        <f>IFERROR(MEDIAN(C21:I21),0)</f>
        <v>0.11243902494121766</v>
      </c>
    </row>
    <row r="22" spans="2:13">
      <c r="B22" s="106"/>
      <c r="C22" s="106"/>
      <c r="D22" s="106"/>
      <c r="E22" s="106"/>
      <c r="F22" s="106"/>
      <c r="G22" s="106"/>
      <c r="H22" s="106"/>
      <c r="I22" s="106"/>
      <c r="J22" s="106"/>
      <c r="K22" s="106"/>
      <c r="L22" s="105"/>
      <c r="M22" s="105"/>
    </row>
    <row r="23" spans="2:13">
      <c r="B23" s="1" t="s">
        <v>118</v>
      </c>
      <c r="C23" s="27">
        <f>IFERROR('Historical FS'!C23,0)</f>
        <v>4.8638180587936779E-2</v>
      </c>
      <c r="D23" s="27">
        <f>IFERROR('Historical FS'!D23,0)</f>
        <v>4.8831155025023866E-2</v>
      </c>
      <c r="E23" s="27">
        <f>IFERROR('Historical FS'!E23,0)</f>
        <v>4.4559143780328041E-2</v>
      </c>
      <c r="F23" s="27">
        <f>IFERROR('Historical FS'!F23,0)</f>
        <v>5.3165166209036836E-2</v>
      </c>
      <c r="G23" s="27">
        <f>IFERROR('Historical FS'!G23,0)</f>
        <v>4.3586262683356233E-2</v>
      </c>
      <c r="H23" s="27">
        <f>IFERROR('Historical FS'!H23,0)</f>
        <v>3.7586691812962009E-2</v>
      </c>
      <c r="I23" s="27">
        <f>IFERROR('Historical FS'!I23,0)</f>
        <v>4.1564235512014963E-2</v>
      </c>
      <c r="J23" s="27">
        <f>IFERROR('Historical FS'!J23,0)</f>
        <v>3.7866586079072569E-2</v>
      </c>
      <c r="K23" s="27">
        <f>IFERROR('Historical FS'!K23,0)</f>
        <v>6.3887807618657297E-2</v>
      </c>
      <c r="L23" s="27">
        <f>IFERROR(AVERAGE(C23:I23),0)</f>
        <v>4.5418690801522672E-2</v>
      </c>
      <c r="M23" s="27">
        <f>IFERROR(MEDIAN(C23:I23),0)</f>
        <v>4.4559143780328041E-2</v>
      </c>
    </row>
    <row r="24" spans="2:13">
      <c r="B24" s="1" t="s">
        <v>117</v>
      </c>
      <c r="C24" s="27">
        <f>IFERROR('Historical FS'!C32,0)</f>
        <v>1.4125210529025425E-2</v>
      </c>
      <c r="D24" s="27">
        <f>IFERROR('Historical FS'!D32,0)</f>
        <v>1.2487142963110171E-2</v>
      </c>
      <c r="E24" s="27">
        <f>IFERROR('Historical FS'!E32,0)</f>
        <v>8.7520007326000078E-3</v>
      </c>
      <c r="F24" s="27">
        <f>IFERROR('Historical FS'!F32,0)</f>
        <v>8.2366684325663082E-3</v>
      </c>
      <c r="G24" s="27">
        <f>IFERROR('Historical FS'!G32,0)</f>
        <v>9.3496720387237983E-3</v>
      </c>
      <c r="H24" s="27">
        <f>IFERROR('Historical FS'!H32,0)</f>
        <v>8.1388553407165127E-3</v>
      </c>
      <c r="I24" s="27">
        <f>IFERROR('Historical FS'!I32,0)</f>
        <v>7.8410923161409928E-3</v>
      </c>
      <c r="J24" s="27">
        <f>IFERROR('Historical FS'!J32,0)</f>
        <v>8.1294072733423765E-3</v>
      </c>
      <c r="K24" s="27">
        <f>IFERROR('Historical FS'!K32,0)</f>
        <v>8.1230249114856382E-3</v>
      </c>
      <c r="L24" s="27">
        <f>IFERROR(AVERAGE(C24:I24),0)</f>
        <v>9.8472346218404592E-3</v>
      </c>
      <c r="M24" s="27">
        <f>IFERROR(MEDIAN(C24:I24),0)</f>
        <v>8.7520007326000078E-3</v>
      </c>
    </row>
    <row r="25" spans="2:13">
      <c r="B25" s="1" t="s">
        <v>116</v>
      </c>
      <c r="C25" s="27">
        <f t="shared" ref="C25:K25" si="0">C19</f>
        <v>0.18543010436355889</v>
      </c>
      <c r="D25" s="27">
        <f t="shared" si="0"/>
        <v>0.18049871618048929</v>
      </c>
      <c r="E25" s="27">
        <f t="shared" si="0"/>
        <v>0.15875382893855694</v>
      </c>
      <c r="F25" s="27">
        <f t="shared" si="0"/>
        <v>0.15832565974734822</v>
      </c>
      <c r="G25" s="27">
        <f t="shared" si="0"/>
        <v>0.15282209632790072</v>
      </c>
      <c r="H25" s="27">
        <f t="shared" si="0"/>
        <v>0.16186474402702575</v>
      </c>
      <c r="I25" s="27">
        <f t="shared" si="0"/>
        <v>0.16398484942414529</v>
      </c>
      <c r="J25" s="27">
        <f t="shared" si="0"/>
        <v>0.18380100212991057</v>
      </c>
      <c r="K25" s="27">
        <f t="shared" si="0"/>
        <v>0.18035633219628383</v>
      </c>
      <c r="L25" s="27">
        <f>IFERROR(AVERAGE(C25:I25),0)</f>
        <v>0.16595428557271788</v>
      </c>
      <c r="M25" s="27">
        <f>IFERROR(MEDIAN(C25:I25),0)</f>
        <v>0.16186474402702575</v>
      </c>
    </row>
    <row r="26" spans="2:13">
      <c r="B26" s="106"/>
      <c r="C26" s="106"/>
      <c r="D26" s="106"/>
      <c r="E26" s="106"/>
      <c r="F26" s="106"/>
      <c r="G26" s="106"/>
      <c r="H26" s="106"/>
      <c r="I26" s="106"/>
      <c r="J26" s="106"/>
      <c r="K26" s="106"/>
      <c r="L26" s="105"/>
      <c r="M26" s="105"/>
    </row>
    <row r="27" spans="2:13">
      <c r="B27" s="1" t="s">
        <v>115</v>
      </c>
      <c r="C27" s="27">
        <f>IFERROR(('Historical FS'!C25-'Historical FS'!C31)/(SUM('Historical FS'!C55:C57)),0)</f>
        <v>0.22440334503937659</v>
      </c>
      <c r="D27" s="27">
        <f>IFERROR(('Historical FS'!D25-'Historical FS'!D31)/(SUM('Historical FS'!D55:D57)),0)</f>
        <v>0.22147171153912623</v>
      </c>
      <c r="E27" s="27">
        <f>IFERROR(('Historical FS'!E25-'Historical FS'!E31)/(SUM('Historical FS'!E55:E57)),0)</f>
        <v>0.20632425348901251</v>
      </c>
      <c r="F27" s="27">
        <f>IFERROR(('Historical FS'!F25-'Historical FS'!F31)/(SUM('Historical FS'!F55:F57)),0)</f>
        <v>0.21741149925623074</v>
      </c>
      <c r="G27" s="27">
        <f>IFERROR(('Historical FS'!G25-'Historical FS'!G31)/(SUM('Historical FS'!G55:G57)),0)</f>
        <v>0.15475331348291602</v>
      </c>
      <c r="H27" s="27">
        <f>IFERROR(('Historical FS'!H25-'Historical FS'!H31)/(SUM('Historical FS'!H55:H57)),0)</f>
        <v>0.17893685699820094</v>
      </c>
      <c r="I27" s="27">
        <f>IFERROR(('Historical FS'!I25-'Historical FS'!I31)/(SUM('Historical FS'!I55:I57)),0)</f>
        <v>0.20274627388058705</v>
      </c>
      <c r="J27" s="27">
        <f>IFERROR(('Historical FS'!J25-'Historical FS'!J31)/(SUM('Historical FS'!J55:J57)),0)</f>
        <v>0.2671241151578263</v>
      </c>
      <c r="K27" s="27">
        <f>IFERROR(('Historical FS'!K25-'Historical FS'!K31)/(SUM('Historical FS'!K55:K57)),0)</f>
        <v>0.20643302680633593</v>
      </c>
      <c r="L27" s="27">
        <f>IFERROR(AVERAGE(C27:I27),0)</f>
        <v>0.20086389338363572</v>
      </c>
      <c r="M27" s="27">
        <f>IFERROR(MEDIAN(C27:I27),0)</f>
        <v>0.20632425348901251</v>
      </c>
    </row>
    <row r="28" spans="2:13">
      <c r="B28" s="1" t="s">
        <v>114</v>
      </c>
      <c r="C28" s="27">
        <f>IFERROR('Historical FS'!C51,0)</f>
        <v>0.36956477075910443</v>
      </c>
      <c r="D28" s="27">
        <f>IFERROR('Historical FS'!D51,0)</f>
        <v>0.38748596552982661</v>
      </c>
      <c r="E28" s="27">
        <f>IFERROR('Historical FS'!E51,0)</f>
        <v>0.37701338320779931</v>
      </c>
      <c r="F28" s="27">
        <f>IFERROR('Historical FS'!F51,0)</f>
        <v>-6.7290437935318304E-2</v>
      </c>
      <c r="G28" s="27">
        <f>IFERROR('Historical FS'!G51,0)</f>
        <v>-0.42227523766344865</v>
      </c>
      <c r="H28" s="27">
        <f>IFERROR('Historical FS'!H51,0)</f>
        <v>-4.6684082241794211E-2</v>
      </c>
      <c r="I28" s="27">
        <f>IFERROR('Historical FS'!I51,0)</f>
        <v>4.700890509812905E-2</v>
      </c>
      <c r="J28" s="27">
        <f>IFERROR('Historical FS'!J51,0)</f>
        <v>0.61854589046166886</v>
      </c>
      <c r="K28" s="27">
        <f>IFERROR('Historical FS'!K51,0)</f>
        <v>7.6186662126704885E-3</v>
      </c>
      <c r="L28" s="27">
        <f>IFERROR(AVERAGE(C28:I28),0)</f>
        <v>9.2117609536328304E-2</v>
      </c>
      <c r="M28" s="27">
        <f>IFERROR(MEDIAN(C28:I28),0)</f>
        <v>4.700890509812905E-2</v>
      </c>
    </row>
    <row r="29" spans="2:13">
      <c r="B29" s="1" t="s">
        <v>113</v>
      </c>
      <c r="C29" s="27">
        <f>IFERROR('Historical FS'!C40/SUM('Historical FS'!C55:C56),0)</f>
        <v>0.14137709177328858</v>
      </c>
      <c r="D29" s="27">
        <f>IFERROR('Historical FS'!D40/SUM('Historical FS'!D55:D56),0)</f>
        <v>0.1387782933290552</v>
      </c>
      <c r="E29" s="27">
        <f>IFERROR('Historical FS'!E40/SUM('Historical FS'!E55:E56),0)</f>
        <v>0.11995147814438969</v>
      </c>
      <c r="F29" s="27">
        <f>IFERROR('Historical FS'!F40/SUM('Historical FS'!F55:F56),0)</f>
        <v>0.15019378999524799</v>
      </c>
      <c r="G29" s="27">
        <f>IFERROR('Historical FS'!G40/SUM('Historical FS'!G55:G56),0)</f>
        <v>0.10443790018060911</v>
      </c>
      <c r="H29" s="27">
        <f>IFERROR('Historical FS'!H40/SUM('Historical FS'!H55:H56),0)</f>
        <v>0.12962274302349505</v>
      </c>
      <c r="I29" s="27">
        <f>IFERROR('Historical FS'!I40/SUM('Historical FS'!I55:I56),0)</f>
        <v>0.14157462163801171</v>
      </c>
      <c r="J29" s="27">
        <f>IFERROR('Historical FS'!J40/SUM('Historical FS'!J55:J56),0)</f>
        <v>0.20216096156339794</v>
      </c>
      <c r="K29" s="27">
        <f>IFERROR('Historical FS'!K40/SUM('Historical FS'!K55:K56),0)</f>
        <v>0.16793674265389555</v>
      </c>
      <c r="L29" s="27">
        <f>IFERROR(AVERAGE(C29:I29),0)</f>
        <v>0.13227655972629965</v>
      </c>
      <c r="M29" s="27">
        <f>IFERROR(MEDIAN(C29:I29),0)</f>
        <v>0.1387782933290552</v>
      </c>
    </row>
    <row r="30" spans="2:13">
      <c r="B30" s="1" t="s">
        <v>112</v>
      </c>
      <c r="C30" s="27">
        <f t="shared" ref="C30:K30" si="1">IFERROR(C28*C29,0)</f>
        <v>5.2247992511784261E-2</v>
      </c>
      <c r="D30" s="27">
        <f t="shared" si="1"/>
        <v>5.3774640985190449E-2</v>
      </c>
      <c r="E30" s="27">
        <f t="shared" si="1"/>
        <v>4.5223312595992757E-2</v>
      </c>
      <c r="F30" s="27">
        <f t="shared" si="1"/>
        <v>-1.0106605903945466E-2</v>
      </c>
      <c r="G30" s="27">
        <f t="shared" si="1"/>
        <v>-4.4101539119838239E-2</v>
      </c>
      <c r="H30" s="27">
        <f t="shared" si="1"/>
        <v>-6.0513187957157996E-3</v>
      </c>
      <c r="I30" s="27">
        <f t="shared" si="1"/>
        <v>6.65526795288482E-3</v>
      </c>
      <c r="J30" s="27">
        <f t="shared" si="1"/>
        <v>0.12504583198681918</v>
      </c>
      <c r="K30" s="27">
        <f t="shared" si="1"/>
        <v>1.279453987123173E-3</v>
      </c>
      <c r="L30" s="27">
        <f>IFERROR(AVERAGE(C30:I30),0)</f>
        <v>1.3948821460907543E-2</v>
      </c>
      <c r="M30" s="27">
        <f>IFERROR(MEDIAN(C30:I30),0)</f>
        <v>6.65526795288482E-3</v>
      </c>
    </row>
    <row r="31" spans="2:13">
      <c r="B31" s="1" t="s">
        <v>111</v>
      </c>
      <c r="C31" s="108">
        <f>('Historical FS'!C25-'Historical FS'!C31)/'Historical FS'!C28</f>
        <v>2881.4142857142874</v>
      </c>
      <c r="D31" s="108">
        <f>('Historical FS'!D25-'Historical FS'!D31)/'Historical FS'!D28</f>
        <v>3473.5572519083985</v>
      </c>
      <c r="E31" s="108">
        <f>('Historical FS'!E25-'Historical FS'!E31)/'Historical FS'!E28</f>
        <v>1075.7566964285725</v>
      </c>
      <c r="F31" s="108">
        <f>('Historical FS'!F25-'Historical FS'!F31)/'Historical FS'!F28</f>
        <v>1499.0158227848101</v>
      </c>
      <c r="G31" s="108">
        <f>('Historical FS'!G25-'Historical FS'!G31)/'Historical FS'!G28</f>
        <v>636.55405405405418</v>
      </c>
      <c r="H31" s="108">
        <f>('Historical FS'!H25-'Historical FS'!H31)/'Historical FS'!H28</f>
        <v>619.51039260969981</v>
      </c>
      <c r="I31" s="108">
        <f>('Historical FS'!I25-'Historical FS'!I31)/'Historical FS'!I28</f>
        <v>151.30675778283972</v>
      </c>
      <c r="J31" s="108">
        <f>('Historical FS'!J25-'Historical FS'!J31)/'Historical FS'!J28</f>
        <v>136.6340291583831</v>
      </c>
      <c r="K31" s="108">
        <f>('Historical FS'!K25-'Historical FS'!K31)/'Historical FS'!K28</f>
        <v>23.649241450244297</v>
      </c>
      <c r="L31" s="108">
        <f>IFERROR(AVERAGE(C31:I31),0)</f>
        <v>1476.730751611809</v>
      </c>
      <c r="M31" s="108">
        <f>IFERROR(MEDIAN(C31:I31),0)</f>
        <v>1075.7566964285725</v>
      </c>
    </row>
    <row r="32" spans="2:13">
      <c r="B32" s="106"/>
      <c r="C32" s="106"/>
      <c r="D32" s="106"/>
      <c r="E32" s="106"/>
      <c r="F32" s="106"/>
      <c r="G32" s="106"/>
      <c r="H32" s="106"/>
      <c r="I32" s="106"/>
      <c r="J32" s="106"/>
      <c r="K32" s="106"/>
      <c r="L32" s="105"/>
      <c r="M32" s="105"/>
    </row>
    <row r="33" spans="2:13">
      <c r="B33" s="1" t="s">
        <v>110</v>
      </c>
      <c r="C33" s="108">
        <f>IFERROR('Historical FS'!C13/'Historical FS'!C67,0)</f>
        <v>22.820673666984867</v>
      </c>
      <c r="D33" s="108">
        <f>IFERROR('Historical FS'!D13/'Historical FS'!D67,0)</f>
        <v>16.898208288925979</v>
      </c>
      <c r="E33" s="108">
        <f>IFERROR('Historical FS'!E13/'Historical FS'!E67,0)</f>
        <v>11.85988537674484</v>
      </c>
      <c r="F33" s="108">
        <f>IFERROR('Historical FS'!F13/'Historical FS'!F67,0)</f>
        <v>17.343139528143297</v>
      </c>
      <c r="G33" s="108">
        <f>IFERROR('Historical FS'!G13/'Historical FS'!G67,0)</f>
        <v>10.2107514216832</v>
      </c>
      <c r="H33" s="108">
        <f>IFERROR('Historical FS'!H13/'Historical FS'!H67,0)</f>
        <v>21.857786306862394</v>
      </c>
      <c r="I33" s="108">
        <f>IFERROR('Historical FS'!I13/'Historical FS'!I67,0)</f>
        <v>20.802759596674331</v>
      </c>
      <c r="J33" s="108">
        <f>IFERROR('Historical FS'!J13/'Historical FS'!J67,0)</f>
        <v>21.61878170876836</v>
      </c>
      <c r="K33" s="108">
        <f>IFERROR('Historical FS'!K13/'Historical FS'!K67,0)</f>
        <v>23.994951110943813</v>
      </c>
      <c r="L33" s="108">
        <f>IFERROR(AVERAGE(C33:I33),0)</f>
        <v>17.399029169431273</v>
      </c>
      <c r="M33" s="108">
        <f>IFERROR(MEDIAN(C33:I33),0)</f>
        <v>17.343139528143297</v>
      </c>
    </row>
    <row r="34" spans="2:13">
      <c r="B34" s="1" t="s">
        <v>109</v>
      </c>
      <c r="C34" s="108">
        <f>IFERROR('Historical FS'!C13/'Historical FS'!C58,0)</f>
        <v>5.94204553214154</v>
      </c>
      <c r="D34" s="108">
        <f>IFERROR('Historical FS'!D13/'Historical FS'!D58,0)</f>
        <v>5.486394964950958</v>
      </c>
      <c r="E34" s="108">
        <f>IFERROR('Historical FS'!E13/'Historical FS'!E58,0)</f>
        <v>5.5436790550905028</v>
      </c>
      <c r="F34" s="108">
        <f>IFERROR('Historical FS'!F13/'Historical FS'!F58,0)</f>
        <v>6.3355426853155734</v>
      </c>
      <c r="G34" s="108">
        <f>IFERROR('Historical FS'!G13/'Historical FS'!G58,0)</f>
        <v>4.4694513454554832</v>
      </c>
      <c r="H34" s="108">
        <f>IFERROR('Historical FS'!H13/'Historical FS'!H58,0)</f>
        <v>6.4624814039958745</v>
      </c>
      <c r="I34" s="108">
        <f>IFERROR('Historical FS'!I13/'Historical FS'!I58,0)</f>
        <v>6.4515031819179276</v>
      </c>
      <c r="J34" s="108">
        <f>IFERROR('Historical FS'!J13/'Historical FS'!J58,0)</f>
        <v>5.2978591517366933</v>
      </c>
      <c r="K34" s="108">
        <f>IFERROR('Historical FS'!K13/'Historical FS'!K58,0)</f>
        <v>5.3358212078660507</v>
      </c>
      <c r="L34" s="108">
        <f>IFERROR(AVERAGE(C34:I34),0)</f>
        <v>5.8130140241239801</v>
      </c>
      <c r="M34" s="108">
        <f>IFERROR(MEDIAN(C34:I34),0)</f>
        <v>5.94204553214154</v>
      </c>
    </row>
    <row r="35" spans="2:13">
      <c r="B35" s="1" t="s">
        <v>108</v>
      </c>
      <c r="C35" s="108">
        <f>IFERROR('Historical FS'!C13/'Historical FS'!C68,0)</f>
        <v>29.867267085861776</v>
      </c>
      <c r="D35" s="108">
        <f>IFERROR('Historical FS'!D13/'Historical FS'!D68,0)</f>
        <v>33.949109860217078</v>
      </c>
      <c r="E35" s="108">
        <f>IFERROR('Historical FS'!E13/'Historical FS'!E68,0)</f>
        <v>31.572869756944808</v>
      </c>
      <c r="F35" s="108">
        <f>IFERROR('Historical FS'!F13/'Historical FS'!F68,0)</f>
        <v>28.132251998119418</v>
      </c>
      <c r="G35" s="108">
        <f>IFERROR('Historical FS'!G13/'Historical FS'!G68,0)</f>
        <v>18.569693886430727</v>
      </c>
      <c r="H35" s="108">
        <f>IFERROR('Historical FS'!H13/'Historical FS'!H68,0)</f>
        <v>26.935750217389536</v>
      </c>
      <c r="I35" s="108">
        <f>IFERROR('Historical FS'!I13/'Historical FS'!I68,0)</f>
        <v>23.315774999200535</v>
      </c>
      <c r="J35" s="108">
        <f>IFERROR('Historical FS'!J13/'Historical FS'!J68,0)</f>
        <v>26.57020281273131</v>
      </c>
      <c r="K35" s="108">
        <f>IFERROR('Historical FS'!K13/'Historical FS'!K68,0)</f>
        <v>24.547767358570493</v>
      </c>
      <c r="L35" s="108">
        <f>IFERROR(AVERAGE(C35:I35),0)</f>
        <v>27.477531114880552</v>
      </c>
      <c r="M35" s="108">
        <f>IFERROR(MEDIAN(C35:I35),0)</f>
        <v>28.132251998119418</v>
      </c>
    </row>
    <row r="36" spans="2:13">
      <c r="B36" s="1" t="s">
        <v>107</v>
      </c>
      <c r="C36" s="108">
        <f>IFERROR('Historical FS'!C13/'Historical FS'!C61,0)</f>
        <v>10.867633468046099</v>
      </c>
      <c r="D36" s="108">
        <f>IFERROR('Historical FS'!D13/'Historical FS'!D61,0)</f>
        <v>13.421459487949402</v>
      </c>
      <c r="E36" s="108">
        <f>IFERROR('Historical FS'!E13/'Historical FS'!E61,0)</f>
        <v>17.210126194768531</v>
      </c>
      <c r="F36" s="108">
        <f>IFERROR('Historical FS'!F13/'Historical FS'!F61,0)</f>
        <v>17.60935715883274</v>
      </c>
      <c r="G36" s="108">
        <f>IFERROR('Historical FS'!G13/'Historical FS'!G61,0)</f>
        <v>16.635831009564932</v>
      </c>
      <c r="H36" s="108">
        <f>IFERROR('Historical FS'!H13/'Historical FS'!H61,0)</f>
        <v>18.05218267476376</v>
      </c>
      <c r="I36" s="108">
        <f>IFERROR('Historical FS'!I13/'Historical FS'!I61,0)</f>
        <v>12.826284902049087</v>
      </c>
      <c r="J36" s="108">
        <f>IFERROR('Historical FS'!J13/'Historical FS'!J61,0)</f>
        <v>13.946307076898213</v>
      </c>
      <c r="K36" s="108">
        <f>IFERROR('Historical FS'!K13/'Historical FS'!K61,0)</f>
        <v>13.870067100220584</v>
      </c>
      <c r="L36" s="108">
        <f>IFERROR(AVERAGE(C36:I36),0)</f>
        <v>15.231839270853504</v>
      </c>
      <c r="M36" s="108">
        <f>IFERROR(MEDIAN(C36:I36),0)</f>
        <v>16.635831009564932</v>
      </c>
    </row>
    <row r="37" spans="2:13">
      <c r="B37" s="1" t="s">
        <v>106</v>
      </c>
      <c r="C37" s="108">
        <f>IFERROR('Historical FS'!C13/SUM('Historical FS'!C55:C56),0)</f>
        <v>1.2183034031731739</v>
      </c>
      <c r="D37" s="108">
        <f>IFERROR('Historical FS'!D13/SUM('Historical FS'!D55:D56),0)</f>
        <v>1.2342537957938318</v>
      </c>
      <c r="E37" s="108">
        <f>IFERROR('Historical FS'!E13/SUM('Historical FS'!E55:E56),0)</f>
        <v>1.3066143693178176</v>
      </c>
      <c r="F37" s="108">
        <f>IFERROR('Historical FS'!F13/SUM('Historical FS'!F55:F56),0)</f>
        <v>1.3811531487281001</v>
      </c>
      <c r="G37" s="108">
        <f>IFERROR('Historical FS'!G13/SUM('Historical FS'!G55:G56),0)</f>
        <v>1.0171467248527231</v>
      </c>
      <c r="H37" s="108">
        <f>IFERROR('Historical FS'!H13/SUM('Historical FS'!H55:H56),0)</f>
        <v>1.1100166947703674</v>
      </c>
      <c r="I37" s="108">
        <f>IFERROR('Historical FS'!I13/SUM('Historical FS'!I55:I56),0)</f>
        <v>1.2416031311709126</v>
      </c>
      <c r="J37" s="108">
        <f>IFERROR('Historical FS'!J13/SUM('Historical FS'!J55:J56),0)</f>
        <v>1.5492643740627938</v>
      </c>
      <c r="K37" s="108">
        <f>IFERROR('Historical FS'!K13/SUM('Historical FS'!K55:K56),0)</f>
        <v>1.4491723773002385</v>
      </c>
      <c r="L37" s="108">
        <f>IFERROR(AVERAGE(C37:I37),0)</f>
        <v>1.215584466829561</v>
      </c>
      <c r="M37" s="108">
        <f>IFERROR(MEDIAN(C37:I37),0)</f>
        <v>1.2342537957938318</v>
      </c>
    </row>
    <row r="38" spans="2:13">
      <c r="B38" s="106"/>
      <c r="C38" s="106"/>
      <c r="D38" s="106"/>
      <c r="E38" s="106"/>
      <c r="F38" s="106"/>
      <c r="G38" s="106"/>
      <c r="H38" s="106"/>
      <c r="I38" s="106"/>
      <c r="J38" s="106"/>
      <c r="K38" s="106"/>
      <c r="L38" s="105"/>
      <c r="M38" s="105"/>
    </row>
    <row r="39" spans="2:13">
      <c r="B39" s="1" t="s">
        <v>105</v>
      </c>
      <c r="C39" s="107">
        <f t="shared" ref="C39:K39" si="2">IFERROR(365/C33,0)</f>
        <v>15.994269289607034</v>
      </c>
      <c r="D39" s="107">
        <f t="shared" si="2"/>
        <v>21.599923125530296</v>
      </c>
      <c r="E39" s="107">
        <f t="shared" si="2"/>
        <v>30.776014135490815</v>
      </c>
      <c r="F39" s="107">
        <f t="shared" si="2"/>
        <v>21.045785822555494</v>
      </c>
      <c r="G39" s="107">
        <f t="shared" si="2"/>
        <v>35.746634593894683</v>
      </c>
      <c r="H39" s="107">
        <f t="shared" si="2"/>
        <v>16.698854809711719</v>
      </c>
      <c r="I39" s="107">
        <f t="shared" si="2"/>
        <v>17.545749077365262</v>
      </c>
      <c r="J39" s="107">
        <f t="shared" si="2"/>
        <v>16.883467575416596</v>
      </c>
      <c r="K39" s="107">
        <f t="shared" si="2"/>
        <v>15.211533389352388</v>
      </c>
      <c r="L39" s="107">
        <f>IFERROR(AVERAGE(C39:I39),0)</f>
        <v>22.772461550593611</v>
      </c>
      <c r="M39" s="107">
        <f>IFERROR(MEDIAN(C39:I39),0)</f>
        <v>21.045785822555494</v>
      </c>
    </row>
    <row r="40" spans="2:13">
      <c r="B40" s="1" t="s">
        <v>104</v>
      </c>
      <c r="C40" s="107">
        <f t="shared" ref="C40:K40" si="3">IFERROR(365/C34,0)</f>
        <v>61.426658214860964</v>
      </c>
      <c r="D40" s="107">
        <f t="shared" si="3"/>
        <v>66.528203370655916</v>
      </c>
      <c r="E40" s="107">
        <f t="shared" si="3"/>
        <v>65.84075239074987</v>
      </c>
      <c r="F40" s="107">
        <f t="shared" si="3"/>
        <v>57.611481467245348</v>
      </c>
      <c r="G40" s="107">
        <f t="shared" si="3"/>
        <v>81.665504731611023</v>
      </c>
      <c r="H40" s="107">
        <f t="shared" si="3"/>
        <v>56.47985304442247</v>
      </c>
      <c r="I40" s="107">
        <f t="shared" si="3"/>
        <v>56.575962176227492</v>
      </c>
      <c r="J40" s="107">
        <f t="shared" si="3"/>
        <v>68.895753840558257</v>
      </c>
      <c r="K40" s="107">
        <f t="shared" si="3"/>
        <v>68.405590401327188</v>
      </c>
      <c r="L40" s="107">
        <f>IFERROR(AVERAGE(C40:I40),0)</f>
        <v>63.73263077082472</v>
      </c>
      <c r="M40" s="107">
        <f>IFERROR(MEDIAN(C40:I40),0)</f>
        <v>61.426658214860964</v>
      </c>
    </row>
    <row r="41" spans="2:13">
      <c r="B41" s="1" t="s">
        <v>103</v>
      </c>
      <c r="C41" s="107">
        <f t="shared" ref="C41:K41" si="4">IFERROR(365/C35,0)</f>
        <v>12.220736465465885</v>
      </c>
      <c r="D41" s="107">
        <f t="shared" si="4"/>
        <v>10.751386457637924</v>
      </c>
      <c r="E41" s="107">
        <f t="shared" si="4"/>
        <v>11.560558251747583</v>
      </c>
      <c r="F41" s="107">
        <f t="shared" si="4"/>
        <v>12.974432335683595</v>
      </c>
      <c r="G41" s="107">
        <f t="shared" si="4"/>
        <v>19.655682114755447</v>
      </c>
      <c r="H41" s="107">
        <f t="shared" si="4"/>
        <v>13.550764209431913</v>
      </c>
      <c r="I41" s="107">
        <f t="shared" si="4"/>
        <v>15.654637257930107</v>
      </c>
      <c r="J41" s="107">
        <f t="shared" si="4"/>
        <v>13.737192846157258</v>
      </c>
      <c r="K41" s="107">
        <f t="shared" si="4"/>
        <v>14.868969331036356</v>
      </c>
      <c r="L41" s="107">
        <f>IFERROR(AVERAGE(C41:I41),0)</f>
        <v>13.766885298950351</v>
      </c>
      <c r="M41" s="107">
        <f>IFERROR(MEDIAN(C41:I41),0)</f>
        <v>12.974432335683595</v>
      </c>
    </row>
    <row r="42" spans="2:13">
      <c r="B42" s="1" t="s">
        <v>102</v>
      </c>
      <c r="C42" s="107">
        <f t="shared" ref="C42:K42" si="5">IFERROR(SUM(C39,C41)-C40,0)</f>
        <v>-33.211652459788041</v>
      </c>
      <c r="D42" s="107">
        <f t="shared" si="5"/>
        <v>-34.1768937874877</v>
      </c>
      <c r="E42" s="107">
        <f t="shared" si="5"/>
        <v>-23.504180003511472</v>
      </c>
      <c r="F42" s="107">
        <f t="shared" si="5"/>
        <v>-23.591263309006258</v>
      </c>
      <c r="G42" s="107">
        <f t="shared" si="5"/>
        <v>-26.26318802296089</v>
      </c>
      <c r="H42" s="107">
        <f t="shared" si="5"/>
        <v>-26.23023402527884</v>
      </c>
      <c r="I42" s="107">
        <f t="shared" si="5"/>
        <v>-23.375575840932122</v>
      </c>
      <c r="J42" s="107">
        <f t="shared" si="5"/>
        <v>-38.275093418984405</v>
      </c>
      <c r="K42" s="107">
        <f t="shared" si="5"/>
        <v>-38.325087680938445</v>
      </c>
      <c r="L42" s="107">
        <f>IFERROR(AVERAGE(C42:I42),0)</f>
        <v>-27.193283921280759</v>
      </c>
      <c r="M42" s="107">
        <f>IFERROR(MEDIAN(C42:I42),0)</f>
        <v>-26.23023402527884</v>
      </c>
    </row>
    <row r="43" spans="2:13">
      <c r="B43" s="106"/>
      <c r="C43" s="106"/>
      <c r="D43" s="106"/>
      <c r="E43" s="106"/>
      <c r="F43" s="106"/>
      <c r="G43" s="106"/>
      <c r="H43" s="106"/>
      <c r="I43" s="106"/>
      <c r="J43" s="106"/>
      <c r="K43" s="106"/>
      <c r="L43" s="105"/>
      <c r="M43" s="105"/>
    </row>
    <row r="44" spans="2:13">
      <c r="B44" s="1" t="s">
        <v>101</v>
      </c>
      <c r="C44" s="27">
        <f>IFERROR('Historical FS'!C86/'Historical FS'!C13,0)</f>
        <v>0.15739113167165561</v>
      </c>
      <c r="D44" s="27">
        <f>IFERROR('Historical FS'!#REF!/'Historical FS'!D13,0)</f>
        <v>0</v>
      </c>
      <c r="E44" s="27">
        <f>IFERROR('Historical FS'!D86/'Historical FS'!E13,0)</f>
        <v>0.17850537080793197</v>
      </c>
      <c r="F44" s="27">
        <f>IFERROR('Historical FS'!E86/'Historical FS'!F13,0)</f>
        <v>5.6453081940528733E-2</v>
      </c>
      <c r="G44" s="27">
        <f>IFERROR('Historical FS'!F86/'Historical FS'!G13,0)</f>
        <v>0.15201282718625228</v>
      </c>
      <c r="H44" s="27">
        <f>IFERROR('Historical FS'!G86/'Historical FS'!H13,0)</f>
        <v>7.901713425762362E-2</v>
      </c>
      <c r="I44" s="27">
        <f>IFERROR('Historical FS'!H86/'Historical FS'!I13,0)</f>
        <v>0.13155808552811685</v>
      </c>
      <c r="J44" s="27">
        <f>IFERROR('Historical FS'!I86/'Historical FS'!J13,0)</f>
        <v>0.1307096901010309</v>
      </c>
      <c r="K44" s="27">
        <f>IFERROR('Historical FS'!J86/'Historical FS'!K13,0)</f>
        <v>0.13175917818668856</v>
      </c>
      <c r="L44" s="27">
        <f>IFERROR(AVERAGE(C44:I44),0)</f>
        <v>0.10784823305601557</v>
      </c>
      <c r="M44" s="27">
        <f>IFERROR(MEDIAN(C44:I44),0)</f>
        <v>0.13155808552811685</v>
      </c>
    </row>
    <row r="45" spans="2:13">
      <c r="B45" s="1" t="s">
        <v>100</v>
      </c>
      <c r="C45" s="27">
        <f>IFERROR('Historical FS'!C86/'Historical FS'!C72,0)</f>
        <v>0.15824291211325461</v>
      </c>
      <c r="D45" s="27">
        <f>IFERROR('Historical FS'!#REF!/'Historical FS'!D72,0)</f>
        <v>0</v>
      </c>
      <c r="E45" s="27">
        <f>IFERROR('Historical FS'!D86/'Historical FS'!E72,0)</f>
        <v>0.18793517883667465</v>
      </c>
      <c r="F45" s="27">
        <f>IFERROR('Historical FS'!E86/'Historical FS'!F72,0)</f>
        <v>6.3711758799125759E-2</v>
      </c>
      <c r="G45" s="27">
        <f>IFERROR('Historical FS'!F86/'Historical FS'!G72,0)</f>
        <v>0.12549956534950157</v>
      </c>
      <c r="H45" s="27">
        <f>IFERROR('Historical FS'!G86/'Historical FS'!H72,0)</f>
        <v>7.4591562068068856E-2</v>
      </c>
      <c r="I45" s="27">
        <f>IFERROR('Historical FS'!H86/'Historical FS'!I72,0)</f>
        <v>0.13649643034512593</v>
      </c>
      <c r="J45" s="27">
        <f>IFERROR('Historical FS'!I86/'Historical FS'!J72,0)</f>
        <v>0.1490709183607333</v>
      </c>
      <c r="K45" s="27">
        <f>IFERROR('Historical FS'!J86/'Historical FS'!K72,0)</f>
        <v>0.12417316455097328</v>
      </c>
      <c r="L45" s="27">
        <f>IFERROR(AVERAGE(C45:I45),0)</f>
        <v>0.1066396296445359</v>
      </c>
      <c r="M45" s="27">
        <f>IFERROR(MEDIAN(C45:I45),0)</f>
        <v>0.12549956534950157</v>
      </c>
    </row>
    <row r="46" spans="2:13">
      <c r="B46" s="104" t="s">
        <v>99</v>
      </c>
      <c r="C46" s="103">
        <f>IFERROR('Historical FS'!C86/'Historical FS'!C57,0)</f>
        <v>28.557130942452041</v>
      </c>
      <c r="D46" s="103">
        <f>IFERROR('Historical FS'!#REF!/'Historical FS'!D57,0)</f>
        <v>0</v>
      </c>
      <c r="E46" s="103">
        <f>IFERROR('Historical FS'!D86/'Historical FS'!E57,0)</f>
        <v>43.519113395438488</v>
      </c>
      <c r="F46" s="103">
        <f>IFERROR('Historical FS'!E86/'Historical FS'!F57,0)</f>
        <v>13.448522971574169</v>
      </c>
      <c r="G46" s="103">
        <f>IFERROR('Historical FS'!F86/'Historical FS'!G57,0)</f>
        <v>34.71924913551787</v>
      </c>
      <c r="H46" s="103">
        <f>IFERROR('Historical FS'!G86/'Historical FS'!H57,0)</f>
        <v>21.332573104178547</v>
      </c>
      <c r="I46" s="103">
        <f>IFERROR('Historical FS'!H86/'Historical FS'!I57,0)</f>
        <v>38.605811800692265</v>
      </c>
      <c r="J46" s="103">
        <f>IFERROR('Historical FS'!I86/'Historical FS'!J57,0)</f>
        <v>3.0678858003703433</v>
      </c>
      <c r="K46" s="103">
        <f>IFERROR('Historical FS'!J86/'Historical FS'!K57,0)</f>
        <v>0.7175229812391074</v>
      </c>
      <c r="L46" s="27">
        <f>IFERROR(AVERAGE(C46:I46),0)</f>
        <v>25.740343049979053</v>
      </c>
      <c r="M46" s="27">
        <f>IFERROR(MEDIAN(C46:I46),0)</f>
        <v>28.557130942452041</v>
      </c>
    </row>
    <row r="47" spans="2:13">
      <c r="L47" s="102"/>
      <c r="M47" s="102"/>
    </row>
    <row r="48" spans="2:13">
      <c r="B48" s="3" t="s">
        <v>0</v>
      </c>
      <c r="C48" s="3" t="s">
        <v>0</v>
      </c>
      <c r="D48" s="3" t="s">
        <v>0</v>
      </c>
      <c r="E48" s="3" t="s">
        <v>0</v>
      </c>
      <c r="F48" s="3" t="s">
        <v>0</v>
      </c>
      <c r="G48" s="3" t="s">
        <v>0</v>
      </c>
      <c r="H48" s="3" t="s">
        <v>0</v>
      </c>
      <c r="I48" s="3" t="s">
        <v>0</v>
      </c>
      <c r="J48" s="3"/>
      <c r="K48" s="3"/>
      <c r="L48" s="3" t="s">
        <v>0</v>
      </c>
      <c r="M48" s="3" t="s">
        <v>0</v>
      </c>
    </row>
    <row r="49" spans="2:13" ht="11.25" customHeight="1" thickBot="1">
      <c r="B49" s="59"/>
      <c r="C49" s="59"/>
      <c r="D49" s="59"/>
      <c r="E49" s="59"/>
      <c r="F49" s="59"/>
      <c r="G49" s="59"/>
      <c r="H49" s="59"/>
      <c r="I49" s="59"/>
      <c r="J49" s="59"/>
      <c r="K49" s="59"/>
      <c r="L49" s="59"/>
      <c r="M49" s="59"/>
    </row>
    <row r="50" spans="2:13" ht="8.25" customHeight="1" thickTop="1"/>
  </sheetData>
  <printOptions horizontalCentered="1"/>
  <pageMargins left="0" right="0" top="1.75" bottom="1.5" header="0.75" footer="1.5"/>
  <pageSetup paperSize="8" scale="65" orientation="portrait"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2:L53"/>
  <sheetViews>
    <sheetView showGridLines="0" workbookViewId="0">
      <selection activeCell="F4" sqref="F4"/>
    </sheetView>
  </sheetViews>
  <sheetFormatPr defaultRowHeight="15"/>
  <cols>
    <col min="1" max="1" width="2.42578125" style="1" customWidth="1"/>
    <col min="2" max="2" width="22.5703125" style="1" customWidth="1"/>
    <col min="3" max="9" width="11.28515625" style="1" bestFit="1" customWidth="1"/>
    <col min="10" max="11" width="9.7109375" style="1" customWidth="1"/>
    <col min="12" max="16384" width="9.140625" style="1"/>
  </cols>
  <sheetData>
    <row r="2" spans="2:12">
      <c r="B2" s="3" t="s">
        <v>0</v>
      </c>
      <c r="C2" s="3" t="s">
        <v>0</v>
      </c>
      <c r="D2" s="3" t="s">
        <v>0</v>
      </c>
      <c r="E2" s="3" t="s">
        <v>0</v>
      </c>
      <c r="F2" s="3" t="s">
        <v>0</v>
      </c>
      <c r="G2" s="3" t="s">
        <v>0</v>
      </c>
      <c r="H2" s="3" t="s">
        <v>0</v>
      </c>
      <c r="I2" s="3" t="s">
        <v>0</v>
      </c>
      <c r="J2" s="3" t="s">
        <v>0</v>
      </c>
      <c r="K2" s="3" t="s">
        <v>0</v>
      </c>
    </row>
    <row r="3" spans="2:12" ht="9.75" customHeight="1" thickBot="1">
      <c r="B3" s="59"/>
      <c r="C3" s="59"/>
      <c r="D3" s="59"/>
      <c r="E3" s="59"/>
      <c r="F3" s="59"/>
      <c r="G3" s="59"/>
      <c r="H3" s="59"/>
      <c r="I3" s="59"/>
      <c r="J3" s="58"/>
    </row>
    <row r="4" spans="2:12" ht="36" thickTop="1">
      <c r="B4" s="63" t="str">
        <f>'[2]Data Sheet'!B1</f>
        <v>BAJAJ AUTO LTD</v>
      </c>
      <c r="J4" s="123"/>
      <c r="K4" s="101"/>
    </row>
    <row r="5" spans="2:12">
      <c r="B5" s="62" t="str">
        <f>CONCATENATE(" ",VLOOKUP(B4,'[2]LIST OF STOCKS'!B5:D5444,3,FALSE)," | ","Bse Code: ",VLOOKUP(B4,'[2]LIST OF STOCKS'!B5:E5444,2,FALSE),)</f>
        <v xml:space="preserve"> BAJAJ-AUTO | Bse Code: 532977</v>
      </c>
      <c r="J5" s="58"/>
      <c r="K5" s="58"/>
    </row>
    <row r="6" spans="2:12" ht="15.75" thickBot="1">
      <c r="B6" s="113"/>
      <c r="C6" s="59"/>
      <c r="D6" s="59"/>
      <c r="E6" s="59"/>
      <c r="F6" s="59"/>
      <c r="G6" s="59"/>
      <c r="H6" s="59"/>
      <c r="I6" s="60"/>
      <c r="J6" s="59"/>
      <c r="K6" s="59"/>
    </row>
    <row r="7" spans="2:12" ht="9" customHeight="1" thickTop="1">
      <c r="B7" s="25"/>
      <c r="C7" s="58"/>
      <c r="D7" s="58"/>
      <c r="E7" s="58"/>
      <c r="F7" s="58"/>
      <c r="G7" s="58"/>
      <c r="I7" s="57"/>
      <c r="J7" s="58"/>
    </row>
    <row r="8" spans="2:12" ht="17.25" customHeight="1">
      <c r="B8" s="516" t="str">
        <f>"Common Size Income Statement"&amp;" "&amp;" - "&amp;'[2]Data Sheet'!$B$1</f>
        <v>Common Size Income Statement  - BAJAJ AUTO LTD</v>
      </c>
      <c r="C8" s="516"/>
      <c r="D8" s="516"/>
      <c r="E8" s="516"/>
      <c r="F8" s="516"/>
      <c r="G8" s="516"/>
      <c r="H8" s="516"/>
      <c r="I8" s="516"/>
      <c r="J8" s="3" t="s">
        <v>0</v>
      </c>
      <c r="K8" s="3" t="s">
        <v>0</v>
      </c>
    </row>
    <row r="9" spans="2:12">
      <c r="B9" s="121"/>
      <c r="C9" s="121"/>
      <c r="D9" s="121"/>
      <c r="E9" s="121"/>
      <c r="F9" s="121"/>
      <c r="G9" s="121"/>
      <c r="H9" s="121"/>
      <c r="I9" s="121"/>
      <c r="J9" s="121"/>
      <c r="K9" s="121"/>
    </row>
    <row r="10" spans="2:12">
      <c r="J10" s="122"/>
      <c r="K10" s="122"/>
    </row>
    <row r="11" spans="2:12">
      <c r="B11" s="119" t="s">
        <v>130</v>
      </c>
      <c r="C11" s="118">
        <f>'[2]Data Sheet'!C16</f>
        <v>42825</v>
      </c>
      <c r="D11" s="118">
        <f>'[2]Data Sheet'!D16</f>
        <v>43190</v>
      </c>
      <c r="E11" s="118">
        <f>'[2]Data Sheet'!E16</f>
        <v>43555</v>
      </c>
      <c r="F11" s="118">
        <f>'[2]Data Sheet'!F16</f>
        <v>43921</v>
      </c>
      <c r="G11" s="118">
        <f>'[2]Data Sheet'!G16</f>
        <v>44286</v>
      </c>
      <c r="H11" s="118">
        <f>'[2]Data Sheet'!H16</f>
        <v>44651</v>
      </c>
      <c r="I11" s="118">
        <f>'[2]Data Sheet'!I16</f>
        <v>45016</v>
      </c>
      <c r="J11" s="118">
        <f>'[2]Data Sheet'!J16</f>
        <v>45382</v>
      </c>
      <c r="K11" s="118">
        <f>'[2]Data Sheet'!K16</f>
        <v>45747</v>
      </c>
      <c r="L11" s="122"/>
    </row>
    <row r="12" spans="2:12">
      <c r="L12" s="122"/>
    </row>
    <row r="13" spans="2:12">
      <c r="B13" s="25" t="str">
        <f>'[2]Data Sheet'!A17</f>
        <v>Sales</v>
      </c>
      <c r="C13" s="114">
        <f>'[2]Data Sheet'!C17/'[2]Data Sheet'!C$17</f>
        <v>1</v>
      </c>
      <c r="D13" s="114">
        <f>'[2]Data Sheet'!D17/'[2]Data Sheet'!D$17</f>
        <v>1</v>
      </c>
      <c r="E13" s="114">
        <f>'[2]Data Sheet'!E17/'[2]Data Sheet'!E$17</f>
        <v>1</v>
      </c>
      <c r="F13" s="114">
        <f>'[2]Data Sheet'!F17/'[2]Data Sheet'!F$17</f>
        <v>1</v>
      </c>
      <c r="G13" s="114">
        <f>'[2]Data Sheet'!G17/'[2]Data Sheet'!G$17</f>
        <v>1</v>
      </c>
      <c r="H13" s="114">
        <f>'[2]Data Sheet'!H17/'[2]Data Sheet'!H$17</f>
        <v>1</v>
      </c>
      <c r="I13" s="114">
        <f>'[2]Data Sheet'!I17/'[2]Data Sheet'!I$17</f>
        <v>1</v>
      </c>
      <c r="J13" s="114">
        <f>'[2]Data Sheet'!J17/'[2]Data Sheet'!J$17</f>
        <v>1</v>
      </c>
      <c r="K13" s="114">
        <f>'[2]Data Sheet'!K17/'[2]Data Sheet'!K$17</f>
        <v>1</v>
      </c>
    </row>
    <row r="14" spans="2:12">
      <c r="B14" s="1" t="str">
        <f>'[2]Data Sheet'!A18</f>
        <v>Raw Material Cost</v>
      </c>
      <c r="C14" s="27">
        <f>'[2]Data Sheet'!C18/'[2]Data Sheet'!C$17</f>
        <v>0.67423667139820687</v>
      </c>
      <c r="D14" s="27">
        <f>'[2]Data Sheet'!D18/'[2]Data Sheet'!D$17</f>
        <v>0.6902204805804697</v>
      </c>
      <c r="E14" s="27">
        <f>'[2]Data Sheet'!E18/'[2]Data Sheet'!E$17</f>
        <v>0.719888212617388</v>
      </c>
      <c r="F14" s="27">
        <f>'[2]Data Sheet'!F18/'[2]Data Sheet'!F$17</f>
        <v>0.70428612253560907</v>
      </c>
      <c r="G14" s="27">
        <f>'[2]Data Sheet'!G18/'[2]Data Sheet'!G$17</f>
        <v>0.71479300733785422</v>
      </c>
      <c r="H14" s="27">
        <f>'[2]Data Sheet'!H18/'[2]Data Sheet'!H$17</f>
        <v>0.72837746958715288</v>
      </c>
      <c r="I14" s="27">
        <f>'[2]Data Sheet'!I18/'[2]Data Sheet'!I$17</f>
        <v>0.71927874568856509</v>
      </c>
      <c r="J14" s="27">
        <f>'[2]Data Sheet'!J18/'[2]Data Sheet'!J$17</f>
        <v>0.7124863746569845</v>
      </c>
      <c r="K14" s="27">
        <f>'[2]Data Sheet'!K18/'[2]Data Sheet'!K$17</f>
        <v>0.69087343647507427</v>
      </c>
    </row>
    <row r="15" spans="2:12">
      <c r="B15" s="1" t="str">
        <f>'[2]Data Sheet'!A19</f>
        <v>Change in Inventory</v>
      </c>
      <c r="C15" s="27">
        <f>'[2]Data Sheet'!C19/'[2]Data Sheet'!C$17</f>
        <v>2.0078401376804663E-3</v>
      </c>
      <c r="D15" s="27">
        <f>'[2]Data Sheet'!D19/'[2]Data Sheet'!D$17</f>
        <v>-3.8397567942473462E-4</v>
      </c>
      <c r="E15" s="27">
        <f>'[2]Data Sheet'!E19/'[2]Data Sheet'!E$17</f>
        <v>1.8585113528295852E-3</v>
      </c>
      <c r="F15" s="27">
        <f>'[2]Data Sheet'!F19/'[2]Data Sheet'!F$17</f>
        <v>2.1060442232520515E-3</v>
      </c>
      <c r="G15" s="27">
        <f>'[2]Data Sheet'!G19/'[2]Data Sheet'!G$17</f>
        <v>7.9117323478393765E-3</v>
      </c>
      <c r="H15" s="27">
        <f>'[2]Data Sheet'!H19/'[2]Data Sheet'!H$17</f>
        <v>-5.6708898644761115E-3</v>
      </c>
      <c r="I15" s="27">
        <f>'[2]Data Sheet'!I19/'[2]Data Sheet'!I$17</f>
        <v>2.7521315098073319E-3</v>
      </c>
      <c r="J15" s="27">
        <f>'[2]Data Sheet'!J19/'[2]Data Sheet'!J$17</f>
        <v>1.7013431785699402E-3</v>
      </c>
      <c r="K15" s="27">
        <f>'[2]Data Sheet'!K19/'[2]Data Sheet'!K$17</f>
        <v>-5.5711835872656972E-4</v>
      </c>
    </row>
    <row r="16" spans="2:12">
      <c r="B16" s="1" t="str">
        <f>'[2]Data Sheet'!A20</f>
        <v>Power and Fuel</v>
      </c>
      <c r="C16" s="27">
        <f>'[2]Data Sheet'!C20/'[2]Data Sheet'!C$17</f>
        <v>4.4339803040443632E-3</v>
      </c>
      <c r="D16" s="27">
        <f>'[2]Data Sheet'!D20/'[2]Data Sheet'!D$17</f>
        <v>3.9770042994962699E-3</v>
      </c>
      <c r="E16" s="27">
        <f>'[2]Data Sheet'!E20/'[2]Data Sheet'!E$17</f>
        <v>3.7885039115372315E-3</v>
      </c>
      <c r="F16" s="27">
        <f>'[2]Data Sheet'!F20/'[2]Data Sheet'!F$17</f>
        <v>3.8962319489682855E-3</v>
      </c>
      <c r="G16" s="27">
        <f>'[2]Data Sheet'!G20/'[2]Data Sheet'!G$17</f>
        <v>3.292589906377113E-3</v>
      </c>
      <c r="H16" s="27">
        <f>'[2]Data Sheet'!H20/'[2]Data Sheet'!H$17</f>
        <v>3.2587402333585061E-3</v>
      </c>
      <c r="I16" s="27">
        <f>'[2]Data Sheet'!I20/'[2]Data Sheet'!I$17</f>
        <v>3.3630152805978158E-3</v>
      </c>
      <c r="J16" s="27">
        <f>'[2]Data Sheet'!J20/'[2]Data Sheet'!J$17</f>
        <v>3.2970488582346994E-3</v>
      </c>
      <c r="K16" s="27">
        <f>'[2]Data Sheet'!K20/'[2]Data Sheet'!K$17</f>
        <v>3.4697825551946236E-3</v>
      </c>
    </row>
    <row r="17" spans="2:11">
      <c r="B17" s="1" t="str">
        <f>'[2]Data Sheet'!A21</f>
        <v>Other Mfr. Exp</v>
      </c>
      <c r="C17" s="27">
        <f>'[2]Data Sheet'!C21/'[2]Data Sheet'!C$17</f>
        <v>2.5168790956629179E-2</v>
      </c>
      <c r="D17" s="27">
        <f>'[2]Data Sheet'!D21/'[2]Data Sheet'!D$17</f>
        <v>2.1823146672759502E-2</v>
      </c>
      <c r="E17" s="27">
        <f>'[2]Data Sheet'!E21/'[2]Data Sheet'!E$17</f>
        <v>2.0884041343148328E-2</v>
      </c>
      <c r="F17" s="27">
        <f>'[2]Data Sheet'!F21/'[2]Data Sheet'!F$17</f>
        <v>2.3357671552693721E-2</v>
      </c>
      <c r="G17" s="27">
        <f>'[2]Data Sheet'!G21/'[2]Data Sheet'!G$17</f>
        <v>2.1524396310453664E-2</v>
      </c>
      <c r="H17" s="27">
        <f>'[2]Data Sheet'!H21/'[2]Data Sheet'!H$17</f>
        <v>2.5231175653671431E-2</v>
      </c>
      <c r="I17" s="27">
        <f>'[2]Data Sheet'!I21/'[2]Data Sheet'!I$17</f>
        <v>2.0396166491749641E-2</v>
      </c>
      <c r="J17" s="27">
        <f>'[2]Data Sheet'!J21/'[2]Data Sheet'!J$17</f>
        <v>1.6367795004416048E-2</v>
      </c>
      <c r="K17" s="27">
        <f>'[2]Data Sheet'!K21/'[2]Data Sheet'!K$17</f>
        <v>1.599210111668796E-2</v>
      </c>
    </row>
    <row r="18" spans="2:11">
      <c r="B18" s="1" t="str">
        <f>'[2]Data Sheet'!A22</f>
        <v>Employee Cost</v>
      </c>
      <c r="C18" s="27">
        <f>'[2]Data Sheet'!C22/'[2]Data Sheet'!C$17</f>
        <v>4.595922172291806E-2</v>
      </c>
      <c r="D18" s="27">
        <f>'[2]Data Sheet'!D22/'[2]Data Sheet'!D$17</f>
        <v>4.2546329958076043E-2</v>
      </c>
      <c r="E18" s="27">
        <f>'[2]Data Sheet'!E22/'[2]Data Sheet'!E$17</f>
        <v>4.1515757323611888E-2</v>
      </c>
      <c r="F18" s="27">
        <f>'[2]Data Sheet'!F22/'[2]Data Sheet'!F$17</f>
        <v>4.6626435350525505E-2</v>
      </c>
      <c r="G18" s="27">
        <f>'[2]Data Sheet'!G22/'[2]Data Sheet'!G$17</f>
        <v>4.6720243047494898E-2</v>
      </c>
      <c r="H18" s="27">
        <f>'[2]Data Sheet'!H22/'[2]Data Sheet'!H$17</f>
        <v>4.1213213209589102E-2</v>
      </c>
      <c r="I18" s="27">
        <f>'[2]Data Sheet'!I22/'[2]Data Sheet'!I$17</f>
        <v>4.0819763776978872E-2</v>
      </c>
      <c r="J18" s="27">
        <f>'[2]Data Sheet'!J22/'[2]Data Sheet'!J$17</f>
        <v>3.6350442819469302E-2</v>
      </c>
      <c r="K18" s="27">
        <f>'[2]Data Sheet'!K22/'[2]Data Sheet'!K$17</f>
        <v>3.7854633485343042E-2</v>
      </c>
    </row>
    <row r="19" spans="2:11">
      <c r="B19" s="1" t="str">
        <f>'[2]Data Sheet'!A23</f>
        <v>Selling and admin</v>
      </c>
      <c r="C19" s="27">
        <f>'[2]Data Sheet'!C23/'[2]Data Sheet'!C$17</f>
        <v>3.2164514183588663E-2</v>
      </c>
      <c r="D19" s="27">
        <f>'[2]Data Sheet'!D23/'[2]Data Sheet'!D$17</f>
        <v>3.38287333602275E-2</v>
      </c>
      <c r="E19" s="27">
        <f>'[2]Data Sheet'!E23/'[2]Data Sheet'!E$17</f>
        <v>3.0994514393910193E-2</v>
      </c>
      <c r="F19" s="27">
        <f>'[2]Data Sheet'!F23/'[2]Data Sheet'!F$17</f>
        <v>3.4125202841705761E-2</v>
      </c>
      <c r="G19" s="27">
        <f>'[2]Data Sheet'!G23/'[2]Data Sheet'!G$17</f>
        <v>2.3606146552333219E-2</v>
      </c>
      <c r="H19" s="27">
        <f>'[2]Data Sheet'!H23/'[2]Data Sheet'!H$17</f>
        <v>1.945710190253588E-2</v>
      </c>
      <c r="I19" s="27">
        <f>'[2]Data Sheet'!I23/'[2]Data Sheet'!I$17</f>
        <v>2.33877688286338E-2</v>
      </c>
      <c r="J19" s="27">
        <f>'[2]Data Sheet'!J23/'[2]Data Sheet'!J$17</f>
        <v>2.227235174701914E-2</v>
      </c>
      <c r="K19" s="27">
        <f>'[2]Data Sheet'!K23/'[2]Data Sheet'!K$17</f>
        <v>2.4304165837329677E-2</v>
      </c>
    </row>
    <row r="20" spans="2:11">
      <c r="B20" s="1" t="str">
        <f>'[2]Data Sheet'!A24</f>
        <v>Other Expenses</v>
      </c>
      <c r="C20" s="27">
        <f>'[2]Data Sheet'!C24/'[2]Data Sheet'!C$17</f>
        <v>1.6473666404348112E-2</v>
      </c>
      <c r="D20" s="27">
        <f>'[2]Data Sheet'!D24/'[2]Data Sheet'!D$17</f>
        <v>1.5002421664796371E-2</v>
      </c>
      <c r="E20" s="27">
        <f>'[2]Data Sheet'!E24/'[2]Data Sheet'!E$17</f>
        <v>1.3564629386417846E-2</v>
      </c>
      <c r="F20" s="27">
        <f>'[2]Data Sheet'!F24/'[2]Data Sheet'!F$17</f>
        <v>1.9039963367331079E-2</v>
      </c>
      <c r="G20" s="27">
        <f>'[2]Data Sheet'!G24/'[2]Data Sheet'!G$17</f>
        <v>1.9980116131023015E-2</v>
      </c>
      <c r="H20" s="27">
        <f>'[2]Data Sheet'!H24/'[2]Data Sheet'!H$17</f>
        <v>1.8129589910426128E-2</v>
      </c>
      <c r="I20" s="27">
        <f>'[2]Data Sheet'!I24/'[2]Data Sheet'!I$17</f>
        <v>1.8176466683381166E-2</v>
      </c>
      <c r="J20" s="27">
        <f>'[2]Data Sheet'!J24/'[2]Data Sheet'!J$17</f>
        <v>1.5594234332053427E-2</v>
      </c>
      <c r="K20" s="27">
        <f>'[2]Data Sheet'!K24/'[2]Data Sheet'!K$17</f>
        <v>3.958364178132761E-2</v>
      </c>
    </row>
    <row r="21" spans="2:11">
      <c r="B21" s="1" t="str">
        <f>'[2]Data Sheet'!A25</f>
        <v>Other Income</v>
      </c>
      <c r="C21" s="27">
        <f>'[2]Data Sheet'!C25/'[2]Data Sheet'!C$17</f>
        <v>6.7461681878691143E-2</v>
      </c>
      <c r="D21" s="27">
        <f>'[2]Data Sheet'!D25/'[2]Data Sheet'!D$17</f>
        <v>5.5681233545670297E-2</v>
      </c>
      <c r="E21" s="27">
        <f>'[2]Data Sheet'!E25/'[2]Data Sheet'!E$17</f>
        <v>6.6798033970372511E-2</v>
      </c>
      <c r="F21" s="27">
        <f>'[2]Data Sheet'!F25/'[2]Data Sheet'!F$17</f>
        <v>6.124541047139493E-2</v>
      </c>
      <c r="G21" s="27">
        <f>'[2]Data Sheet'!G25/'[2]Data Sheet'!G$17</f>
        <v>5.6583233241099477E-2</v>
      </c>
      <c r="H21" s="27">
        <f>'[2]Data Sheet'!H25/'[2]Data Sheet'!H$17</f>
        <v>8.0595063284608623E-2</v>
      </c>
      <c r="I21" s="27">
        <f>'[2]Data Sheet'!I25/'[2]Data Sheet'!I$17</f>
        <v>4.6706412057699036E-2</v>
      </c>
      <c r="J21" s="27">
        <f>'[2]Data Sheet'!J25/'[2]Data Sheet'!J$17</f>
        <v>3.7897787028116289E-2</v>
      </c>
      <c r="K21" s="27">
        <f>'[2]Data Sheet'!K25/'[2]Data Sheet'!K$17</f>
        <v>2.886700637617157E-2</v>
      </c>
    </row>
    <row r="22" spans="2:11">
      <c r="B22" s="1" t="str">
        <f>'[2]Data Sheet'!A26</f>
        <v>Depreciation</v>
      </c>
      <c r="C22" s="27">
        <f>'[2]Data Sheet'!C26/'[2]Data Sheet'!C$17</f>
        <v>1.4125210529025425E-2</v>
      </c>
      <c r="D22" s="27">
        <f>'[2]Data Sheet'!D26/'[2]Data Sheet'!D$17</f>
        <v>1.2487142963110171E-2</v>
      </c>
      <c r="E22" s="27">
        <f>'[2]Data Sheet'!E26/'[2]Data Sheet'!E$17</f>
        <v>8.7520007326000078E-3</v>
      </c>
      <c r="F22" s="27">
        <f>'[2]Data Sheet'!F26/'[2]Data Sheet'!F$17</f>
        <v>8.2366684325663082E-3</v>
      </c>
      <c r="G22" s="27">
        <f>'[2]Data Sheet'!G26/'[2]Data Sheet'!G$17</f>
        <v>9.3496720387237983E-3</v>
      </c>
      <c r="H22" s="27">
        <f>'[2]Data Sheet'!H26/'[2]Data Sheet'!H$17</f>
        <v>8.1388553407165127E-3</v>
      </c>
      <c r="I22" s="27">
        <f>'[2]Data Sheet'!I26/'[2]Data Sheet'!I$17</f>
        <v>7.8410923161409928E-3</v>
      </c>
      <c r="J22" s="27">
        <f>'[2]Data Sheet'!J26/'[2]Data Sheet'!J$17</f>
        <v>8.1294072733423765E-3</v>
      </c>
      <c r="K22" s="27">
        <f>'[2]Data Sheet'!K26/'[2]Data Sheet'!K$17</f>
        <v>8.1230249114856382E-3</v>
      </c>
    </row>
    <row r="23" spans="2:11">
      <c r="B23" s="1" t="str">
        <f>'[2]Data Sheet'!A27</f>
        <v>Interest</v>
      </c>
      <c r="C23" s="27">
        <f>'[2]Data Sheet'!C27/'[2]Data Sheet'!C$17</f>
        <v>6.435385056668162E-5</v>
      </c>
      <c r="D23" s="27">
        <f>'[2]Data Sheet'!D27/'[2]Data Sheet'!D$17</f>
        <v>5.1963650831239911E-5</v>
      </c>
      <c r="E23" s="27">
        <f>'[2]Data Sheet'!E27/'[2]Data Sheet'!E$17</f>
        <v>1.4757410245793234E-4</v>
      </c>
      <c r="F23" s="27">
        <f>'[2]Data Sheet'!F27/'[2]Data Sheet'!F$17</f>
        <v>1.0561973885853807E-4</v>
      </c>
      <c r="G23" s="27">
        <f>'[2]Data Sheet'!G27/'[2]Data Sheet'!G$17</f>
        <v>2.4007717075182365E-4</v>
      </c>
      <c r="H23" s="27">
        <f>'[2]Data Sheet'!H27/'[2]Data Sheet'!H$17</f>
        <v>2.6127849662887381E-4</v>
      </c>
      <c r="I23" s="27">
        <f>'[2]Data Sheet'!I27/'[2]Data Sheet'!I$17</f>
        <v>1.0837906503786273E-3</v>
      </c>
      <c r="J23" s="27">
        <f>'[2]Data Sheet'!J27/'[2]Data Sheet'!J$17</f>
        <v>1.3452066316280008E-3</v>
      </c>
      <c r="K23" s="27">
        <f>'[2]Data Sheet'!K27/'[2]Data Sheet'!K$17</f>
        <v>7.6263051639832088E-3</v>
      </c>
    </row>
    <row r="24" spans="2:11">
      <c r="B24" s="1" t="str">
        <f>'[2]Data Sheet'!A28</f>
        <v>Profit before tax</v>
      </c>
      <c r="C24" s="27">
        <f>'[2]Data Sheet'!C28/'[2]Data Sheet'!C$17</f>
        <v>0.25684311266704418</v>
      </c>
      <c r="D24" s="27">
        <f>'[2]Data Sheet'!D28/'[2]Data Sheet'!D$17</f>
        <v>0.23536003471647879</v>
      </c>
      <c r="E24" s="27">
        <f>'[2]Data Sheet'!E28/'[2]Data Sheet'!E$17</f>
        <v>0.22912131151213055</v>
      </c>
      <c r="F24" s="27">
        <f>'[2]Data Sheet'!F28/'[2]Data Sheet'!F$17</f>
        <v>0.22367753892638872</v>
      </c>
      <c r="G24" s="27">
        <f>'[2]Data Sheet'!G28/'[2]Data Sheet'!G$17</f>
        <v>0.22498871709392712</v>
      </c>
      <c r="H24" s="27">
        <f>'[2]Data Sheet'!H28/'[2]Data Sheet'!H$17</f>
        <v>0.23085674908605328</v>
      </c>
      <c r="I24" s="27">
        <f>'[2]Data Sheet'!I28/'[2]Data Sheet'!I$17</f>
        <v>0.21511173385108043</v>
      </c>
      <c r="J24" s="27">
        <f>'[2]Data Sheet'!J28/'[2]Data Sheet'!J$17</f>
        <v>0.22375626888353869</v>
      </c>
      <c r="K24" s="27">
        <f>'[2]Data Sheet'!K28/'[2]Data Sheet'!K$17</f>
        <v>0.20048279669101896</v>
      </c>
    </row>
    <row r="25" spans="2:11">
      <c r="B25" s="1" t="str">
        <f>'[2]Data Sheet'!A29</f>
        <v>Tax</v>
      </c>
      <c r="C25" s="27">
        <f>'[2]Data Sheet'!C29/'[2]Data Sheet'!C$17</f>
        <v>6.932150816006824E-2</v>
      </c>
      <c r="D25" s="27">
        <f>'[2]Data Sheet'!D29/'[2]Data Sheet'!D$17</f>
        <v>6.8007725527202967E-2</v>
      </c>
      <c r="E25" s="27">
        <f>'[2]Data Sheet'!E29/'[2]Data Sheet'!E$17</f>
        <v>6.6802975067553033E-2</v>
      </c>
      <c r="F25" s="27">
        <f>'[2]Data Sheet'!F29/'[2]Data Sheet'!F$17</f>
        <v>4.9474825902906715E-2</v>
      </c>
      <c r="G25" s="27">
        <f>'[2]Data Sheet'!G29/'[2]Data Sheet'!G$17</f>
        <v>4.990469008416399E-2</v>
      </c>
      <c r="H25" s="27">
        <f>'[2]Data Sheet'!H29/'[2]Data Sheet'!H$17</f>
        <v>4.4827968022649767E-2</v>
      </c>
      <c r="I25" s="27">
        <f>'[2]Data Sheet'!I29/'[2]Data Sheet'!I$17</f>
        <v>4.8875364898130262E-2</v>
      </c>
      <c r="J25" s="27">
        <f>'[2]Data Sheet'!J29/'[2]Data Sheet'!J$17</f>
        <v>5.1967409271540303E-2</v>
      </c>
      <c r="K25" s="27">
        <f>'[2]Data Sheet'!K29/'[2]Data Sheet'!K$17</f>
        <v>5.6845290330045074E-2</v>
      </c>
    </row>
    <row r="26" spans="2:11">
      <c r="B26" s="1" t="str">
        <f>'[2]Data Sheet'!A30</f>
        <v>Net profit</v>
      </c>
      <c r="C26" s="27">
        <f>'[2]Data Sheet'!C30/'[2]Data Sheet'!C$17</f>
        <v>0.18752206417733713</v>
      </c>
      <c r="D26" s="27">
        <f>'[2]Data Sheet'!D30/'[2]Data Sheet'!D$17</f>
        <v>0.16735270585836612</v>
      </c>
      <c r="E26" s="27">
        <f>'[2]Data Sheet'!E30/'[2]Data Sheet'!E$17</f>
        <v>0.1623186658510562</v>
      </c>
      <c r="F26" s="27">
        <f>'[2]Data Sheet'!F30/'[2]Data Sheet'!F$17</f>
        <v>0.174202713023482</v>
      </c>
      <c r="G26" s="27">
        <f>'[2]Data Sheet'!G30/'[2]Data Sheet'!G$17</f>
        <v>0.17508402700976314</v>
      </c>
      <c r="H26" s="27">
        <f>'[2]Data Sheet'!H30/'[2]Data Sheet'!H$17</f>
        <v>0.18602878106340348</v>
      </c>
      <c r="I26" s="27">
        <f>'[2]Data Sheet'!I30/'[2]Data Sheet'!I$17</f>
        <v>0.16623636895295016</v>
      </c>
      <c r="J26" s="27">
        <f>'[2]Data Sheet'!J30/'[2]Data Sheet'!J$17</f>
        <v>0.17178885961199836</v>
      </c>
      <c r="K26" s="27">
        <f>'[2]Data Sheet'!K30/'[2]Data Sheet'!K$17</f>
        <v>0.14363750636097386</v>
      </c>
    </row>
    <row r="27" spans="2:11">
      <c r="B27" s="1" t="str">
        <f>'[2]Data Sheet'!A31</f>
        <v>Dividend Amount</v>
      </c>
      <c r="C27" s="27">
        <f>'[2]Data Sheet'!C31/'[2]Data Sheet'!C$17</f>
        <v>7.3158376664926042E-2</v>
      </c>
      <c r="D27" s="27">
        <f>'[2]Data Sheet'!D31/'[2]Data Sheet'!D$17</f>
        <v>6.8870480798637682E-2</v>
      </c>
      <c r="E27" s="27">
        <f>'[2]Data Sheet'!E31/'[2]Data Sheet'!E$17</f>
        <v>5.7192211644980187E-2</v>
      </c>
      <c r="F27" s="27">
        <f>'[2]Data Sheet'!F31/'[2]Data Sheet'!F$17</f>
        <v>0.11606272341833605</v>
      </c>
      <c r="G27" s="27">
        <f>'[2]Data Sheet'!G31/'[2]Data Sheet'!G$17</f>
        <v>0.14603541030125719</v>
      </c>
      <c r="H27" s="27">
        <f>'[2]Data Sheet'!H31/'[2]Data Sheet'!H$17</f>
        <v>0.12222704618625416</v>
      </c>
      <c r="I27" s="27">
        <f>'[2]Data Sheet'!I31/'[2]Data Sheet'!I$17</f>
        <v>0.10866544252178965</v>
      </c>
      <c r="J27" s="27">
        <f>'[2]Data Sheet'!J31/'[2]Data Sheet'!J$17</f>
        <v>4.9775319737296923E-2</v>
      </c>
      <c r="K27" s="27">
        <f>'[2]Data Sheet'!K31/'[2]Data Sheet'!K$17</f>
        <v>0.11500170116218301</v>
      </c>
    </row>
    <row r="30" spans="2:11">
      <c r="B30" s="517" t="str">
        <f>"Common Size Balance sheet"&amp;" "&amp;" - "&amp;'[2]Data Sheet'!$B$1</f>
        <v>Common Size Balance sheet  - BAJAJ AUTO LTD</v>
      </c>
      <c r="C30" s="517"/>
      <c r="D30" s="517"/>
      <c r="E30" s="517"/>
      <c r="F30" s="517"/>
      <c r="G30" s="517"/>
      <c r="H30" s="517"/>
      <c r="I30" s="517"/>
      <c r="J30" s="3" t="s">
        <v>0</v>
      </c>
      <c r="K30" s="3" t="s">
        <v>0</v>
      </c>
    </row>
    <row r="31" spans="2:11">
      <c r="B31" s="121"/>
      <c r="C31" s="121"/>
      <c r="D31" s="121"/>
      <c r="E31" s="121"/>
      <c r="F31" s="121"/>
      <c r="G31" s="121"/>
      <c r="H31" s="121"/>
      <c r="I31" s="121"/>
      <c r="J31" s="121"/>
      <c r="K31" s="121"/>
    </row>
    <row r="32" spans="2:11">
      <c r="B32" s="120"/>
      <c r="C32" s="120"/>
      <c r="D32" s="120"/>
      <c r="E32" s="120"/>
      <c r="F32" s="120"/>
      <c r="G32" s="120"/>
      <c r="H32" s="120"/>
      <c r="I32" s="120"/>
    </row>
    <row r="33" spans="1:11">
      <c r="B33" s="119" t="s">
        <v>130</v>
      </c>
      <c r="C33" s="118">
        <v>42825</v>
      </c>
      <c r="D33" s="118">
        <v>43190</v>
      </c>
      <c r="E33" s="118">
        <v>43555</v>
      </c>
      <c r="F33" s="118">
        <v>43921</v>
      </c>
      <c r="G33" s="118">
        <v>44286</v>
      </c>
      <c r="H33" s="118">
        <v>44651</v>
      </c>
      <c r="I33" s="118">
        <v>45016</v>
      </c>
      <c r="J33" s="118">
        <f>J11</f>
        <v>45382</v>
      </c>
      <c r="K33" s="118">
        <f>K11</f>
        <v>45747</v>
      </c>
    </row>
    <row r="34" spans="1:11">
      <c r="B34" s="116"/>
      <c r="C34" s="117"/>
      <c r="D34" s="117"/>
      <c r="E34" s="117"/>
      <c r="F34" s="117"/>
      <c r="G34" s="117"/>
      <c r="H34" s="117"/>
      <c r="I34" s="117"/>
      <c r="J34" s="17"/>
      <c r="K34" s="17"/>
    </row>
    <row r="35" spans="1:11">
      <c r="A35" s="17"/>
      <c r="B35" s="116" t="s">
        <v>40</v>
      </c>
      <c r="C35" s="115">
        <f>'[2]Data Sheet'!C61/'[2]Data Sheet'!C$61</f>
        <v>1</v>
      </c>
      <c r="D35" s="115">
        <f>'[2]Data Sheet'!D61/'[2]Data Sheet'!D$61</f>
        <v>1</v>
      </c>
      <c r="E35" s="115">
        <f>'[2]Data Sheet'!E61/'[2]Data Sheet'!E$61</f>
        <v>1</v>
      </c>
      <c r="F35" s="115">
        <f>'[2]Data Sheet'!F61/'[2]Data Sheet'!F$61</f>
        <v>1</v>
      </c>
      <c r="G35" s="115">
        <f>'[2]Data Sheet'!G61/'[2]Data Sheet'!G$61</f>
        <v>1</v>
      </c>
      <c r="H35" s="115">
        <f>'[2]Data Sheet'!H61/'[2]Data Sheet'!H$61</f>
        <v>1</v>
      </c>
      <c r="I35" s="115">
        <f>'[2]Data Sheet'!I61/'[2]Data Sheet'!I$61</f>
        <v>1</v>
      </c>
      <c r="J35" s="115">
        <f>'[2]Data Sheet'!J61/'[2]Data Sheet'!J$61</f>
        <v>1</v>
      </c>
      <c r="K35" s="115">
        <f>'[2]Data Sheet'!K61/'[2]Data Sheet'!K$61</f>
        <v>1</v>
      </c>
    </row>
    <row r="36" spans="1:11" s="17" customFormat="1">
      <c r="A36" s="1"/>
      <c r="B36" s="1" t="str">
        <f>'[2]Data Sheet'!A57</f>
        <v>Equity Share Capital</v>
      </c>
      <c r="C36" s="27">
        <f>'[2]Data Sheet'!C57/'[2]Data Sheet'!C$61</f>
        <v>1.3373467137328413E-2</v>
      </c>
      <c r="D36" s="27">
        <f>'[2]Data Sheet'!D57/'[2]Data Sheet'!D$61</f>
        <v>1.1509884252814129E-2</v>
      </c>
      <c r="E36" s="27">
        <f>'[2]Data Sheet'!E57/'[2]Data Sheet'!E$61</f>
        <v>1.003557901826325E-2</v>
      </c>
      <c r="F36" s="27">
        <f>'[2]Data Sheet'!F57/'[2]Data Sheet'!F$61</f>
        <v>1.0915495348551227E-2</v>
      </c>
      <c r="G36" s="27">
        <f>'[2]Data Sheet'!G57/'[2]Data Sheet'!G$61</f>
        <v>8.6117641036721048E-3</v>
      </c>
      <c r="H36" s="27">
        <f>'[2]Data Sheet'!H57/'[2]Data Sheet'!H$61</f>
        <v>8.2415274210145429E-3</v>
      </c>
      <c r="I36" s="27">
        <f>'[2]Data Sheet'!I57/'[2]Data Sheet'!I$61</f>
        <v>8.053175548468898E-3</v>
      </c>
      <c r="J36" s="27">
        <f>'[2]Data Sheet'!J57/'[2]Data Sheet'!J$61</f>
        <v>7.0959282161891781E-3</v>
      </c>
      <c r="K36" s="27">
        <f>'[2]Data Sheet'!K57/'[2]Data Sheet'!K$61</f>
        <v>5.1609760280554844E-3</v>
      </c>
    </row>
    <row r="37" spans="1:11">
      <c r="B37" s="1" t="str">
        <f>'[2]Data Sheet'!A58</f>
        <v>Reserves</v>
      </c>
      <c r="C37" s="27">
        <f>'[2]Data Sheet'!C58/'[2]Data Sheet'!C$61</f>
        <v>0.81188226801284069</v>
      </c>
      <c r="D37" s="27">
        <f>'[2]Data Sheet'!D58/'[2]Data Sheet'!D$61</f>
        <v>0.80091762459727134</v>
      </c>
      <c r="E37" s="27">
        <f>'[2]Data Sheet'!E58/'[2]Data Sheet'!E$61</f>
        <v>0.79573121142412828</v>
      </c>
      <c r="F37" s="27">
        <f>'[2]Data Sheet'!F58/'[2]Data Sheet'!F$61</f>
        <v>0.80621251888908418</v>
      </c>
      <c r="G37" s="27">
        <f>'[2]Data Sheet'!G58/'[2]Data Sheet'!G$61</f>
        <v>0.80305615398740127</v>
      </c>
      <c r="H37" s="27">
        <f>'[2]Data Sheet'!H58/'[2]Data Sheet'!H$61</f>
        <v>0.84218914699892145</v>
      </c>
      <c r="I37" s="27">
        <f>'[2]Data Sheet'!I58/'[2]Data Sheet'!I$61</f>
        <v>0.82759015210700015</v>
      </c>
      <c r="J37" s="27">
        <f>'[2]Data Sheet'!J58/'[2]Data Sheet'!J$61</f>
        <v>0.72904270036694574</v>
      </c>
      <c r="K37" s="27">
        <f>'[2]Data Sheet'!K58/'[2]Data Sheet'!K$61</f>
        <v>0.64515859568818446</v>
      </c>
    </row>
    <row r="38" spans="1:11">
      <c r="B38" s="1" t="str">
        <f>'[2]Data Sheet'!A59</f>
        <v>Borrowings</v>
      </c>
      <c r="C38" s="27">
        <f>'[2]Data Sheet'!C59/'[2]Data Sheet'!C$61</f>
        <v>5.5412748721901956E-3</v>
      </c>
      <c r="D38" s="27">
        <f>'[2]Data Sheet'!D59/'[2]Data Sheet'!D$61</f>
        <v>4.8037070920011133E-3</v>
      </c>
      <c r="E38" s="27">
        <f>'[2]Data Sheet'!E59/'[2]Data Sheet'!E$61</f>
        <v>4.3184514612922545E-3</v>
      </c>
      <c r="F38" s="27">
        <f>'[2]Data Sheet'!F59/'[2]Data Sheet'!F$61</f>
        <v>4.7374539890954435E-3</v>
      </c>
      <c r="G38" s="27">
        <f>'[2]Data Sheet'!G59/'[2]Data Sheet'!G$61</f>
        <v>3.6146969901234192E-3</v>
      </c>
      <c r="H38" s="27">
        <f>'[2]Data Sheet'!H59/'[2]Data Sheet'!H$61</f>
        <v>3.4966040760201658E-3</v>
      </c>
      <c r="I38" s="27">
        <f>'[2]Data Sheet'!I59/'[2]Data Sheet'!I$61</f>
        <v>3.5356446083767714E-3</v>
      </c>
      <c r="J38" s="27">
        <f>'[2]Data Sheet'!J59/'[2]Data Sheet'!J$61</f>
        <v>4.8590765126504398E-2</v>
      </c>
      <c r="K38" s="27">
        <f>'[2]Data Sheet'!K59/'[2]Data Sheet'!K$61</f>
        <v>0.17305810099146329</v>
      </c>
    </row>
    <row r="39" spans="1:11">
      <c r="B39" s="1" t="str">
        <f>'[2]Data Sheet'!A60</f>
        <v>Other Liabilities</v>
      </c>
      <c r="C39" s="27">
        <f>'[2]Data Sheet'!C60/'[2]Data Sheet'!C$61</f>
        <v>0.1692029899776408</v>
      </c>
      <c r="D39" s="27">
        <f>'[2]Data Sheet'!D60/'[2]Data Sheet'!D$61</f>
        <v>0.18276878405791336</v>
      </c>
      <c r="E39" s="27">
        <f>'[2]Data Sheet'!E60/'[2]Data Sheet'!E$61</f>
        <v>0.18991475809631617</v>
      </c>
      <c r="F39" s="27">
        <f>'[2]Data Sheet'!F60/'[2]Data Sheet'!F$61</f>
        <v>0.17813453177326913</v>
      </c>
      <c r="G39" s="27">
        <f>'[2]Data Sheet'!G60/'[2]Data Sheet'!G$61</f>
        <v>0.18471738491880324</v>
      </c>
      <c r="H39" s="27">
        <f>'[2]Data Sheet'!H60/'[2]Data Sheet'!H$61</f>
        <v>0.14607272150404388</v>
      </c>
      <c r="I39" s="27">
        <f>'[2]Data Sheet'!I60/'[2]Data Sheet'!I$61</f>
        <v>0.16082102773615436</v>
      </c>
      <c r="J39" s="27">
        <f>'[2]Data Sheet'!J60/'[2]Data Sheet'!J$61</f>
        <v>0.21527060629036068</v>
      </c>
      <c r="K39" s="27">
        <f>'[2]Data Sheet'!K60/'[2]Data Sheet'!K$61</f>
        <v>0.17662232729229688</v>
      </c>
    </row>
    <row r="41" spans="1:11">
      <c r="B41" s="25" t="s">
        <v>129</v>
      </c>
      <c r="C41" s="114">
        <f>'Historical FS'!C72/'Historical FS'!C$72</f>
        <v>1</v>
      </c>
      <c r="D41" s="114">
        <f>'Historical FS'!D72/'Historical FS'!D$72</f>
        <v>1</v>
      </c>
      <c r="E41" s="114">
        <f>'Historical FS'!E72/'Historical FS'!E$72</f>
        <v>1</v>
      </c>
      <c r="F41" s="114">
        <f>'Historical FS'!F72/'Historical FS'!F$72</f>
        <v>1</v>
      </c>
      <c r="G41" s="114">
        <f>'Historical FS'!G72/'Historical FS'!G$72</f>
        <v>1</v>
      </c>
      <c r="H41" s="114">
        <f>'Historical FS'!H72/'Historical FS'!H$72</f>
        <v>1</v>
      </c>
      <c r="I41" s="114">
        <f>'Historical FS'!I72/'Historical FS'!I$72</f>
        <v>1</v>
      </c>
      <c r="J41" s="114">
        <f>'Historical FS'!J72/'Historical FS'!J$72</f>
        <v>1</v>
      </c>
      <c r="K41" s="114">
        <f>'Historical FS'!K72/'Historical FS'!K$72</f>
        <v>1</v>
      </c>
    </row>
    <row r="42" spans="1:11">
      <c r="B42" s="1" t="str">
        <f>'[2]Data Sheet'!A62</f>
        <v>Net Block</v>
      </c>
      <c r="C42" s="27">
        <f>'Historical FS'!C61/'Historical FS'!C$72</f>
        <v>9.2514333831539702E-2</v>
      </c>
      <c r="D42" s="27">
        <f>'Historical FS'!D61/'Historical FS'!D$72</f>
        <v>7.4711825305278229E-2</v>
      </c>
      <c r="E42" s="27">
        <f>'Historical FS'!E61/'Historical FS'!E$72</f>
        <v>6.1174825494955509E-2</v>
      </c>
      <c r="F42" s="27">
        <f>'Historical FS'!F61/'Historical FS'!F$72</f>
        <v>6.4089729091113476E-2</v>
      </c>
      <c r="G42" s="27">
        <f>'Historical FS'!G61/'Historical FS'!G$72</f>
        <v>4.9626938629016203E-2</v>
      </c>
      <c r="H42" s="27">
        <f>'Historical FS'!H61/'Historical FS'!H$72</f>
        <v>5.2292416011866294E-2</v>
      </c>
      <c r="I42" s="27">
        <f>'Historical FS'!I61/'Historical FS'!I$72</f>
        <v>8.0891495868250771E-2</v>
      </c>
      <c r="J42" s="27">
        <f>'Historical FS'!J61/'Historical FS'!J$72</f>
        <v>8.1776010333550309E-2</v>
      </c>
      <c r="K42" s="27">
        <f>'Historical FS'!K61/'Historical FS'!K$72</f>
        <v>6.7946690736190335E-2</v>
      </c>
    </row>
    <row r="43" spans="1:11">
      <c r="B43" s="1" t="str">
        <f>'[2]Data Sheet'!A63</f>
        <v>Capital Work in Progress</v>
      </c>
      <c r="C43" s="27">
        <f>'Historical FS'!C62/'Historical FS'!C$72</f>
        <v>1.9489204450397041E-3</v>
      </c>
      <c r="D43" s="27">
        <f>'Historical FS'!D62/'Historical FS'!D$72</f>
        <v>2.2461318165546318E-3</v>
      </c>
      <c r="E43" s="27">
        <f>'Historical FS'!E62/'Historical FS'!E$72</f>
        <v>1.6653713393129945E-3</v>
      </c>
      <c r="F43" s="27">
        <f>'Historical FS'!F62/'Historical FS'!F$72</f>
        <v>2.2704622629481229E-3</v>
      </c>
      <c r="G43" s="27">
        <f>'Historical FS'!G62/'Historical FS'!G$72</f>
        <v>4.7557103492649631E-4</v>
      </c>
      <c r="H43" s="27">
        <f>'Historical FS'!H62/'Historical FS'!H$72</f>
        <v>2.1990127939196624E-3</v>
      </c>
      <c r="I43" s="27">
        <f>'Historical FS'!I62/'Historical FS'!I$72</f>
        <v>2.426824565372996E-3</v>
      </c>
      <c r="J43" s="27">
        <f>'Historical FS'!J62/'Historical FS'!J$72</f>
        <v>8.921379768903222E-4</v>
      </c>
      <c r="K43" s="27">
        <f>'Historical FS'!K62/'Historical FS'!K$72</f>
        <v>1.1236386969339447E-3</v>
      </c>
    </row>
    <row r="44" spans="1:11">
      <c r="B44" s="1" t="str">
        <f>'[2]Data Sheet'!A64</f>
        <v>Investments</v>
      </c>
      <c r="C44" s="27">
        <f>'Historical FS'!C63/'Historical FS'!C$72</f>
        <v>0.7152838436020228</v>
      </c>
      <c r="D44" s="27">
        <f>'Historical FS'!D63/'Historical FS'!D$72</f>
        <v>0.75154409132492739</v>
      </c>
      <c r="E44" s="27">
        <f>'Historical FS'!E63/'Historical FS'!E$72</f>
        <v>0.71452302994928629</v>
      </c>
      <c r="F44" s="27">
        <f>'Historical FS'!F63/'Historical FS'!F$72</f>
        <v>0.75117182106991998</v>
      </c>
      <c r="G44" s="27">
        <f>'Historical FS'!G63/'Historical FS'!G$72</f>
        <v>0.73468433600551886</v>
      </c>
      <c r="H44" s="27">
        <f>'Historical FS'!H63/'Historical FS'!H$72</f>
        <v>0.75856457239724862</v>
      </c>
      <c r="I44" s="27">
        <f>'Historical FS'!I63/'Historical FS'!I$72</f>
        <v>0.74517801314589271</v>
      </c>
      <c r="J44" s="27">
        <f>'Historical FS'!J63/'Historical FS'!J$72</f>
        <v>0.71388016731526704</v>
      </c>
      <c r="K44" s="27">
        <f>'Historical FS'!K63/'Historical FS'!K$72</f>
        <v>0.53435432911377434</v>
      </c>
    </row>
    <row r="45" spans="1:11">
      <c r="B45" s="1" t="str">
        <f>'[2]Data Sheet'!A65</f>
        <v>Other Assets</v>
      </c>
      <c r="C45" s="27">
        <f>'Historical FS'!C64/'Historical FS'!C$72</f>
        <v>9.8605576768609482E-2</v>
      </c>
      <c r="D45" s="27">
        <f>'Historical FS'!D64/'Historical FS'!D$72</f>
        <v>5.1092637524362612E-2</v>
      </c>
      <c r="E45" s="27">
        <f>'Historical FS'!E64/'Historical FS'!E$72</f>
        <v>6.8159188969013088E-2</v>
      </c>
      <c r="F45" s="27">
        <f>'Historical FS'!F64/'Historical FS'!F$72</f>
        <v>6.5344726258222338E-2</v>
      </c>
      <c r="G45" s="27">
        <f>'Historical FS'!G64/'Historical FS'!G$72</f>
        <v>7.3863800383968545E-2</v>
      </c>
      <c r="H45" s="27">
        <f>'Historical FS'!H64/'Historical FS'!H$72</f>
        <v>8.1423568142482125E-2</v>
      </c>
      <c r="I45" s="27">
        <f>'Historical FS'!I64/'Historical FS'!I$72</f>
        <v>5.747791823021392E-2</v>
      </c>
      <c r="J45" s="27">
        <f>'Historical FS'!J64/'Historical FS'!J$72</f>
        <v>8.3493439481655107E-2</v>
      </c>
      <c r="K45" s="27">
        <f>'Historical FS'!K64/'Historical FS'!K$72</f>
        <v>0.26628167256576984</v>
      </c>
    </row>
    <row r="46" spans="1:11">
      <c r="B46" s="1" t="str">
        <f>'[2]Data Sheet'!A67</f>
        <v>Receivables</v>
      </c>
      <c r="C46" s="27">
        <f>'Historical FS'!C67/'Historical FS'!C$72</f>
        <v>4.4057063577232616E-2</v>
      </c>
      <c r="D46" s="27">
        <f>'Historical FS'!D67/'Historical FS'!D$72</f>
        <v>5.9340121713535657E-2</v>
      </c>
      <c r="E46" s="27">
        <f>'Historical FS'!E67/'Historical FS'!E$72</f>
        <v>8.8772060881426043E-2</v>
      </c>
      <c r="F46" s="27">
        <f>'Historical FS'!F67/'Historical FS'!F$72</f>
        <v>6.5073508054690254E-2</v>
      </c>
      <c r="G46" s="27">
        <f>'Historical FS'!G67/'Historical FS'!G$72</f>
        <v>8.0854516035047022E-2</v>
      </c>
      <c r="H46" s="27">
        <f>'Historical FS'!H67/'Historical FS'!H$72</f>
        <v>4.3187916337830569E-2</v>
      </c>
      <c r="I46" s="27">
        <f>'Historical FS'!I67/'Historical FS'!I$72</f>
        <v>4.9874987370664939E-2</v>
      </c>
      <c r="J46" s="27">
        <f>'Historical FS'!J67/'Historical FS'!J$72</f>
        <v>5.2753821514962121E-2</v>
      </c>
      <c r="K46" s="27">
        <f>'Historical FS'!K67/'Historical FS'!K$72</f>
        <v>3.9275977491742733E-2</v>
      </c>
    </row>
    <row r="47" spans="1:11">
      <c r="B47" s="1" t="str">
        <f>'[2]Data Sheet'!A68</f>
        <v>Inventory</v>
      </c>
      <c r="C47" s="27">
        <f>'Historical FS'!C68/'Historical FS'!C$72</f>
        <v>3.3662667151008289E-2</v>
      </c>
      <c r="D47" s="27">
        <f>'Historical FS'!D68/'Historical FS'!D$72</f>
        <v>2.9536613499860788E-2</v>
      </c>
      <c r="E47" s="27">
        <f>'Historical FS'!E68/'Historical FS'!E$72</f>
        <v>3.3345922458618019E-2</v>
      </c>
      <c r="F47" s="27">
        <f>'Historical FS'!F68/'Historical FS'!F$72</f>
        <v>4.0116906739414003E-2</v>
      </c>
      <c r="G47" s="27">
        <f>'Historical FS'!G68/'Historical FS'!G$72</f>
        <v>4.445874927198646E-2</v>
      </c>
      <c r="H47" s="27">
        <f>'Historical FS'!H68/'Historical FS'!H$72</f>
        <v>3.5046072180366331E-2</v>
      </c>
      <c r="I47" s="27">
        <f>'Historical FS'!I68/'Historical FS'!I$72</f>
        <v>4.4499373158073743E-2</v>
      </c>
      <c r="J47" s="27">
        <f>'Historical FS'!J68/'Historical FS'!J$72</f>
        <v>4.2923020184431095E-2</v>
      </c>
      <c r="K47" s="27">
        <f>'Historical FS'!K68/'Historical FS'!K$72</f>
        <v>3.8391481635899671E-2</v>
      </c>
    </row>
    <row r="48" spans="1:11">
      <c r="B48" s="1" t="str">
        <f>'[2]Data Sheet'!A69</f>
        <v>Cash &amp; Bank</v>
      </c>
      <c r="C48" s="27">
        <f>'Historical FS'!C69/'Historical FS'!C$72</f>
        <v>1.3927594624547433E-2</v>
      </c>
      <c r="D48" s="27">
        <f>'Historical FS'!D69/'Historical FS'!D$72</f>
        <v>3.1528578815480685E-2</v>
      </c>
      <c r="E48" s="27">
        <f>'Historical FS'!E69/'Historical FS'!E$72</f>
        <v>3.2359600907388084E-2</v>
      </c>
      <c r="F48" s="27">
        <f>'Historical FS'!F69/'Historical FS'!F$72</f>
        <v>1.1932846523691795E-2</v>
      </c>
      <c r="G48" s="27">
        <f>'Historical FS'!G69/'Historical FS'!G$72</f>
        <v>1.6036088639536501E-2</v>
      </c>
      <c r="H48" s="27">
        <f>'Historical FS'!H69/'Historical FS'!H$72</f>
        <v>2.7286442136286386E-2</v>
      </c>
      <c r="I48" s="27">
        <f>'Historical FS'!I69/'Historical FS'!I$72</f>
        <v>1.9651387661530975E-2</v>
      </c>
      <c r="J48" s="27">
        <f>'Historical FS'!J69/'Historical FS'!J$72</f>
        <v>2.4281403193243949E-2</v>
      </c>
      <c r="K48" s="27">
        <f>'Historical FS'!K69/'Historical FS'!K$72</f>
        <v>5.2626209759689166E-2</v>
      </c>
    </row>
    <row r="50" spans="2:11">
      <c r="B50" s="3" t="s">
        <v>0</v>
      </c>
      <c r="C50" s="3" t="s">
        <v>0</v>
      </c>
      <c r="D50" s="3" t="s">
        <v>0</v>
      </c>
      <c r="E50" s="3" t="s">
        <v>0</v>
      </c>
      <c r="F50" s="3" t="s">
        <v>0</v>
      </c>
      <c r="G50" s="3" t="s">
        <v>0</v>
      </c>
      <c r="H50" s="3" t="s">
        <v>0</v>
      </c>
      <c r="I50" s="3" t="s">
        <v>0</v>
      </c>
      <c r="J50" s="3" t="s">
        <v>0</v>
      </c>
      <c r="K50" s="3" t="s">
        <v>0</v>
      </c>
    </row>
    <row r="51" spans="2:11" ht="12" customHeight="1" thickBot="1">
      <c r="B51" s="59"/>
      <c r="C51" s="59"/>
      <c r="D51" s="59"/>
      <c r="E51" s="59"/>
      <c r="F51" s="59"/>
      <c r="G51" s="59"/>
      <c r="H51" s="59"/>
      <c r="I51" s="59"/>
      <c r="J51" s="59"/>
      <c r="K51" s="59"/>
    </row>
    <row r="52" spans="2:11" ht="15.75" thickTop="1"/>
    <row r="53" spans="2:11" ht="10.5" customHeight="1"/>
  </sheetData>
  <mergeCells count="2">
    <mergeCell ref="B8:I8"/>
    <mergeCell ref="B30:I30"/>
  </mergeCells>
  <printOptions horizontalCentered="1" verticalCentered="1"/>
  <pageMargins left="0" right="0.25" top="0" bottom="1" header="0" footer="0"/>
  <pageSetup paperSize="9" scale="82" orientation="portrait" r:id="rId1"/>
  <drawing r:id="rId2"/>
</worksheet>
</file>

<file path=xl/worksheets/sheet8.xml><?xml version="1.0" encoding="utf-8"?>
<worksheet xmlns="http://schemas.openxmlformats.org/spreadsheetml/2006/main" xmlns:r="http://schemas.openxmlformats.org/officeDocument/2006/relationships">
  <dimension ref="A1:R117"/>
  <sheetViews>
    <sheetView showGridLines="0" topLeftCell="A6" workbookViewId="0">
      <selection activeCell="N15" sqref="N15"/>
    </sheetView>
  </sheetViews>
  <sheetFormatPr defaultRowHeight="15"/>
  <cols>
    <col min="1" max="1" width="2.5703125" customWidth="1"/>
    <col min="2" max="2" width="13" customWidth="1"/>
    <col min="3" max="3" width="12.140625" customWidth="1"/>
    <col min="4" max="4" width="15.42578125" customWidth="1"/>
    <col min="5" max="5" width="4" customWidth="1"/>
    <col min="6" max="6" width="14.5703125" customWidth="1"/>
    <col min="7" max="7" width="16.140625" customWidth="1"/>
    <col min="8" max="8" width="1.42578125" customWidth="1"/>
    <col min="9" max="9" width="3.42578125" customWidth="1"/>
    <col min="10" max="10" width="21.140625" customWidth="1"/>
    <col min="11" max="11" width="12" customWidth="1"/>
    <col min="12" max="12" width="13.28515625" customWidth="1"/>
    <col min="13" max="13" width="10.28515625" customWidth="1"/>
    <col min="15" max="15" width="11.85546875" customWidth="1"/>
    <col min="16" max="16" width="11.140625" customWidth="1"/>
    <col min="17" max="17" width="11.85546875" customWidth="1"/>
    <col min="18" max="18" width="11.140625" customWidth="1"/>
  </cols>
  <sheetData>
    <row r="1" spans="1:14" ht="17.25" customHeight="1"/>
    <row r="2" spans="1:14" ht="12" customHeight="1">
      <c r="B2" s="187" t="s">
        <v>0</v>
      </c>
      <c r="C2" s="187" t="s">
        <v>0</v>
      </c>
      <c r="D2" s="187" t="s">
        <v>0</v>
      </c>
      <c r="E2" s="187" t="s">
        <v>0</v>
      </c>
      <c r="F2" s="187" t="s">
        <v>0</v>
      </c>
      <c r="G2" s="187" t="s">
        <v>0</v>
      </c>
      <c r="H2" s="187"/>
      <c r="I2" s="187" t="s">
        <v>0</v>
      </c>
      <c r="J2" s="187"/>
      <c r="K2" s="187"/>
      <c r="L2" s="266" t="s">
        <v>0</v>
      </c>
    </row>
    <row r="3" spans="1:14" ht="10.5" customHeight="1" thickBot="1">
      <c r="B3" s="193"/>
      <c r="C3" s="193"/>
      <c r="D3" s="193"/>
      <c r="E3" s="193"/>
      <c r="F3" s="193"/>
      <c r="G3" s="193"/>
      <c r="H3" s="193"/>
      <c r="I3" s="193"/>
      <c r="J3" s="193"/>
      <c r="K3" s="193"/>
      <c r="L3" s="191"/>
    </row>
    <row r="4" spans="1:14" ht="36" thickTop="1">
      <c r="B4" s="197" t="str">
        <f>'[2]Data Sheet'!B1</f>
        <v>BAJAJ AUTO LTD</v>
      </c>
    </row>
    <row r="5" spans="1:14">
      <c r="B5" s="265" t="str">
        <f>CONCATENATE(" ",VLOOKUP(B4,'[2]LIST OF STOCKS'!B5:D5444,3,FALSE)," | ","Bse Code: ",VLOOKUP(B4,'[2]LIST OF STOCKS'!B5:E5444,2,FALSE),)</f>
        <v xml:space="preserve"> BAJAJ-AUTO | Bse Code: 532977</v>
      </c>
    </row>
    <row r="6" spans="1:14" ht="15.75" thickBot="1">
      <c r="B6" s="264" t="s">
        <v>78</v>
      </c>
      <c r="C6" s="193"/>
      <c r="D6" s="193"/>
      <c r="E6" s="193"/>
      <c r="F6" s="193"/>
      <c r="G6" s="193"/>
      <c r="H6" s="193"/>
      <c r="I6" s="194"/>
      <c r="J6" s="194"/>
      <c r="K6" s="194"/>
      <c r="L6" s="191"/>
    </row>
    <row r="7" spans="1:14" ht="10.5" customHeight="1" thickTop="1">
      <c r="B7" s="263"/>
      <c r="C7" s="191"/>
      <c r="D7" s="191"/>
      <c r="E7" s="191"/>
      <c r="F7" s="191"/>
      <c r="G7" s="191"/>
      <c r="H7" s="191"/>
      <c r="I7" s="262"/>
      <c r="J7" s="262"/>
      <c r="K7" s="262"/>
      <c r="L7" s="191"/>
    </row>
    <row r="8" spans="1:14" ht="13.5" customHeight="1">
      <c r="B8" s="261"/>
      <c r="C8" s="188"/>
      <c r="D8" s="188"/>
      <c r="E8" s="188"/>
      <c r="F8" s="188"/>
      <c r="G8" s="188"/>
      <c r="H8" s="260"/>
      <c r="I8" s="259"/>
      <c r="J8" s="259"/>
      <c r="K8" s="259"/>
      <c r="L8" s="177"/>
    </row>
    <row r="9" spans="1:14" s="177" customFormat="1" ht="8.25" customHeight="1">
      <c r="B9" s="258"/>
      <c r="C9" s="257"/>
      <c r="D9" s="257"/>
      <c r="E9" s="257"/>
      <c r="F9" s="257"/>
      <c r="G9" s="257"/>
      <c r="I9" s="256"/>
      <c r="J9" s="256"/>
      <c r="K9" s="256"/>
    </row>
    <row r="10" spans="1:14" ht="16.5" customHeight="1">
      <c r="B10" s="518" t="s">
        <v>288</v>
      </c>
      <c r="C10" s="518"/>
      <c r="D10" s="518"/>
      <c r="E10" s="518"/>
      <c r="F10" s="518"/>
      <c r="G10" s="518"/>
      <c r="H10" s="255"/>
      <c r="I10" s="255"/>
      <c r="J10" s="255"/>
      <c r="K10" s="255"/>
    </row>
    <row r="11" spans="1:14" ht="8.25" customHeight="1">
      <c r="B11" s="191"/>
      <c r="C11" s="191"/>
      <c r="D11" s="191"/>
    </row>
    <row r="12" spans="1:14" ht="15.75">
      <c r="B12" s="254" t="s">
        <v>287</v>
      </c>
      <c r="C12" s="253"/>
      <c r="D12" s="253"/>
      <c r="E12" s="252"/>
      <c r="F12" s="251" t="s">
        <v>286</v>
      </c>
      <c r="G12" s="250"/>
      <c r="I12" s="246"/>
      <c r="J12" s="245" t="s">
        <v>285</v>
      </c>
      <c r="K12" s="244">
        <f>SLOPE(D15:D117,G15:G117)</f>
        <v>0.70195172926817695</v>
      </c>
      <c r="N12" s="191"/>
    </row>
    <row r="13" spans="1:14" ht="15.75">
      <c r="A13" s="191"/>
      <c r="B13" s="249" t="s">
        <v>284</v>
      </c>
      <c r="C13" s="249" t="s">
        <v>283</v>
      </c>
      <c r="D13" s="249" t="s">
        <v>282</v>
      </c>
      <c r="E13" s="248"/>
      <c r="F13" s="247" t="s">
        <v>283</v>
      </c>
      <c r="G13" s="247" t="s">
        <v>282</v>
      </c>
      <c r="I13" s="246"/>
      <c r="J13" s="245" t="s">
        <v>281</v>
      </c>
      <c r="K13" s="244">
        <f>K32</f>
        <v>0.70195172926817684</v>
      </c>
    </row>
    <row r="14" spans="1:14">
      <c r="B14" s="238">
        <v>45011</v>
      </c>
      <c r="C14" s="163">
        <v>3884.75</v>
      </c>
      <c r="F14" s="163">
        <v>17359.75</v>
      </c>
    </row>
    <row r="15" spans="1:14">
      <c r="B15" s="238">
        <v>45004</v>
      </c>
      <c r="C15" s="163">
        <v>3827.9</v>
      </c>
      <c r="D15" s="237">
        <f t="shared" ref="D15:D46" si="0">C15/C14-1</f>
        <v>-1.4634146341463428E-2</v>
      </c>
      <c r="F15" s="163">
        <v>16945.05</v>
      </c>
      <c r="G15" s="237">
        <f t="shared" ref="G15:G46" si="1">F15/F14-1</f>
        <v>-2.388859286568068E-2</v>
      </c>
      <c r="J15" t="s">
        <v>280</v>
      </c>
    </row>
    <row r="16" spans="1:14" ht="15.75" thickBot="1">
      <c r="B16" s="238">
        <v>44997</v>
      </c>
      <c r="C16" s="163">
        <v>3814.4</v>
      </c>
      <c r="D16" s="237">
        <f t="shared" si="0"/>
        <v>-3.5267378980642361E-3</v>
      </c>
      <c r="F16" s="163">
        <v>17100.05</v>
      </c>
      <c r="G16" s="237">
        <f t="shared" si="1"/>
        <v>9.1472140831687643E-3</v>
      </c>
    </row>
    <row r="17" spans="2:18">
      <c r="B17" s="238">
        <v>44990</v>
      </c>
      <c r="C17" s="163">
        <v>3821.9</v>
      </c>
      <c r="D17" s="237">
        <f t="shared" si="0"/>
        <v>1.9662332214764877E-3</v>
      </c>
      <c r="F17" s="163">
        <v>17412.900000000001</v>
      </c>
      <c r="G17" s="237">
        <f t="shared" si="1"/>
        <v>1.829526814249105E-2</v>
      </c>
      <c r="J17" s="243" t="s">
        <v>279</v>
      </c>
      <c r="K17" s="243"/>
    </row>
    <row r="18" spans="2:18">
      <c r="B18" s="238">
        <v>44983</v>
      </c>
      <c r="C18" s="163">
        <v>3732</v>
      </c>
      <c r="D18" s="237">
        <f t="shared" si="0"/>
        <v>-2.3522331824485265E-2</v>
      </c>
      <c r="F18" s="163">
        <v>17594.349999999999</v>
      </c>
      <c r="G18" s="237">
        <f t="shared" si="1"/>
        <v>1.0420435424311592E-2</v>
      </c>
      <c r="J18" s="241" t="s">
        <v>278</v>
      </c>
      <c r="K18" s="241">
        <v>0.46195617537607903</v>
      </c>
    </row>
    <row r="19" spans="2:18">
      <c r="B19" s="238">
        <v>44976</v>
      </c>
      <c r="C19" s="163">
        <v>3849.95</v>
      </c>
      <c r="D19" s="237">
        <f t="shared" si="0"/>
        <v>3.1605037513397605E-2</v>
      </c>
      <c r="F19" s="163">
        <v>17465.8</v>
      </c>
      <c r="G19" s="237">
        <f t="shared" si="1"/>
        <v>-7.3063227683887177E-3</v>
      </c>
      <c r="J19" s="241" t="s">
        <v>277</v>
      </c>
      <c r="K19" s="241">
        <v>0.21340350796809468</v>
      </c>
    </row>
    <row r="20" spans="2:18">
      <c r="B20" s="238">
        <v>44969</v>
      </c>
      <c r="C20" s="163">
        <v>3894.3</v>
      </c>
      <c r="D20" s="237">
        <f t="shared" si="0"/>
        <v>1.1519630125066627E-2</v>
      </c>
      <c r="F20" s="163">
        <v>17944.2</v>
      </c>
      <c r="G20" s="237">
        <f t="shared" si="1"/>
        <v>2.7390672056247123E-2</v>
      </c>
      <c r="J20" s="241" t="s">
        <v>276</v>
      </c>
      <c r="K20" s="241">
        <v>0.20561542388857088</v>
      </c>
    </row>
    <row r="21" spans="2:18">
      <c r="B21" s="238">
        <v>44962</v>
      </c>
      <c r="C21" s="163">
        <v>3831.65</v>
      </c>
      <c r="D21" s="237">
        <f t="shared" si="0"/>
        <v>-1.6087615232519337E-2</v>
      </c>
      <c r="F21" s="163">
        <v>17856.5</v>
      </c>
      <c r="G21" s="237">
        <f t="shared" si="1"/>
        <v>-4.8873730787664105E-3</v>
      </c>
      <c r="J21" s="241" t="s">
        <v>264</v>
      </c>
      <c r="K21" s="241">
        <v>2.7539760111922273E-2</v>
      </c>
    </row>
    <row r="22" spans="2:18" ht="15.75" thickBot="1">
      <c r="B22" s="238">
        <v>44955</v>
      </c>
      <c r="C22" s="163">
        <v>3852.55</v>
      </c>
      <c r="D22" s="237">
        <f t="shared" si="0"/>
        <v>5.4545691803793428E-3</v>
      </c>
      <c r="F22" s="163">
        <v>17854.05</v>
      </c>
      <c r="G22" s="237">
        <f t="shared" si="1"/>
        <v>-1.3720493937785516E-4</v>
      </c>
      <c r="J22" s="239" t="s">
        <v>275</v>
      </c>
      <c r="K22" s="239">
        <v>103</v>
      </c>
    </row>
    <row r="23" spans="2:18">
      <c r="B23" s="238">
        <v>44948</v>
      </c>
      <c r="C23" s="163">
        <v>3936.75</v>
      </c>
      <c r="D23" s="237">
        <f t="shared" si="0"/>
        <v>2.1855654047319151E-2</v>
      </c>
      <c r="F23" s="163">
        <v>17604.349999999999</v>
      </c>
      <c r="G23" s="237">
        <f t="shared" si="1"/>
        <v>-1.3985622309784063E-2</v>
      </c>
    </row>
    <row r="24" spans="2:18" ht="15.75" thickBot="1">
      <c r="B24" s="238">
        <v>44941</v>
      </c>
      <c r="C24" s="163">
        <v>3572.75</v>
      </c>
      <c r="D24" s="237">
        <f t="shared" si="0"/>
        <v>-9.2462056264685288E-2</v>
      </c>
      <c r="F24" s="163">
        <v>18027.650000000001</v>
      </c>
      <c r="G24" s="237">
        <f t="shared" si="1"/>
        <v>2.4045193375501039E-2</v>
      </c>
      <c r="J24" t="s">
        <v>274</v>
      </c>
    </row>
    <row r="25" spans="2:18">
      <c r="B25" s="238">
        <v>44934</v>
      </c>
      <c r="C25" s="163">
        <v>3605.3</v>
      </c>
      <c r="D25" s="237">
        <f t="shared" si="0"/>
        <v>9.1106290672451351E-3</v>
      </c>
      <c r="F25" s="163">
        <v>17956.599999999999</v>
      </c>
      <c r="G25" s="237">
        <f t="shared" si="1"/>
        <v>-3.9411681500363116E-3</v>
      </c>
      <c r="J25" s="242"/>
      <c r="K25" s="242" t="s">
        <v>273</v>
      </c>
      <c r="L25" s="242" t="s">
        <v>272</v>
      </c>
      <c r="M25" s="242" t="s">
        <v>271</v>
      </c>
      <c r="N25" s="242" t="s">
        <v>270</v>
      </c>
      <c r="O25" s="242" t="s">
        <v>269</v>
      </c>
    </row>
    <row r="26" spans="2:18">
      <c r="B26" s="238">
        <v>44927</v>
      </c>
      <c r="C26" s="163">
        <v>3642.25</v>
      </c>
      <c r="D26" s="237">
        <f t="shared" si="0"/>
        <v>1.0248800377222311E-2</v>
      </c>
      <c r="F26" s="163">
        <v>17859.45</v>
      </c>
      <c r="G26" s="237">
        <f t="shared" si="1"/>
        <v>-5.4102669770444978E-3</v>
      </c>
      <c r="J26" s="241" t="s">
        <v>268</v>
      </c>
      <c r="K26" s="241">
        <v>1</v>
      </c>
      <c r="L26" s="241">
        <v>2.078218605699779E-2</v>
      </c>
      <c r="M26" s="241">
        <v>2.078218605699779E-2</v>
      </c>
      <c r="N26" s="241">
        <v>27.40128455073674</v>
      </c>
      <c r="O26" s="241">
        <v>9.0200680289885083E-7</v>
      </c>
    </row>
    <row r="27" spans="2:18">
      <c r="B27" s="238">
        <v>44920</v>
      </c>
      <c r="C27" s="163">
        <v>3616.05</v>
      </c>
      <c r="D27" s="237">
        <f t="shared" si="0"/>
        <v>-7.1933557553709448E-3</v>
      </c>
      <c r="F27" s="163">
        <v>18105.3</v>
      </c>
      <c r="G27" s="237">
        <f t="shared" si="1"/>
        <v>1.3765821455867799E-2</v>
      </c>
      <c r="J27" s="241" t="s">
        <v>267</v>
      </c>
      <c r="K27" s="241">
        <v>101</v>
      </c>
      <c r="L27" s="241">
        <v>7.6602277089244733E-2</v>
      </c>
      <c r="M27" s="241">
        <v>7.5843838702222509E-4</v>
      </c>
      <c r="N27" s="241"/>
      <c r="O27" s="241"/>
    </row>
    <row r="28" spans="2:18" ht="15.75" thickBot="1">
      <c r="B28" s="238">
        <v>44913</v>
      </c>
      <c r="C28" s="163">
        <v>3541.8</v>
      </c>
      <c r="D28" s="237">
        <f t="shared" si="0"/>
        <v>-2.0533455013066693E-2</v>
      </c>
      <c r="F28" s="163">
        <v>17806.8</v>
      </c>
      <c r="G28" s="237">
        <f t="shared" si="1"/>
        <v>-1.6486885055757128E-2</v>
      </c>
      <c r="J28" s="239" t="s">
        <v>266</v>
      </c>
      <c r="K28" s="239">
        <v>102</v>
      </c>
      <c r="L28" s="239">
        <v>9.7384463146242523E-2</v>
      </c>
      <c r="M28" s="239"/>
      <c r="N28" s="239"/>
      <c r="O28" s="239"/>
    </row>
    <row r="29" spans="2:18" ht="15.75" thickBot="1">
      <c r="B29" s="238">
        <v>44906</v>
      </c>
      <c r="C29" s="163">
        <v>3549.6</v>
      </c>
      <c r="D29" s="237">
        <f t="shared" si="0"/>
        <v>2.2022700321868705E-3</v>
      </c>
      <c r="F29" s="163">
        <v>18269</v>
      </c>
      <c r="G29" s="237">
        <f t="shared" si="1"/>
        <v>2.5956376215827692E-2</v>
      </c>
    </row>
    <row r="30" spans="2:18">
      <c r="B30" s="238">
        <v>44899</v>
      </c>
      <c r="C30" s="163">
        <v>3616.95</v>
      </c>
      <c r="D30" s="237">
        <f t="shared" si="0"/>
        <v>1.8973968897904037E-2</v>
      </c>
      <c r="F30" s="163">
        <v>18496.599999999999</v>
      </c>
      <c r="G30" s="237">
        <f t="shared" si="1"/>
        <v>1.2458262630685724E-2</v>
      </c>
      <c r="J30" s="242"/>
      <c r="K30" s="242" t="s">
        <v>265</v>
      </c>
      <c r="L30" s="242" t="s">
        <v>264</v>
      </c>
      <c r="M30" s="242" t="s">
        <v>263</v>
      </c>
      <c r="N30" s="242" t="s">
        <v>262</v>
      </c>
      <c r="O30" s="242" t="s">
        <v>261</v>
      </c>
      <c r="P30" s="242" t="s">
        <v>260</v>
      </c>
      <c r="Q30" s="242" t="s">
        <v>259</v>
      </c>
      <c r="R30" s="242" t="s">
        <v>258</v>
      </c>
    </row>
    <row r="31" spans="2:18">
      <c r="B31" s="238">
        <v>44892</v>
      </c>
      <c r="C31" s="163">
        <v>3659.35</v>
      </c>
      <c r="D31" s="237">
        <f t="shared" si="0"/>
        <v>1.1722583945036558E-2</v>
      </c>
      <c r="F31" s="163">
        <v>18696.099999999999</v>
      </c>
      <c r="G31" s="237">
        <f t="shared" si="1"/>
        <v>1.0785766032676225E-2</v>
      </c>
      <c r="J31" s="241" t="s">
        <v>257</v>
      </c>
      <c r="K31" s="241">
        <v>7.9878629994327606E-4</v>
      </c>
      <c r="L31" s="241">
        <v>2.7193485891668485E-3</v>
      </c>
      <c r="M31" s="241">
        <v>0.29374178180959415</v>
      </c>
      <c r="N31" s="241">
        <v>0.769557993432195</v>
      </c>
      <c r="O31" s="241">
        <v>-4.5956696598478917E-3</v>
      </c>
      <c r="P31" s="241">
        <v>6.1932422597344439E-3</v>
      </c>
      <c r="Q31" s="241">
        <v>-4.5956696598478917E-3</v>
      </c>
      <c r="R31" s="241">
        <v>6.1932422597344439E-3</v>
      </c>
    </row>
    <row r="32" spans="2:18" ht="15.75" thickBot="1">
      <c r="B32" s="238">
        <v>44885</v>
      </c>
      <c r="C32" s="163">
        <v>3640.25</v>
      </c>
      <c r="D32" s="237">
        <f t="shared" si="0"/>
        <v>-5.2195061964556144E-3</v>
      </c>
      <c r="F32" s="163">
        <v>18512.75</v>
      </c>
      <c r="G32" s="237">
        <f t="shared" si="1"/>
        <v>-9.8068581147938705E-3</v>
      </c>
      <c r="J32" s="239" t="s">
        <v>256</v>
      </c>
      <c r="K32" s="240">
        <v>0.70195172926817684</v>
      </c>
      <c r="L32" s="239">
        <v>0.13409784138195557</v>
      </c>
      <c r="M32" s="239">
        <v>5.2346236302848688</v>
      </c>
      <c r="N32" s="239">
        <v>9.0200680289885083E-7</v>
      </c>
      <c r="O32" s="239">
        <v>0.43593769100923818</v>
      </c>
      <c r="P32" s="239">
        <v>0.96796576752711549</v>
      </c>
      <c r="Q32" s="239">
        <v>0.43593769100923818</v>
      </c>
      <c r="R32" s="239">
        <v>0.96796576752711549</v>
      </c>
    </row>
    <row r="33" spans="2:7">
      <c r="B33" s="238">
        <v>44878</v>
      </c>
      <c r="C33" s="163">
        <v>3632.95</v>
      </c>
      <c r="D33" s="237">
        <f t="shared" si="0"/>
        <v>-2.0053567749468426E-3</v>
      </c>
      <c r="F33" s="163">
        <v>18307.650000000001</v>
      </c>
      <c r="G33" s="237">
        <f t="shared" si="1"/>
        <v>-1.1078851062105821E-2</v>
      </c>
    </row>
    <row r="34" spans="2:7">
      <c r="B34" s="238">
        <v>44871</v>
      </c>
      <c r="C34" s="163">
        <v>3727.65</v>
      </c>
      <c r="D34" s="237">
        <f t="shared" si="0"/>
        <v>2.6066970368433529E-2</v>
      </c>
      <c r="F34" s="163">
        <v>18349.7</v>
      </c>
      <c r="G34" s="237">
        <f t="shared" si="1"/>
        <v>2.296854047351804E-3</v>
      </c>
    </row>
    <row r="35" spans="2:7">
      <c r="B35" s="238">
        <v>44864</v>
      </c>
      <c r="C35" s="163">
        <v>3771.1</v>
      </c>
      <c r="D35" s="237">
        <f t="shared" si="0"/>
        <v>1.1656137244644649E-2</v>
      </c>
      <c r="F35" s="163">
        <v>18117.150000000001</v>
      </c>
      <c r="G35" s="237">
        <f t="shared" si="1"/>
        <v>-1.2673231714959932E-2</v>
      </c>
    </row>
    <row r="36" spans="2:7">
      <c r="B36" s="238">
        <v>44857</v>
      </c>
      <c r="C36" s="163">
        <v>3670.7</v>
      </c>
      <c r="D36" s="237">
        <f t="shared" si="0"/>
        <v>-2.6623531595555749E-2</v>
      </c>
      <c r="F36" s="163">
        <v>17786.8</v>
      </c>
      <c r="G36" s="237">
        <f t="shared" si="1"/>
        <v>-1.8234104149935426E-2</v>
      </c>
    </row>
    <row r="37" spans="2:7">
      <c r="B37" s="238">
        <v>44850</v>
      </c>
      <c r="C37" s="163">
        <v>3668.6</v>
      </c>
      <c r="D37" s="237">
        <f t="shared" si="0"/>
        <v>-5.720979649658231E-4</v>
      </c>
      <c r="F37" s="163">
        <v>17576.3</v>
      </c>
      <c r="G37" s="237">
        <f t="shared" si="1"/>
        <v>-1.1834618930892549E-2</v>
      </c>
    </row>
    <row r="38" spans="2:7">
      <c r="B38" s="238">
        <v>44843</v>
      </c>
      <c r="C38" s="163">
        <v>3570.5</v>
      </c>
      <c r="D38" s="237">
        <f t="shared" si="0"/>
        <v>-2.6740445946682678E-2</v>
      </c>
      <c r="F38" s="163">
        <v>17185.7</v>
      </c>
      <c r="G38" s="237">
        <f t="shared" si="1"/>
        <v>-2.2223107252379526E-2</v>
      </c>
    </row>
    <row r="39" spans="2:7">
      <c r="B39" s="238">
        <v>44836</v>
      </c>
      <c r="C39" s="163">
        <v>3603.55</v>
      </c>
      <c r="D39" s="237">
        <f t="shared" si="0"/>
        <v>9.2564066657332411E-3</v>
      </c>
      <c r="F39" s="163">
        <v>17314.650000000001</v>
      </c>
      <c r="G39" s="237">
        <f t="shared" si="1"/>
        <v>7.5033312579644296E-3</v>
      </c>
    </row>
    <row r="40" spans="2:7">
      <c r="B40" s="238">
        <v>44829</v>
      </c>
      <c r="C40" s="163">
        <v>3527.75</v>
      </c>
      <c r="D40" s="237">
        <f t="shared" si="0"/>
        <v>-2.1034812892841814E-2</v>
      </c>
      <c r="F40" s="163">
        <v>17094.349999999999</v>
      </c>
      <c r="G40" s="237">
        <f t="shared" si="1"/>
        <v>-1.2723329665918937E-2</v>
      </c>
    </row>
    <row r="41" spans="2:7">
      <c r="B41" s="238">
        <v>44822</v>
      </c>
      <c r="C41" s="163">
        <v>3698.9</v>
      </c>
      <c r="D41" s="237">
        <f t="shared" si="0"/>
        <v>4.8515342640493175E-2</v>
      </c>
      <c r="F41" s="163">
        <v>17327.349999999999</v>
      </c>
      <c r="G41" s="237">
        <f t="shared" si="1"/>
        <v>1.3630234551182063E-2</v>
      </c>
    </row>
    <row r="42" spans="2:7">
      <c r="B42" s="238">
        <v>44815</v>
      </c>
      <c r="C42" s="163">
        <v>3689.55</v>
      </c>
      <c r="D42" s="237">
        <f t="shared" si="0"/>
        <v>-2.5277785287517451E-3</v>
      </c>
      <c r="F42" s="163">
        <v>17530.849999999999</v>
      </c>
      <c r="G42" s="237">
        <f t="shared" si="1"/>
        <v>1.1744438705283855E-2</v>
      </c>
    </row>
    <row r="43" spans="2:7">
      <c r="B43" s="238">
        <v>44808</v>
      </c>
      <c r="C43" s="163">
        <v>3848.6</v>
      </c>
      <c r="D43" s="237">
        <f t="shared" si="0"/>
        <v>4.3108238132021359E-2</v>
      </c>
      <c r="F43" s="163">
        <v>17833.349999999999</v>
      </c>
      <c r="G43" s="237">
        <f t="shared" si="1"/>
        <v>1.7255295664500014E-2</v>
      </c>
    </row>
    <row r="44" spans="2:7">
      <c r="B44" s="238">
        <v>44801</v>
      </c>
      <c r="C44" s="163">
        <v>4030.9</v>
      </c>
      <c r="D44" s="237">
        <f t="shared" si="0"/>
        <v>4.7367874032115731E-2</v>
      </c>
      <c r="F44" s="163">
        <v>17539.45</v>
      </c>
      <c r="G44" s="237">
        <f t="shared" si="1"/>
        <v>-1.6480358429571407E-2</v>
      </c>
    </row>
    <row r="45" spans="2:7">
      <c r="B45" s="238">
        <v>44794</v>
      </c>
      <c r="C45" s="163">
        <v>4054.4</v>
      </c>
      <c r="D45" s="237">
        <f t="shared" si="0"/>
        <v>5.8299635317173859E-3</v>
      </c>
      <c r="F45" s="163">
        <v>17558.900000000001</v>
      </c>
      <c r="G45" s="237">
        <f t="shared" si="1"/>
        <v>1.1089287292360694E-3</v>
      </c>
    </row>
    <row r="46" spans="2:7">
      <c r="B46" s="238">
        <v>44787</v>
      </c>
      <c r="C46" s="163">
        <v>4074.55</v>
      </c>
      <c r="D46" s="237">
        <f t="shared" si="0"/>
        <v>4.9699092344119844E-3</v>
      </c>
      <c r="F46" s="163">
        <v>17758.45</v>
      </c>
      <c r="G46" s="237">
        <f t="shared" si="1"/>
        <v>1.1364607122313908E-2</v>
      </c>
    </row>
    <row r="47" spans="2:7">
      <c r="B47" s="238">
        <v>44780</v>
      </c>
      <c r="C47" s="163">
        <v>4038</v>
      </c>
      <c r="D47" s="237">
        <f t="shared" ref="D47:D78" si="2">C47/C46-1</f>
        <v>-8.9703157403885347E-3</v>
      </c>
      <c r="F47" s="163">
        <v>17698.150000000001</v>
      </c>
      <c r="G47" s="237">
        <f t="shared" ref="G47:G78" si="3">F47/F46-1</f>
        <v>-3.3955666175820021E-3</v>
      </c>
    </row>
    <row r="48" spans="2:7">
      <c r="B48" s="238">
        <v>44773</v>
      </c>
      <c r="C48" s="163">
        <v>4013.1</v>
      </c>
      <c r="D48" s="237">
        <f t="shared" si="2"/>
        <v>-6.1664190193164714E-3</v>
      </c>
      <c r="F48" s="163">
        <v>17397.5</v>
      </c>
      <c r="G48" s="237">
        <f t="shared" si="3"/>
        <v>-1.6987651251684555E-2</v>
      </c>
    </row>
    <row r="49" spans="2:7">
      <c r="B49" s="238">
        <v>44766</v>
      </c>
      <c r="C49" s="163">
        <v>3914.45</v>
      </c>
      <c r="D49" s="237">
        <f t="shared" si="2"/>
        <v>-2.4581993969749139E-2</v>
      </c>
      <c r="F49" s="163">
        <v>17158.25</v>
      </c>
      <c r="G49" s="237">
        <f t="shared" si="3"/>
        <v>-1.3751975858600329E-2</v>
      </c>
    </row>
    <row r="50" spans="2:7">
      <c r="B50" s="238">
        <v>44759</v>
      </c>
      <c r="C50" s="163">
        <v>4054.5</v>
      </c>
      <c r="D50" s="237">
        <f t="shared" si="2"/>
        <v>3.5777695461686854E-2</v>
      </c>
      <c r="F50" s="163">
        <v>16719.45</v>
      </c>
      <c r="G50" s="237">
        <f t="shared" si="3"/>
        <v>-2.5573703611965093E-2</v>
      </c>
    </row>
    <row r="51" spans="2:7">
      <c r="B51" s="238">
        <v>44752</v>
      </c>
      <c r="C51" s="163">
        <v>3913.35</v>
      </c>
      <c r="D51" s="237">
        <f t="shared" si="2"/>
        <v>-3.4813170551239336E-2</v>
      </c>
      <c r="F51" s="163">
        <v>16049.2</v>
      </c>
      <c r="G51" s="237">
        <f t="shared" si="3"/>
        <v>-4.0088041173603206E-2</v>
      </c>
    </row>
    <row r="52" spans="2:7">
      <c r="B52" s="238">
        <v>44745</v>
      </c>
      <c r="C52" s="163">
        <v>3825</v>
      </c>
      <c r="D52" s="237">
        <f t="shared" si="2"/>
        <v>-2.2576564835754542E-2</v>
      </c>
      <c r="F52" s="163">
        <v>16220.6</v>
      </c>
      <c r="G52" s="237">
        <f t="shared" si="3"/>
        <v>1.0679660045360473E-2</v>
      </c>
    </row>
    <row r="53" spans="2:7">
      <c r="B53" s="238">
        <v>44738</v>
      </c>
      <c r="C53" s="163">
        <v>3624.6</v>
      </c>
      <c r="D53" s="237">
        <f t="shared" si="2"/>
        <v>-5.2392156862745121E-2</v>
      </c>
      <c r="F53" s="163">
        <v>15752.05</v>
      </c>
      <c r="G53" s="237">
        <f t="shared" si="3"/>
        <v>-2.8886107788861137E-2</v>
      </c>
    </row>
    <row r="54" spans="2:7">
      <c r="B54" s="238">
        <v>44731</v>
      </c>
      <c r="C54" s="163">
        <v>3813.35</v>
      </c>
      <c r="D54" s="237">
        <f t="shared" si="2"/>
        <v>5.2074711692324582E-2</v>
      </c>
      <c r="F54" s="163">
        <v>15699.25</v>
      </c>
      <c r="G54" s="237">
        <f t="shared" si="3"/>
        <v>-3.3519446675194242E-3</v>
      </c>
    </row>
    <row r="55" spans="2:7">
      <c r="B55" s="238">
        <v>44724</v>
      </c>
      <c r="C55" s="163">
        <v>3628.95</v>
      </c>
      <c r="D55" s="237">
        <f t="shared" si="2"/>
        <v>-4.8356432008601402E-2</v>
      </c>
      <c r="F55" s="163">
        <v>15293.5</v>
      </c>
      <c r="G55" s="237">
        <f t="shared" si="3"/>
        <v>-2.5845183687118856E-2</v>
      </c>
    </row>
    <row r="56" spans="2:7">
      <c r="B56" s="238">
        <v>44717</v>
      </c>
      <c r="C56" s="163">
        <v>3881</v>
      </c>
      <c r="D56" s="237">
        <f t="shared" si="2"/>
        <v>6.9455352099092149E-2</v>
      </c>
      <c r="F56" s="163">
        <v>16201.8</v>
      </c>
      <c r="G56" s="237">
        <f t="shared" si="3"/>
        <v>5.9391244646418428E-2</v>
      </c>
    </row>
    <row r="57" spans="2:7">
      <c r="B57" s="238">
        <v>44710</v>
      </c>
      <c r="C57" s="163">
        <v>3672.7</v>
      </c>
      <c r="D57" s="237">
        <f t="shared" si="2"/>
        <v>-5.3671734089152379E-2</v>
      </c>
      <c r="F57" s="163">
        <v>16584.3</v>
      </c>
      <c r="G57" s="237">
        <f t="shared" si="3"/>
        <v>2.3608487945783851E-2</v>
      </c>
    </row>
    <row r="58" spans="2:7">
      <c r="B58" s="238">
        <v>44703</v>
      </c>
      <c r="C58" s="163">
        <v>3833.05</v>
      </c>
      <c r="D58" s="237">
        <f t="shared" si="2"/>
        <v>4.3659977673101702E-2</v>
      </c>
      <c r="F58" s="163">
        <v>16352.45</v>
      </c>
      <c r="G58" s="237">
        <f t="shared" si="3"/>
        <v>-1.3980089602817047E-2</v>
      </c>
    </row>
    <row r="59" spans="2:7">
      <c r="B59" s="238">
        <v>44696</v>
      </c>
      <c r="C59" s="163">
        <v>3787.8</v>
      </c>
      <c r="D59" s="237">
        <f t="shared" si="2"/>
        <v>-1.1805220385854631E-2</v>
      </c>
      <c r="F59" s="163">
        <v>16266.15</v>
      </c>
      <c r="G59" s="237">
        <f t="shared" si="3"/>
        <v>-5.2774966442338256E-3</v>
      </c>
    </row>
    <row r="60" spans="2:7">
      <c r="B60" s="238">
        <v>44689</v>
      </c>
      <c r="C60" s="163">
        <v>3642.1</v>
      </c>
      <c r="D60" s="237">
        <f t="shared" si="2"/>
        <v>-3.8465600084481855E-2</v>
      </c>
      <c r="F60" s="163">
        <v>15782.15</v>
      </c>
      <c r="G60" s="237">
        <f t="shared" si="3"/>
        <v>-2.975504344912594E-2</v>
      </c>
    </row>
    <row r="61" spans="2:7">
      <c r="B61" s="238">
        <v>44682</v>
      </c>
      <c r="C61" s="163">
        <v>3499.75</v>
      </c>
      <c r="D61" s="237">
        <f t="shared" si="2"/>
        <v>-3.9084594052881561E-2</v>
      </c>
      <c r="F61" s="163">
        <v>16411.25</v>
      </c>
      <c r="G61" s="237">
        <f t="shared" si="3"/>
        <v>3.9861489087354984E-2</v>
      </c>
    </row>
    <row r="62" spans="2:7">
      <c r="B62" s="238">
        <v>44675</v>
      </c>
      <c r="C62" s="163">
        <v>3729.55</v>
      </c>
      <c r="D62" s="237">
        <f t="shared" si="2"/>
        <v>6.5661832988070712E-2</v>
      </c>
      <c r="F62" s="163">
        <v>17102.55</v>
      </c>
      <c r="G62" s="237">
        <f t="shared" si="3"/>
        <v>4.2123543301089139E-2</v>
      </c>
    </row>
    <row r="63" spans="2:7">
      <c r="B63" s="238">
        <v>44668</v>
      </c>
      <c r="C63" s="163">
        <v>3642.5</v>
      </c>
      <c r="D63" s="237">
        <f t="shared" si="2"/>
        <v>-2.3340617500770877E-2</v>
      </c>
      <c r="F63" s="163">
        <v>17171.95</v>
      </c>
      <c r="G63" s="237">
        <f t="shared" si="3"/>
        <v>4.0578744105412845E-3</v>
      </c>
    </row>
    <row r="64" spans="2:7">
      <c r="B64" s="238">
        <v>44661</v>
      </c>
      <c r="C64" s="163">
        <v>3697.3</v>
      </c>
      <c r="D64" s="237">
        <f t="shared" si="2"/>
        <v>1.5044612216884135E-2</v>
      </c>
      <c r="F64" s="163">
        <v>17475.650000000001</v>
      </c>
      <c r="G64" s="237">
        <f t="shared" si="3"/>
        <v>1.7685819024630289E-2</v>
      </c>
    </row>
    <row r="65" spans="2:7">
      <c r="B65" s="238">
        <v>44654</v>
      </c>
      <c r="C65" s="163">
        <v>3810.35</v>
      </c>
      <c r="D65" s="237">
        <f t="shared" si="2"/>
        <v>3.0576366537743649E-2</v>
      </c>
      <c r="F65" s="163">
        <v>17784.349999999999</v>
      </c>
      <c r="G65" s="237">
        <f t="shared" si="3"/>
        <v>1.7664578999922576E-2</v>
      </c>
    </row>
    <row r="66" spans="2:7">
      <c r="B66" s="238">
        <v>44647</v>
      </c>
      <c r="C66" s="163">
        <v>3739.9</v>
      </c>
      <c r="D66" s="237">
        <f t="shared" si="2"/>
        <v>-1.8489115173146775E-2</v>
      </c>
      <c r="F66" s="163">
        <v>17670.45</v>
      </c>
      <c r="G66" s="237">
        <f t="shared" si="3"/>
        <v>-6.4045073336949088E-3</v>
      </c>
    </row>
    <row r="67" spans="2:7">
      <c r="B67" s="238">
        <v>44640</v>
      </c>
      <c r="C67" s="163">
        <v>3654.35</v>
      </c>
      <c r="D67" s="237">
        <f t="shared" si="2"/>
        <v>-2.2874943180299034E-2</v>
      </c>
      <c r="F67" s="163">
        <v>17153</v>
      </c>
      <c r="G67" s="237">
        <f t="shared" si="3"/>
        <v>-2.928335158414197E-2</v>
      </c>
    </row>
    <row r="68" spans="2:7">
      <c r="B68" s="238">
        <v>44633</v>
      </c>
      <c r="C68" s="163">
        <v>3650.45</v>
      </c>
      <c r="D68" s="237">
        <f t="shared" si="2"/>
        <v>-1.0672212568583195E-3</v>
      </c>
      <c r="F68" s="163">
        <v>17287.05</v>
      </c>
      <c r="G68" s="237">
        <f t="shared" si="3"/>
        <v>7.8149594823062607E-3</v>
      </c>
    </row>
    <row r="69" spans="2:7">
      <c r="B69" s="238">
        <v>44626</v>
      </c>
      <c r="C69" s="163">
        <v>3423</v>
      </c>
      <c r="D69" s="237">
        <f t="shared" si="2"/>
        <v>-6.2307386760536376E-2</v>
      </c>
      <c r="F69" s="163">
        <v>16630.45</v>
      </c>
      <c r="G69" s="237">
        <f t="shared" si="3"/>
        <v>-3.7982188979611808E-2</v>
      </c>
    </row>
    <row r="70" spans="2:7">
      <c r="B70" s="238">
        <v>44619</v>
      </c>
      <c r="C70" s="163">
        <v>3242.1</v>
      </c>
      <c r="D70" s="237">
        <f t="shared" si="2"/>
        <v>-5.2848378615249825E-2</v>
      </c>
      <c r="F70" s="163">
        <v>16245.35</v>
      </c>
      <c r="G70" s="237">
        <f t="shared" si="3"/>
        <v>-2.3156318680492727E-2</v>
      </c>
    </row>
    <row r="71" spans="2:7">
      <c r="B71" s="238">
        <v>44612</v>
      </c>
      <c r="C71" s="163">
        <v>3508.4</v>
      </c>
      <c r="D71" s="237">
        <f t="shared" si="2"/>
        <v>8.2138120354091626E-2</v>
      </c>
      <c r="F71" s="163">
        <v>16658.400000000001</v>
      </c>
      <c r="G71" s="237">
        <f t="shared" si="3"/>
        <v>2.5425737210955868E-2</v>
      </c>
    </row>
    <row r="72" spans="2:7">
      <c r="B72" s="238">
        <v>44605</v>
      </c>
      <c r="C72" s="163">
        <v>3632.15</v>
      </c>
      <c r="D72" s="237">
        <f t="shared" si="2"/>
        <v>3.5272488883821618E-2</v>
      </c>
      <c r="F72" s="163">
        <v>17276.3</v>
      </c>
      <c r="G72" s="237">
        <f t="shared" si="3"/>
        <v>3.7092397829323165E-2</v>
      </c>
    </row>
    <row r="73" spans="2:7">
      <c r="B73" s="238">
        <v>44598</v>
      </c>
      <c r="C73" s="163">
        <v>3566.65</v>
      </c>
      <c r="D73" s="237">
        <f t="shared" si="2"/>
        <v>-1.8033396197844276E-2</v>
      </c>
      <c r="F73" s="163">
        <v>17374.75</v>
      </c>
      <c r="G73" s="237">
        <f t="shared" si="3"/>
        <v>5.6985581403425911E-3</v>
      </c>
    </row>
    <row r="74" spans="2:7">
      <c r="B74" s="238">
        <v>44591</v>
      </c>
      <c r="C74" s="163">
        <v>3565.35</v>
      </c>
      <c r="D74" s="237">
        <f t="shared" si="2"/>
        <v>-3.6448768452190805E-4</v>
      </c>
      <c r="F74" s="163">
        <v>17516.3</v>
      </c>
      <c r="G74" s="237">
        <f t="shared" si="3"/>
        <v>8.1468798112203089E-3</v>
      </c>
    </row>
    <row r="75" spans="2:7">
      <c r="B75" s="238">
        <v>44584</v>
      </c>
      <c r="C75" s="163">
        <v>3497.2</v>
      </c>
      <c r="D75" s="237">
        <f t="shared" si="2"/>
        <v>-1.9114532935055495E-2</v>
      </c>
      <c r="F75" s="163">
        <v>17101.95</v>
      </c>
      <c r="G75" s="237">
        <f t="shared" si="3"/>
        <v>-2.3655109812003583E-2</v>
      </c>
    </row>
    <row r="76" spans="2:7">
      <c r="B76" s="238">
        <v>44577</v>
      </c>
      <c r="C76" s="163">
        <v>3419.8</v>
      </c>
      <c r="D76" s="237">
        <f t="shared" si="2"/>
        <v>-2.2131991307331456E-2</v>
      </c>
      <c r="F76" s="163">
        <v>17617.150000000001</v>
      </c>
      <c r="G76" s="237">
        <f t="shared" si="3"/>
        <v>3.0125219638696299E-2</v>
      </c>
    </row>
    <row r="77" spans="2:7">
      <c r="B77" s="238">
        <v>44570</v>
      </c>
      <c r="C77" s="163">
        <v>3432.8</v>
      </c>
      <c r="D77" s="237">
        <f t="shared" si="2"/>
        <v>3.8013918942627622E-3</v>
      </c>
      <c r="F77" s="163">
        <v>18255.75</v>
      </c>
      <c r="G77" s="237">
        <f t="shared" si="3"/>
        <v>3.6248768955250865E-2</v>
      </c>
    </row>
    <row r="78" spans="2:7">
      <c r="B78" s="238">
        <v>44563</v>
      </c>
      <c r="C78" s="163">
        <v>3392.5</v>
      </c>
      <c r="D78" s="237">
        <f t="shared" si="2"/>
        <v>-1.1739687718480551E-2</v>
      </c>
      <c r="F78" s="163">
        <v>17812.7</v>
      </c>
      <c r="G78" s="237">
        <f t="shared" si="3"/>
        <v>-2.4269065910740406E-2</v>
      </c>
    </row>
    <row r="79" spans="2:7">
      <c r="B79" s="238">
        <v>44556</v>
      </c>
      <c r="C79" s="163">
        <v>3249.25</v>
      </c>
      <c r="D79" s="237">
        <f t="shared" ref="D79:D110" si="4">C79/C78-1</f>
        <v>-4.2225497420781188E-2</v>
      </c>
      <c r="F79" s="163">
        <v>17354.05</v>
      </c>
      <c r="G79" s="237">
        <f t="shared" ref="G79:G110" si="5">F79/F78-1</f>
        <v>-2.5748482824052621E-2</v>
      </c>
    </row>
    <row r="80" spans="2:7">
      <c r="B80" s="238">
        <v>44549</v>
      </c>
      <c r="C80" s="163">
        <v>3152.05</v>
      </c>
      <c r="D80" s="237">
        <f t="shared" si="4"/>
        <v>-2.9914595675925137E-2</v>
      </c>
      <c r="F80" s="163">
        <v>17003.75</v>
      </c>
      <c r="G80" s="237">
        <f t="shared" si="5"/>
        <v>-2.0185489842428628E-2</v>
      </c>
    </row>
    <row r="81" spans="2:7">
      <c r="B81" s="238">
        <v>44542</v>
      </c>
      <c r="C81" s="163">
        <v>3179.15</v>
      </c>
      <c r="D81" s="237">
        <f t="shared" si="4"/>
        <v>8.5975793531194444E-3</v>
      </c>
      <c r="F81" s="163">
        <v>16985.2</v>
      </c>
      <c r="G81" s="237">
        <f t="shared" si="5"/>
        <v>-1.0909358229801436E-3</v>
      </c>
    </row>
    <row r="82" spans="2:7">
      <c r="B82" s="238">
        <v>44535</v>
      </c>
      <c r="C82" s="163">
        <v>3344.75</v>
      </c>
      <c r="D82" s="237">
        <f t="shared" si="4"/>
        <v>5.2089394964062619E-2</v>
      </c>
      <c r="F82" s="163">
        <v>17511.3</v>
      </c>
      <c r="G82" s="237">
        <f t="shared" si="5"/>
        <v>3.0974024444810677E-2</v>
      </c>
    </row>
    <row r="83" spans="2:7">
      <c r="B83" s="238">
        <v>44528</v>
      </c>
      <c r="C83" s="163">
        <v>3287.85</v>
      </c>
      <c r="D83" s="237">
        <f t="shared" si="4"/>
        <v>-1.7011734808281664E-2</v>
      </c>
      <c r="F83" s="163">
        <v>17196.7</v>
      </c>
      <c r="G83" s="237">
        <f t="shared" si="5"/>
        <v>-1.7965542249861466E-2</v>
      </c>
    </row>
    <row r="84" spans="2:7">
      <c r="B84" s="238">
        <v>44521</v>
      </c>
      <c r="C84" s="163">
        <v>3334.6</v>
      </c>
      <c r="D84" s="237">
        <f t="shared" si="4"/>
        <v>1.4219018507535264E-2</v>
      </c>
      <c r="F84" s="163">
        <v>17026.45</v>
      </c>
      <c r="G84" s="237">
        <f t="shared" si="5"/>
        <v>-9.900155262346888E-3</v>
      </c>
    </row>
    <row r="85" spans="2:7">
      <c r="B85" s="238">
        <v>44514</v>
      </c>
      <c r="C85" s="163">
        <v>3547.55</v>
      </c>
      <c r="D85" s="237">
        <f t="shared" si="4"/>
        <v>6.3860732921489971E-2</v>
      </c>
      <c r="F85" s="163">
        <v>17764.8</v>
      </c>
      <c r="G85" s="237">
        <f t="shared" si="5"/>
        <v>4.3364882286090145E-2</v>
      </c>
    </row>
    <row r="86" spans="2:7">
      <c r="B86" s="238">
        <v>44507</v>
      </c>
      <c r="C86" s="163">
        <v>3635.05</v>
      </c>
      <c r="D86" s="237">
        <f t="shared" si="4"/>
        <v>2.4664909585488504E-2</v>
      </c>
      <c r="F86" s="163">
        <v>18102.75</v>
      </c>
      <c r="G86" s="237">
        <f t="shared" si="5"/>
        <v>1.9023574709537971E-2</v>
      </c>
    </row>
    <row r="87" spans="2:7">
      <c r="B87" s="238">
        <v>44500</v>
      </c>
      <c r="C87" s="163">
        <v>3759.35</v>
      </c>
      <c r="D87" s="237">
        <f t="shared" si="4"/>
        <v>3.4194852890606642E-2</v>
      </c>
      <c r="F87" s="163">
        <v>17916.8</v>
      </c>
      <c r="G87" s="237">
        <f t="shared" si="5"/>
        <v>-1.0271920012152935E-2</v>
      </c>
    </row>
    <row r="88" spans="2:7">
      <c r="B88" s="238">
        <v>44493</v>
      </c>
      <c r="C88" s="163">
        <v>3707.25</v>
      </c>
      <c r="D88" s="237">
        <f t="shared" si="4"/>
        <v>-1.3858778778246261E-2</v>
      </c>
      <c r="F88" s="163">
        <v>17671.650000000001</v>
      </c>
      <c r="G88" s="237">
        <f t="shared" si="5"/>
        <v>-1.3682688873012938E-2</v>
      </c>
    </row>
    <row r="89" spans="2:7">
      <c r="B89" s="238">
        <v>44486</v>
      </c>
      <c r="C89" s="163">
        <v>3866.5</v>
      </c>
      <c r="D89" s="237">
        <f t="shared" si="4"/>
        <v>4.2956369276417883E-2</v>
      </c>
      <c r="F89" s="163">
        <v>18114.900000000001</v>
      </c>
      <c r="G89" s="237">
        <f t="shared" si="5"/>
        <v>2.5082547470100414E-2</v>
      </c>
    </row>
    <row r="90" spans="2:7">
      <c r="B90" s="238">
        <v>44479</v>
      </c>
      <c r="C90" s="163">
        <v>3965.9</v>
      </c>
      <c r="D90" s="237">
        <f t="shared" si="4"/>
        <v>2.570800465537304E-2</v>
      </c>
      <c r="F90" s="163">
        <v>18338.55</v>
      </c>
      <c r="G90" s="237">
        <f t="shared" si="5"/>
        <v>1.2346190152857428E-2</v>
      </c>
    </row>
    <row r="91" spans="2:7">
      <c r="B91" s="238">
        <v>44472</v>
      </c>
      <c r="C91" s="163">
        <v>3815.55</v>
      </c>
      <c r="D91" s="237">
        <f t="shared" si="4"/>
        <v>-3.791068862048963E-2</v>
      </c>
      <c r="F91" s="163">
        <v>17895.2</v>
      </c>
      <c r="G91" s="237">
        <f t="shared" si="5"/>
        <v>-2.4175848145027712E-2</v>
      </c>
    </row>
    <row r="92" spans="2:7">
      <c r="B92" s="238">
        <v>44465</v>
      </c>
      <c r="C92" s="163">
        <v>3852.6</v>
      </c>
      <c r="D92" s="237">
        <f t="shared" si="4"/>
        <v>9.7102645752249472E-3</v>
      </c>
      <c r="F92" s="163">
        <v>17532.05</v>
      </c>
      <c r="G92" s="237">
        <f t="shared" si="5"/>
        <v>-2.0293151236085771E-2</v>
      </c>
    </row>
    <row r="93" spans="2:7">
      <c r="B93" s="238">
        <v>44458</v>
      </c>
      <c r="C93" s="163">
        <v>3809.8</v>
      </c>
      <c r="D93" s="237">
        <f t="shared" si="4"/>
        <v>-1.1109380677983616E-2</v>
      </c>
      <c r="F93" s="163">
        <v>17853.2</v>
      </c>
      <c r="G93" s="237">
        <f t="shared" si="5"/>
        <v>1.8317880681380849E-2</v>
      </c>
    </row>
    <row r="94" spans="2:7">
      <c r="B94" s="238">
        <v>44451</v>
      </c>
      <c r="C94" s="163">
        <v>3822.2</v>
      </c>
      <c r="D94" s="237">
        <f t="shared" si="4"/>
        <v>3.2547640296076708E-3</v>
      </c>
      <c r="F94" s="163">
        <v>17585.150000000001</v>
      </c>
      <c r="G94" s="237">
        <f t="shared" si="5"/>
        <v>-1.5014115116617655E-2</v>
      </c>
    </row>
    <row r="95" spans="2:7">
      <c r="B95" s="238">
        <v>44444</v>
      </c>
      <c r="C95" s="163">
        <v>3700.6</v>
      </c>
      <c r="D95" s="237">
        <f t="shared" si="4"/>
        <v>-3.1814138454293261E-2</v>
      </c>
      <c r="F95" s="163">
        <v>17369.25</v>
      </c>
      <c r="G95" s="237">
        <f t="shared" si="5"/>
        <v>-1.2277404514604684E-2</v>
      </c>
    </row>
    <row r="96" spans="2:7">
      <c r="B96" s="238">
        <v>44437</v>
      </c>
      <c r="C96" s="163">
        <v>3757.5</v>
      </c>
      <c r="D96" s="237">
        <f t="shared" si="4"/>
        <v>1.5375884991623012E-2</v>
      </c>
      <c r="F96" s="163">
        <v>17323.599999999999</v>
      </c>
      <c r="G96" s="237">
        <f t="shared" si="5"/>
        <v>-2.6282078961383792E-3</v>
      </c>
    </row>
    <row r="97" spans="2:7">
      <c r="B97" s="238">
        <v>44430</v>
      </c>
      <c r="C97" s="163">
        <v>3699.45</v>
      </c>
      <c r="D97" s="237">
        <f t="shared" si="4"/>
        <v>-1.5449101796407239E-2</v>
      </c>
      <c r="F97" s="163">
        <v>16705.2</v>
      </c>
      <c r="G97" s="237">
        <f t="shared" si="5"/>
        <v>-3.5696968297582399E-2</v>
      </c>
    </row>
    <row r="98" spans="2:7">
      <c r="B98" s="238">
        <v>44423</v>
      </c>
      <c r="C98" s="163">
        <v>3751.5</v>
      </c>
      <c r="D98" s="237">
        <f t="shared" si="4"/>
        <v>1.406965900336532E-2</v>
      </c>
      <c r="F98" s="163">
        <v>16450.5</v>
      </c>
      <c r="G98" s="237">
        <f t="shared" si="5"/>
        <v>-1.5246749515121061E-2</v>
      </c>
    </row>
    <row r="99" spans="2:7">
      <c r="B99" s="238">
        <v>44416</v>
      </c>
      <c r="C99" s="163">
        <v>3825.75</v>
      </c>
      <c r="D99" s="237">
        <f t="shared" si="4"/>
        <v>1.979208316673331E-2</v>
      </c>
      <c r="F99" s="163">
        <v>16529.099999999999</v>
      </c>
      <c r="G99" s="237">
        <f t="shared" si="5"/>
        <v>4.7779702744596975E-3</v>
      </c>
    </row>
    <row r="100" spans="2:7">
      <c r="B100" s="238">
        <v>44409</v>
      </c>
      <c r="C100" s="163">
        <v>3847.85</v>
      </c>
      <c r="D100" s="237">
        <f t="shared" si="4"/>
        <v>5.776645102267608E-3</v>
      </c>
      <c r="F100" s="163">
        <v>16238.2</v>
      </c>
      <c r="G100" s="237">
        <f t="shared" si="5"/>
        <v>-1.7599264327761266E-2</v>
      </c>
    </row>
    <row r="101" spans="2:7">
      <c r="B101" s="238">
        <v>44402</v>
      </c>
      <c r="C101" s="163">
        <v>3829.6</v>
      </c>
      <c r="D101" s="237">
        <f t="shared" si="4"/>
        <v>-4.7429083774055414E-3</v>
      </c>
      <c r="F101" s="163">
        <v>15763.05</v>
      </c>
      <c r="G101" s="237">
        <f t="shared" si="5"/>
        <v>-2.9261248167900433E-2</v>
      </c>
    </row>
    <row r="102" spans="2:7">
      <c r="B102" s="238">
        <v>44395</v>
      </c>
      <c r="C102" s="163">
        <v>3841.9</v>
      </c>
      <c r="D102" s="237">
        <f t="shared" si="4"/>
        <v>3.2118236891582885E-3</v>
      </c>
      <c r="F102" s="163">
        <v>15856.05</v>
      </c>
      <c r="G102" s="237">
        <f t="shared" si="5"/>
        <v>5.899873438198755E-3</v>
      </c>
    </row>
    <row r="103" spans="2:7">
      <c r="B103" s="238">
        <v>44388</v>
      </c>
      <c r="C103" s="163">
        <v>3931.95</v>
      </c>
      <c r="D103" s="237">
        <f t="shared" si="4"/>
        <v>2.3438923449334848E-2</v>
      </c>
      <c r="F103" s="163">
        <v>15923.4</v>
      </c>
      <c r="G103" s="237">
        <f t="shared" si="5"/>
        <v>4.2475900366105712E-3</v>
      </c>
    </row>
    <row r="104" spans="2:7">
      <c r="B104" s="238">
        <v>44381</v>
      </c>
      <c r="C104" s="163">
        <v>3995.9</v>
      </c>
      <c r="D104" s="237">
        <f t="shared" si="4"/>
        <v>1.6264194610816629E-2</v>
      </c>
      <c r="F104" s="163">
        <v>15689.8</v>
      </c>
      <c r="G104" s="237">
        <f t="shared" si="5"/>
        <v>-1.4670233744049632E-2</v>
      </c>
    </row>
    <row r="105" spans="2:7">
      <c r="B105" s="238">
        <v>44374</v>
      </c>
      <c r="C105" s="163">
        <v>4175.3500000000004</v>
      </c>
      <c r="D105" s="237">
        <f t="shared" si="4"/>
        <v>4.4908531244525651E-2</v>
      </c>
      <c r="F105" s="163">
        <v>15722.2</v>
      </c>
      <c r="G105" s="237">
        <f t="shared" si="5"/>
        <v>2.0650358831852955E-3</v>
      </c>
    </row>
    <row r="106" spans="2:7">
      <c r="B106" s="238">
        <v>44367</v>
      </c>
      <c r="C106" s="163">
        <v>4196.1499999999996</v>
      </c>
      <c r="D106" s="237">
        <f t="shared" si="4"/>
        <v>4.9816183074471443E-3</v>
      </c>
      <c r="F106" s="163">
        <v>15860.35</v>
      </c>
      <c r="G106" s="237">
        <f t="shared" si="5"/>
        <v>8.7869382147536257E-3</v>
      </c>
    </row>
    <row r="107" spans="2:7">
      <c r="B107" s="238">
        <v>44360</v>
      </c>
      <c r="C107" s="163">
        <v>4167.1000000000004</v>
      </c>
      <c r="D107" s="237">
        <f t="shared" si="4"/>
        <v>-6.9230127616980441E-3</v>
      </c>
      <c r="F107" s="163">
        <v>15683.35</v>
      </c>
      <c r="G107" s="237">
        <f t="shared" si="5"/>
        <v>-1.1159905046231655E-2</v>
      </c>
    </row>
    <row r="108" spans="2:7">
      <c r="B108" s="238">
        <v>44353</v>
      </c>
      <c r="C108" s="163">
        <v>4172.5</v>
      </c>
      <c r="D108" s="237">
        <f t="shared" si="4"/>
        <v>1.2958652300159024E-3</v>
      </c>
      <c r="F108" s="163">
        <v>15799.35</v>
      </c>
      <c r="G108" s="237">
        <f t="shared" si="5"/>
        <v>7.3963789624027498E-3</v>
      </c>
    </row>
    <row r="109" spans="2:7">
      <c r="B109" s="238">
        <v>44346</v>
      </c>
      <c r="C109" s="163">
        <v>4250.05</v>
      </c>
      <c r="D109" s="237">
        <f t="shared" si="4"/>
        <v>1.8585979628520155E-2</v>
      </c>
      <c r="F109" s="163">
        <v>15670.25</v>
      </c>
      <c r="G109" s="237">
        <f t="shared" si="5"/>
        <v>-8.1712222338260476E-3</v>
      </c>
    </row>
    <row r="110" spans="2:7">
      <c r="B110" s="238">
        <v>44339</v>
      </c>
      <c r="C110" s="163">
        <v>4199.5</v>
      </c>
      <c r="D110" s="237">
        <f t="shared" si="4"/>
        <v>-1.1893977717909232E-2</v>
      </c>
      <c r="F110" s="163">
        <v>15435.65</v>
      </c>
      <c r="G110" s="237">
        <f t="shared" si="5"/>
        <v>-1.4971043856990218E-2</v>
      </c>
    </row>
    <row r="111" spans="2:7">
      <c r="B111" s="238">
        <v>44332</v>
      </c>
      <c r="C111" s="163">
        <v>4125.55</v>
      </c>
      <c r="D111" s="237">
        <f t="shared" ref="D111:D117" si="6">C111/C110-1</f>
        <v>-1.7609239195142234E-2</v>
      </c>
      <c r="F111" s="163">
        <v>15175.3</v>
      </c>
      <c r="G111" s="237">
        <f t="shared" ref="G111:G117" si="7">F111/F110-1</f>
        <v>-1.6866798612303335E-2</v>
      </c>
    </row>
    <row r="112" spans="2:7">
      <c r="B112" s="238">
        <v>44325</v>
      </c>
      <c r="C112" s="163">
        <v>3848.8</v>
      </c>
      <c r="D112" s="237">
        <f t="shared" si="6"/>
        <v>-6.7081964828931917E-2</v>
      </c>
      <c r="F112" s="163">
        <v>14677.8</v>
      </c>
      <c r="G112" s="237">
        <f t="shared" si="7"/>
        <v>-3.2783536404552116E-2</v>
      </c>
    </row>
    <row r="113" spans="2:7">
      <c r="B113" s="238">
        <v>44318</v>
      </c>
      <c r="C113" s="163">
        <v>3866.75</v>
      </c>
      <c r="D113" s="237">
        <f t="shared" si="6"/>
        <v>4.6637913115776808E-3</v>
      </c>
      <c r="F113" s="163">
        <v>14823.15</v>
      </c>
      <c r="G113" s="237">
        <f t="shared" si="7"/>
        <v>9.9027102154274349E-3</v>
      </c>
    </row>
    <row r="114" spans="2:7">
      <c r="B114" s="238">
        <v>44311</v>
      </c>
      <c r="C114" s="163">
        <v>3833.75</v>
      </c>
      <c r="D114" s="237">
        <f t="shared" si="6"/>
        <v>-8.53429882976664E-3</v>
      </c>
      <c r="F114" s="163">
        <v>14631.1</v>
      </c>
      <c r="G114" s="237">
        <f t="shared" si="7"/>
        <v>-1.2956085582349175E-2</v>
      </c>
    </row>
    <row r="115" spans="2:7">
      <c r="B115" s="238">
        <v>44304</v>
      </c>
      <c r="C115" s="163">
        <v>3672.5</v>
      </c>
      <c r="D115" s="237">
        <f t="shared" si="6"/>
        <v>-4.2060645582001954E-2</v>
      </c>
      <c r="F115" s="163">
        <v>14341.35</v>
      </c>
      <c r="G115" s="237">
        <f t="shared" si="7"/>
        <v>-1.980370580475832E-2</v>
      </c>
    </row>
    <row r="116" spans="2:7">
      <c r="B116" s="238">
        <v>44297</v>
      </c>
      <c r="C116" s="163">
        <v>3634.65</v>
      </c>
      <c r="D116" s="237">
        <f t="shared" si="6"/>
        <v>-1.0306330837304256E-2</v>
      </c>
      <c r="F116" s="163">
        <v>14617.85</v>
      </c>
      <c r="G116" s="237">
        <f t="shared" si="7"/>
        <v>1.927991437347254E-2</v>
      </c>
    </row>
    <row r="117" spans="2:7">
      <c r="B117" s="238">
        <v>44290</v>
      </c>
      <c r="C117" s="163">
        <v>3651.3</v>
      </c>
      <c r="D117" s="237">
        <f t="shared" si="6"/>
        <v>4.5809087532500126E-3</v>
      </c>
      <c r="F117" s="163">
        <v>14834.85</v>
      </c>
      <c r="G117" s="237">
        <f t="shared" si="7"/>
        <v>1.4844864326833296E-2</v>
      </c>
    </row>
  </sheetData>
  <mergeCells count="1">
    <mergeCell ref="B10:G10"/>
  </mergeCells>
  <pageMargins left="0.7" right="0.7" top="0.75" bottom="0.75" header="0.3" footer="0.3"/>
  <pageSetup paperSize="3" orientation="landscape" r:id="rId1"/>
  <drawing r:id="rId2"/>
</worksheet>
</file>

<file path=xl/worksheets/sheet9.xml><?xml version="1.0" encoding="utf-8"?>
<worksheet xmlns="http://schemas.openxmlformats.org/spreadsheetml/2006/main" xmlns:r="http://schemas.openxmlformats.org/officeDocument/2006/relationships">
  <dimension ref="B2:M51"/>
  <sheetViews>
    <sheetView showGridLines="0" topLeftCell="A29" workbookViewId="0">
      <selection activeCell="B2" sqref="B2:K7"/>
    </sheetView>
  </sheetViews>
  <sheetFormatPr defaultRowHeight="15"/>
  <cols>
    <col min="1" max="1" width="1.85546875" customWidth="1"/>
    <col min="2" max="2" width="17.5703125" customWidth="1"/>
    <col min="3" max="3" width="12.140625" customWidth="1"/>
    <col min="4" max="4" width="12.85546875" customWidth="1"/>
    <col min="5" max="5" width="12.140625" customWidth="1"/>
    <col min="6" max="6" width="11.42578125" bestFit="1" customWidth="1"/>
    <col min="7" max="7" width="12.28515625" customWidth="1"/>
    <col min="8" max="8" width="10.85546875" customWidth="1"/>
    <col min="10" max="10" width="13.140625" customWidth="1"/>
    <col min="11" max="11" width="12.140625" customWidth="1"/>
    <col min="13" max="13" width="14.28515625" bestFit="1" customWidth="1"/>
  </cols>
  <sheetData>
    <row r="2" spans="2:13">
      <c r="B2" s="187" t="s">
        <v>0</v>
      </c>
      <c r="C2" s="187" t="s">
        <v>0</v>
      </c>
      <c r="D2" s="187" t="s">
        <v>0</v>
      </c>
      <c r="E2" s="187" t="s">
        <v>0</v>
      </c>
      <c r="F2" s="187" t="s">
        <v>0</v>
      </c>
      <c r="G2" s="187" t="s">
        <v>0</v>
      </c>
      <c r="H2" s="187" t="s">
        <v>0</v>
      </c>
      <c r="I2" s="187" t="s">
        <v>0</v>
      </c>
      <c r="J2" s="187"/>
      <c r="K2" s="187"/>
      <c r="L2" s="266" t="s">
        <v>0</v>
      </c>
      <c r="M2" s="266" t="s">
        <v>0</v>
      </c>
    </row>
    <row r="3" spans="2:13" ht="12.75" customHeight="1" thickBot="1">
      <c r="B3" s="193"/>
      <c r="C3" s="193"/>
      <c r="D3" s="193"/>
      <c r="E3" s="193"/>
      <c r="F3" s="193"/>
      <c r="G3" s="193"/>
      <c r="H3" s="193"/>
      <c r="I3" s="193"/>
      <c r="J3" s="193"/>
      <c r="K3" s="193"/>
      <c r="L3" s="257"/>
      <c r="M3" s="177"/>
    </row>
    <row r="4" spans="2:13" ht="36" thickTop="1">
      <c r="B4" s="197" t="str">
        <f>'[2]Data Sheet'!B1</f>
        <v>BAJAJ AUTO LTD</v>
      </c>
      <c r="L4" s="257"/>
      <c r="M4" s="257"/>
    </row>
    <row r="5" spans="2:13">
      <c r="B5" s="265" t="str">
        <f>CONCATENATE(" ",VLOOKUP(B4,'[2]LIST OF STOCKS'!B5:D5444,3,FALSE)," | ","Bse Code: ",VLOOKUP(B4,'[2]LIST OF STOCKS'!B5:E5444,2,FALSE),)</f>
        <v xml:space="preserve"> BAJAJ-AUTO | Bse Code: 532977</v>
      </c>
      <c r="L5" s="257"/>
      <c r="M5" s="257"/>
    </row>
    <row r="6" spans="2:13" ht="15.75" thickBot="1">
      <c r="B6" s="264"/>
      <c r="C6" s="193"/>
      <c r="D6" s="193"/>
      <c r="E6" s="193"/>
      <c r="F6" s="193"/>
      <c r="G6" s="193"/>
      <c r="H6" s="193"/>
      <c r="I6" s="194"/>
      <c r="J6" s="194"/>
      <c r="K6" s="194"/>
      <c r="L6" s="257"/>
      <c r="M6" s="257"/>
    </row>
    <row r="7" spans="2:13" ht="12.75" customHeight="1" thickTop="1">
      <c r="B7" s="192"/>
      <c r="C7" s="191"/>
      <c r="D7" s="191"/>
      <c r="E7" s="191"/>
      <c r="F7" s="191"/>
      <c r="G7" s="191"/>
      <c r="I7" s="190"/>
      <c r="J7" s="190"/>
      <c r="K7" s="190"/>
      <c r="L7" s="177"/>
      <c r="M7" s="177"/>
    </row>
    <row r="8" spans="2:13" ht="21.75" customHeight="1">
      <c r="B8" s="312" t="s">
        <v>291</v>
      </c>
      <c r="C8" s="179"/>
      <c r="D8" s="311"/>
      <c r="E8" s="311"/>
      <c r="F8" s="311"/>
      <c r="G8" s="311"/>
      <c r="H8" s="311"/>
      <c r="I8" s="311"/>
      <c r="J8" s="311"/>
      <c r="K8" s="311"/>
      <c r="L8" s="310"/>
      <c r="M8" s="310"/>
    </row>
    <row r="9" spans="2:13" ht="13.5" customHeight="1">
      <c r="B9" s="309"/>
      <c r="C9" s="309"/>
      <c r="D9" s="309"/>
      <c r="E9" s="309"/>
      <c r="F9" s="309"/>
      <c r="G9" s="309"/>
      <c r="H9" s="309"/>
      <c r="I9" s="309"/>
      <c r="J9" s="309"/>
      <c r="K9" s="309"/>
      <c r="L9" s="177"/>
      <c r="M9" s="177"/>
    </row>
    <row r="10" spans="2:13" ht="12.75" customHeight="1">
      <c r="L10" s="177"/>
      <c r="M10" s="177"/>
    </row>
    <row r="11" spans="2:13">
      <c r="B11" s="267" t="s">
        <v>333</v>
      </c>
      <c r="C11" s="267"/>
      <c r="L11" s="177"/>
      <c r="M11" s="177"/>
    </row>
    <row r="12" spans="2:13">
      <c r="B12" s="246" t="s">
        <v>332</v>
      </c>
      <c r="C12" s="246"/>
      <c r="L12" s="177"/>
      <c r="M12" s="177"/>
    </row>
    <row r="13" spans="2:13">
      <c r="B13" s="298"/>
      <c r="C13" s="298"/>
      <c r="D13" s="298"/>
      <c r="E13" s="298"/>
      <c r="F13" s="298"/>
      <c r="G13" s="298"/>
      <c r="H13" s="298" t="s">
        <v>331</v>
      </c>
      <c r="I13" s="298" t="s">
        <v>331</v>
      </c>
      <c r="J13" s="298" t="s">
        <v>330</v>
      </c>
      <c r="K13" s="298" t="s">
        <v>329</v>
      </c>
      <c r="L13" s="177"/>
      <c r="M13" s="177"/>
    </row>
    <row r="14" spans="2:13" ht="17.25">
      <c r="B14" s="274" t="s">
        <v>328</v>
      </c>
      <c r="C14" s="274"/>
      <c r="D14" s="272" t="s">
        <v>327</v>
      </c>
      <c r="E14" s="272" t="s">
        <v>326</v>
      </c>
      <c r="F14" s="274" t="s">
        <v>305</v>
      </c>
      <c r="G14" s="308" t="s">
        <v>325</v>
      </c>
      <c r="H14" s="274" t="s">
        <v>293</v>
      </c>
      <c r="I14" s="274" t="s">
        <v>324</v>
      </c>
      <c r="J14" s="274" t="s">
        <v>323</v>
      </c>
      <c r="K14" s="274" t="s">
        <v>322</v>
      </c>
      <c r="L14" s="177"/>
      <c r="M14" s="177"/>
    </row>
    <row r="15" spans="2:13">
      <c r="D15" s="299"/>
      <c r="E15" s="299"/>
      <c r="G15" s="307"/>
      <c r="L15" s="177"/>
      <c r="M15" s="177"/>
    </row>
    <row r="16" spans="2:13">
      <c r="B16" t="s">
        <v>321</v>
      </c>
      <c r="D16" s="306" t="s">
        <v>317</v>
      </c>
      <c r="E16" s="304">
        <v>248803</v>
      </c>
      <c r="F16" s="304">
        <v>19693</v>
      </c>
      <c r="G16" s="303">
        <v>0.3</v>
      </c>
      <c r="H16" s="302">
        <f>IFERROR(F16/E16,0)</f>
        <v>7.9150974867666382E-2</v>
      </c>
      <c r="I16" s="302">
        <f>IFERROR(F16/(F16+E16),0)</f>
        <v>7.3345599189559615E-2</v>
      </c>
      <c r="J16" s="301">
        <v>0.73</v>
      </c>
      <c r="K16" s="300">
        <f>J16/(1+(1-G16)*H16)</f>
        <v>0.69167715521000372</v>
      </c>
      <c r="L16" s="177"/>
      <c r="M16" s="177"/>
    </row>
    <row r="17" spans="2:13">
      <c r="B17" t="s">
        <v>320</v>
      </c>
      <c r="D17" s="305" t="s">
        <v>317</v>
      </c>
      <c r="E17" s="304">
        <v>186896</v>
      </c>
      <c r="F17" s="304">
        <v>446</v>
      </c>
      <c r="G17" s="303">
        <v>0.3</v>
      </c>
      <c r="H17" s="302">
        <f>IFERROR(F17/E17,0)</f>
        <v>2.3863539080558171E-3</v>
      </c>
      <c r="I17" s="302">
        <f>IFERROR(F17/(F17+E17),0)</f>
        <v>2.3806727802628347E-3</v>
      </c>
      <c r="J17" s="301">
        <v>7.0000000000000007E-2</v>
      </c>
      <c r="K17" s="300">
        <f>J17/(1+(1-G17)*H17)</f>
        <v>6.9883263660459327E-2</v>
      </c>
      <c r="L17" s="177"/>
      <c r="M17" s="177"/>
    </row>
    <row r="18" spans="2:13">
      <c r="B18" t="s">
        <v>319</v>
      </c>
      <c r="D18" s="305" t="s">
        <v>317</v>
      </c>
      <c r="E18" s="304">
        <v>165242</v>
      </c>
      <c r="F18" s="304">
        <v>16862</v>
      </c>
      <c r="G18" s="303">
        <v>0.3</v>
      </c>
      <c r="H18" s="302">
        <f>IFERROR(F18/E18,0)</f>
        <v>0.10204427445806756</v>
      </c>
      <c r="I18" s="302">
        <f>IFERROR(F18/(F18+E18),0)</f>
        <v>9.2595439968369719E-2</v>
      </c>
      <c r="J18" s="301">
        <v>-0.06</v>
      </c>
      <c r="K18" s="300">
        <f>J18/(1+(1-G18)*H18)</f>
        <v>-5.5999873478780014E-2</v>
      </c>
      <c r="L18" s="177"/>
      <c r="M18" s="177"/>
    </row>
    <row r="19" spans="2:13">
      <c r="B19" t="s">
        <v>318</v>
      </c>
      <c r="D19" s="305" t="s">
        <v>317</v>
      </c>
      <c r="E19" s="304">
        <v>161025</v>
      </c>
      <c r="F19" s="304">
        <v>718</v>
      </c>
      <c r="G19" s="303">
        <v>0.3</v>
      </c>
      <c r="H19" s="302">
        <f>IFERROR(F19/E19,0)</f>
        <v>4.4589349479894425E-3</v>
      </c>
      <c r="I19" s="302">
        <f>IFERROR(F19/(F19+E19),0)</f>
        <v>4.4391411065703001E-3</v>
      </c>
      <c r="J19" s="301">
        <v>0.71</v>
      </c>
      <c r="K19" s="300">
        <f>J19/(1+(1-G19)*H19)</f>
        <v>0.70779080479125545</v>
      </c>
      <c r="L19" s="177"/>
      <c r="M19" s="177"/>
    </row>
    <row r="20" spans="2:13">
      <c r="H20" s="299"/>
      <c r="L20" s="177"/>
      <c r="M20" s="177"/>
    </row>
    <row r="21" spans="2:13">
      <c r="F21" s="298" t="s">
        <v>316</v>
      </c>
      <c r="G21" s="297">
        <f>AVERAGE(G16:G19)</f>
        <v>0.3</v>
      </c>
      <c r="H21" s="297">
        <f>AVERAGE(H16:H19)</f>
        <v>4.7010134545444796E-2</v>
      </c>
      <c r="I21" s="297">
        <f>AVERAGE(I16:I19)</f>
        <v>4.3190213261190616E-2</v>
      </c>
      <c r="J21" s="296">
        <f>AVERAGE(J16:J19)</f>
        <v>0.36249999999999999</v>
      </c>
      <c r="K21" s="295">
        <f>AVERAGE(K16:K19)</f>
        <v>0.35333783754573461</v>
      </c>
      <c r="L21" s="177"/>
      <c r="M21" s="177"/>
    </row>
    <row r="22" spans="2:13">
      <c r="B22" s="191"/>
      <c r="F22" s="274" t="s">
        <v>127</v>
      </c>
      <c r="G22" s="294">
        <f>MEDIAN(G16:G19)</f>
        <v>0.3</v>
      </c>
      <c r="H22" s="294">
        <f>MEDIAN(H16:H19)</f>
        <v>4.1804954907827908E-2</v>
      </c>
      <c r="I22" s="294">
        <f>MEDIAN(I16:I19)</f>
        <v>3.8892370148064959E-2</v>
      </c>
      <c r="J22" s="293">
        <f>MEDIAN(J16:J19)</f>
        <v>0.38999999999999996</v>
      </c>
      <c r="K22" s="292">
        <f>MEDIAN(K16:K19)</f>
        <v>0.38078020943523155</v>
      </c>
      <c r="L22" s="177"/>
      <c r="M22" s="177"/>
    </row>
    <row r="23" spans="2:13">
      <c r="L23" s="177"/>
      <c r="M23" s="177"/>
    </row>
    <row r="24" spans="2:13">
      <c r="B24" s="274" t="s">
        <v>315</v>
      </c>
      <c r="C24" s="274"/>
      <c r="D24" s="273"/>
      <c r="E24" s="273"/>
      <c r="G24" s="274" t="s">
        <v>309</v>
      </c>
      <c r="H24" s="273"/>
      <c r="I24" s="273"/>
      <c r="J24" s="273"/>
      <c r="K24" s="273"/>
      <c r="L24" s="257"/>
      <c r="M24" s="177"/>
    </row>
    <row r="25" spans="2:13">
      <c r="L25" s="257"/>
      <c r="M25" s="177"/>
    </row>
    <row r="26" spans="2:13">
      <c r="B26" t="s">
        <v>314</v>
      </c>
      <c r="E26" s="284">
        <v>8.4000000000000005E-2</v>
      </c>
      <c r="G26" t="s">
        <v>313</v>
      </c>
      <c r="K26" s="291">
        <v>7.3899999999999993E-2</v>
      </c>
      <c r="L26" s="177"/>
      <c r="M26" s="177"/>
    </row>
    <row r="27" spans="2:13">
      <c r="B27" s="191" t="s">
        <v>302</v>
      </c>
      <c r="C27" s="191"/>
      <c r="E27" s="282">
        <f>G21</f>
        <v>0.3</v>
      </c>
      <c r="G27" t="s">
        <v>312</v>
      </c>
      <c r="K27" s="290">
        <v>8.0199999999999994E-2</v>
      </c>
      <c r="L27" s="177"/>
      <c r="M27" s="177"/>
    </row>
    <row r="28" spans="2:13" ht="17.25">
      <c r="B28" s="278" t="s">
        <v>311</v>
      </c>
      <c r="C28" s="278"/>
      <c r="D28" s="278"/>
      <c r="E28" s="289">
        <f>E26*(1-E27)</f>
        <v>5.8799999999999998E-2</v>
      </c>
      <c r="G28" t="s">
        <v>310</v>
      </c>
      <c r="K28" s="288">
        <f>K37</f>
        <v>0.39331057964968652</v>
      </c>
      <c r="L28" s="177"/>
      <c r="M28" s="177"/>
    </row>
    <row r="29" spans="2:13">
      <c r="G29" s="287" t="s">
        <v>309</v>
      </c>
      <c r="H29" s="278"/>
      <c r="I29" s="278"/>
      <c r="J29" s="278"/>
      <c r="K29" s="286">
        <f>K26+K27*K28</f>
        <v>0.10544350848790485</v>
      </c>
      <c r="L29" s="177"/>
      <c r="M29" s="177"/>
    </row>
    <row r="30" spans="2:13">
      <c r="L30" s="177"/>
      <c r="M30" s="177"/>
    </row>
    <row r="31" spans="2:13">
      <c r="L31" s="177"/>
      <c r="M31" s="177"/>
    </row>
    <row r="32" spans="2:13">
      <c r="B32" s="274" t="s">
        <v>252</v>
      </c>
      <c r="C32" s="274"/>
      <c r="D32" s="273"/>
      <c r="E32" s="273"/>
      <c r="G32" s="274" t="s">
        <v>300</v>
      </c>
      <c r="H32" s="273"/>
      <c r="I32" s="273"/>
      <c r="J32" s="273"/>
      <c r="K32" s="273"/>
      <c r="L32" s="177"/>
      <c r="M32" s="177"/>
    </row>
    <row r="33" spans="2:13">
      <c r="L33" s="177"/>
      <c r="M33" s="177"/>
    </row>
    <row r="34" spans="2:13">
      <c r="D34" s="272" t="s">
        <v>308</v>
      </c>
      <c r="E34" s="272" t="s">
        <v>307</v>
      </c>
      <c r="G34" t="s">
        <v>306</v>
      </c>
      <c r="K34" s="285">
        <f>K22</f>
        <v>0.38078020943523155</v>
      </c>
      <c r="L34" s="177"/>
      <c r="M34" s="177"/>
    </row>
    <row r="35" spans="2:13">
      <c r="B35" t="s">
        <v>305</v>
      </c>
      <c r="C35" s="281">
        <f>F16</f>
        <v>19693</v>
      </c>
      <c r="D35" s="283">
        <f>C35/$C$37</f>
        <v>7.3345599189559615E-2</v>
      </c>
      <c r="E35" s="284">
        <f>I21</f>
        <v>4.3190213261190616E-2</v>
      </c>
      <c r="G35" t="s">
        <v>304</v>
      </c>
      <c r="K35" s="271">
        <f>H21</f>
        <v>4.7010134545444796E-2</v>
      </c>
      <c r="L35" s="177"/>
      <c r="M35" s="177"/>
    </row>
    <row r="36" spans="2:13">
      <c r="B36" t="s">
        <v>303</v>
      </c>
      <c r="C36" s="281">
        <f>E16</f>
        <v>248803</v>
      </c>
      <c r="D36" s="283">
        <f>C36/$C$37</f>
        <v>0.92665440081044037</v>
      </c>
      <c r="E36" s="271">
        <f>E37-E35</f>
        <v>0.95680978673880934</v>
      </c>
      <c r="G36" t="s">
        <v>302</v>
      </c>
      <c r="K36" s="282">
        <v>0.3</v>
      </c>
      <c r="L36" s="177"/>
      <c r="M36" s="177"/>
    </row>
    <row r="37" spans="2:13">
      <c r="B37" s="278" t="s">
        <v>301</v>
      </c>
      <c r="C37" s="281">
        <f>SUM(C35:C36)</f>
        <v>268496</v>
      </c>
      <c r="D37" s="280">
        <f>SUM(D35:D36)</f>
        <v>1</v>
      </c>
      <c r="E37" s="279">
        <f>D37</f>
        <v>1</v>
      </c>
      <c r="G37" s="278" t="s">
        <v>300</v>
      </c>
      <c r="H37" s="278"/>
      <c r="I37" s="278"/>
      <c r="J37" s="278"/>
      <c r="K37" s="277">
        <f>K34*(1+(1-K36)*K35)</f>
        <v>0.39331057964968652</v>
      </c>
      <c r="L37" s="177"/>
      <c r="M37" s="177"/>
    </row>
    <row r="38" spans="2:13">
      <c r="L38" s="177"/>
      <c r="M38" s="177"/>
    </row>
    <row r="39" spans="2:13" ht="15.75" thickBot="1">
      <c r="L39" s="177"/>
      <c r="M39" s="177"/>
    </row>
    <row r="40" spans="2:13" ht="15.75" thickBot="1">
      <c r="B40" s="276" t="s">
        <v>299</v>
      </c>
      <c r="C40" s="276"/>
      <c r="D40" s="275">
        <f>D35/D36</f>
        <v>7.9150974867666382E-2</v>
      </c>
      <c r="E40" s="275">
        <f>E35/E36</f>
        <v>4.5139811339514141E-2</v>
      </c>
      <c r="G40" s="274" t="s">
        <v>298</v>
      </c>
      <c r="H40" s="273"/>
      <c r="I40" s="273"/>
      <c r="J40" s="273"/>
      <c r="K40" s="273"/>
      <c r="L40" s="257"/>
      <c r="M40" s="177"/>
    </row>
    <row r="41" spans="2:13">
      <c r="L41" s="257"/>
      <c r="M41" s="177"/>
    </row>
    <row r="42" spans="2:13">
      <c r="J42" s="272" t="s">
        <v>297</v>
      </c>
      <c r="K42" s="272" t="s">
        <v>296</v>
      </c>
      <c r="L42" s="177"/>
      <c r="M42" s="177"/>
    </row>
    <row r="43" spans="2:13">
      <c r="B43" s="267" t="s">
        <v>209</v>
      </c>
      <c r="G43" t="s">
        <v>295</v>
      </c>
      <c r="J43" s="271">
        <f>E28</f>
        <v>5.8799999999999998E-2</v>
      </c>
      <c r="K43" s="271">
        <f>E35</f>
        <v>4.3190213261190616E-2</v>
      </c>
      <c r="L43" s="177"/>
      <c r="M43" s="177"/>
    </row>
    <row r="44" spans="2:13" ht="15.75" thickBot="1">
      <c r="B44" s="267" t="s">
        <v>294</v>
      </c>
      <c r="C44" s="267"/>
      <c r="D44" s="267"/>
      <c r="E44" s="267"/>
      <c r="G44" t="s">
        <v>293</v>
      </c>
      <c r="J44" s="271">
        <f>K29</f>
        <v>0.10544350848790485</v>
      </c>
      <c r="K44" s="271">
        <f>E36</f>
        <v>0.95680978673880934</v>
      </c>
      <c r="L44" s="177"/>
      <c r="M44" s="177"/>
    </row>
    <row r="45" spans="2:13" ht="15.75" thickBot="1">
      <c r="B45" s="267" t="s">
        <v>292</v>
      </c>
      <c r="C45" s="267"/>
      <c r="D45" s="267"/>
      <c r="E45" s="267"/>
      <c r="G45" s="270" t="s">
        <v>291</v>
      </c>
      <c r="H45" s="269"/>
      <c r="I45" s="269"/>
      <c r="J45" s="269"/>
      <c r="K45" s="268">
        <f>SUMPRODUCT(J43:J44,K43:K44)</f>
        <v>0.10342896540906209</v>
      </c>
      <c r="L45" s="177"/>
      <c r="M45" s="177"/>
    </row>
    <row r="46" spans="2:13">
      <c r="B46" s="267" t="s">
        <v>290</v>
      </c>
      <c r="C46" s="267"/>
      <c r="D46" s="267"/>
      <c r="E46" s="267"/>
      <c r="L46" s="177"/>
      <c r="M46" s="177"/>
    </row>
    <row r="47" spans="2:13">
      <c r="B47" s="267" t="s">
        <v>289</v>
      </c>
      <c r="C47" s="267"/>
      <c r="D47" s="267"/>
      <c r="E47" s="267"/>
      <c r="L47" s="177"/>
      <c r="M47" s="177"/>
    </row>
    <row r="48" spans="2:13">
      <c r="L48" s="177"/>
      <c r="M48" s="177"/>
    </row>
    <row r="49" spans="2:13">
      <c r="B49" s="260"/>
      <c r="C49" s="260"/>
      <c r="D49" s="260"/>
      <c r="E49" s="260"/>
      <c r="F49" s="260"/>
      <c r="G49" s="260"/>
      <c r="H49" s="260"/>
      <c r="I49" s="260"/>
      <c r="J49" s="260"/>
      <c r="K49" s="260"/>
      <c r="L49" s="177"/>
      <c r="M49" s="177"/>
    </row>
    <row r="50" spans="2:13" ht="9" customHeight="1" thickBot="1">
      <c r="B50" s="193"/>
      <c r="C50" s="193"/>
      <c r="D50" s="193"/>
      <c r="E50" s="193"/>
      <c r="F50" s="193"/>
      <c r="G50" s="193"/>
      <c r="H50" s="193"/>
      <c r="I50" s="193"/>
      <c r="J50" s="193"/>
      <c r="K50" s="193"/>
      <c r="L50" s="257"/>
      <c r="M50" s="177"/>
    </row>
    <row r="51" spans="2:13" ht="10.5" customHeight="1" thickTop="1">
      <c r="L51" s="177"/>
      <c r="M51" s="177"/>
    </row>
  </sheetData>
  <printOptions horizontalCentered="1" verticalCentered="1"/>
  <pageMargins left="0" right="0" top="0" bottom="0" header="0" footer="0"/>
  <pageSetup paperSize="8" orientation="portrait" r:id="rId1"/>
  <drawing r:id="rId2"/>
</worksheet>
</file>

<file path=xl/worksheets/sheet10.xml><?xml version="1.0" encoding="utf-8"?>
<worksheet xmlns="http://schemas.openxmlformats.org/spreadsheetml/2006/main" xmlns:r="http://schemas.openxmlformats.org/officeDocument/2006/relationships">
  <dimension ref="B2:R39"/>
  <sheetViews>
    <sheetView showGridLines="0" topLeftCell="A20" workbookViewId="0">
      <selection activeCell="B35" sqref="B35"/>
    </sheetView>
  </sheetViews>
  <sheetFormatPr defaultRowHeight="15"/>
  <cols>
    <col min="1" max="1" width="2.42578125" customWidth="1"/>
    <col min="2" max="2" width="17" customWidth="1"/>
    <col min="3" max="3" width="13.7109375" customWidth="1"/>
    <col min="4" max="4" width="9.28515625" bestFit="1" customWidth="1"/>
    <col min="5" max="5" width="11.85546875" customWidth="1"/>
    <col min="6" max="6" width="11.28515625" bestFit="1" customWidth="1"/>
    <col min="7" max="7" width="11.7109375" customWidth="1"/>
    <col min="8" max="8" width="10.7109375" customWidth="1"/>
    <col min="9" max="9" width="1.85546875" customWidth="1"/>
    <col min="10" max="11" width="9.85546875" bestFit="1" customWidth="1"/>
    <col min="12" max="12" width="11.140625" customWidth="1"/>
    <col min="13" max="13" width="1.7109375" customWidth="1"/>
    <col min="14" max="14" width="11.42578125" customWidth="1"/>
    <col min="15" max="15" width="12.5703125" customWidth="1"/>
    <col min="16" max="16" width="11.140625" customWidth="1"/>
    <col min="17" max="18" width="9.140625" style="310"/>
  </cols>
  <sheetData>
    <row r="2" spans="2:18" ht="13.5" customHeight="1" thickBot="1">
      <c r="B2" s="187" t="s">
        <v>0</v>
      </c>
      <c r="C2" s="187" t="s">
        <v>0</v>
      </c>
      <c r="D2" s="187" t="s">
        <v>0</v>
      </c>
      <c r="E2" s="187" t="s">
        <v>0</v>
      </c>
      <c r="F2" s="187" t="s">
        <v>0</v>
      </c>
      <c r="G2" s="187" t="s">
        <v>0</v>
      </c>
      <c r="H2" s="187" t="s">
        <v>0</v>
      </c>
      <c r="I2" s="187" t="s">
        <v>0</v>
      </c>
      <c r="J2" s="187"/>
      <c r="K2" s="187"/>
      <c r="L2" s="187" t="s">
        <v>0</v>
      </c>
      <c r="M2" s="187" t="s">
        <v>0</v>
      </c>
      <c r="N2" s="187" t="s">
        <v>0</v>
      </c>
      <c r="O2" s="187" t="s">
        <v>0</v>
      </c>
      <c r="P2" s="187" t="s">
        <v>0</v>
      </c>
    </row>
    <row r="3" spans="2:18" ht="11.25" customHeight="1" thickTop="1" thickBot="1">
      <c r="B3" s="193"/>
      <c r="C3" s="193"/>
      <c r="D3" s="193"/>
      <c r="E3" s="193"/>
      <c r="F3" s="193"/>
      <c r="G3" s="193"/>
      <c r="H3" s="193"/>
      <c r="I3" s="193"/>
      <c r="J3" s="193"/>
      <c r="K3" s="193"/>
      <c r="L3" s="193"/>
      <c r="M3" s="196"/>
      <c r="N3" s="196"/>
      <c r="O3" s="196"/>
      <c r="P3" s="196"/>
    </row>
    <row r="4" spans="2:18" ht="36" thickTop="1">
      <c r="B4" s="197" t="str">
        <f>'[2]Data Sheet'!B1</f>
        <v>BAJAJ AUTO LTD</v>
      </c>
      <c r="M4" s="196"/>
      <c r="N4" s="196"/>
      <c r="O4" s="196"/>
      <c r="P4" s="196"/>
    </row>
    <row r="5" spans="2:18" ht="22.5" customHeight="1" thickBot="1">
      <c r="B5" s="341" t="str">
        <f>CONCATENATE(" ",VLOOKUP(B4,'[2]LIST OF STOCKS'!B5:D5444,3,FALSE)," | ","Bse Code: ",VLOOKUP(B4,'[2]LIST OF STOCKS'!B5:E5444,2,FALSE),)</f>
        <v xml:space="preserve"> BAJAJ-AUTO | Bse Code: 532977</v>
      </c>
      <c r="C5" s="193"/>
      <c r="D5" s="193"/>
      <c r="E5" s="193"/>
      <c r="F5" s="193"/>
      <c r="G5" s="193"/>
      <c r="H5" s="193"/>
      <c r="I5" s="193"/>
      <c r="J5" s="193"/>
      <c r="K5" s="193"/>
      <c r="L5" s="193"/>
      <c r="M5" s="193"/>
      <c r="N5" s="193"/>
      <c r="O5" s="193"/>
      <c r="P5" s="193"/>
    </row>
    <row r="6" spans="2:18" ht="12" customHeight="1" thickTop="1">
      <c r="B6" s="267" t="s">
        <v>371</v>
      </c>
    </row>
    <row r="7" spans="2:18" ht="15.75" thickBot="1">
      <c r="B7" s="179"/>
      <c r="C7" s="179"/>
      <c r="D7" s="338" t="s">
        <v>370</v>
      </c>
      <c r="E7" s="338"/>
      <c r="F7" s="338"/>
      <c r="G7" s="338"/>
      <c r="H7" s="338"/>
      <c r="I7" s="340"/>
      <c r="J7" s="338"/>
      <c r="K7" s="339" t="s">
        <v>369</v>
      </c>
      <c r="L7" s="338"/>
      <c r="M7" s="337"/>
      <c r="N7" s="335"/>
      <c r="O7" s="336" t="s">
        <v>368</v>
      </c>
      <c r="P7" s="335"/>
      <c r="Q7" s="334"/>
      <c r="R7" s="334"/>
    </row>
    <row r="8" spans="2:18" ht="32.25" customHeight="1" thickTop="1">
      <c r="B8" s="179" t="s">
        <v>367</v>
      </c>
      <c r="C8" s="179" t="s">
        <v>366</v>
      </c>
      <c r="D8" s="333" t="s">
        <v>365</v>
      </c>
      <c r="E8" s="333" t="s">
        <v>336</v>
      </c>
      <c r="F8" s="333" t="s">
        <v>364</v>
      </c>
      <c r="G8" s="176" t="s">
        <v>338</v>
      </c>
      <c r="H8" s="333" t="s">
        <v>237</v>
      </c>
      <c r="I8" s="332"/>
      <c r="J8" s="250" t="s">
        <v>139</v>
      </c>
      <c r="K8" s="179" t="s">
        <v>96</v>
      </c>
      <c r="L8" s="250" t="s">
        <v>363</v>
      </c>
      <c r="M8" s="250"/>
      <c r="N8" s="250" t="s">
        <v>341</v>
      </c>
      <c r="O8" s="250" t="s">
        <v>231</v>
      </c>
      <c r="P8" s="250" t="s">
        <v>340</v>
      </c>
      <c r="Q8" s="331"/>
      <c r="R8" s="331"/>
    </row>
    <row r="10" spans="2:18">
      <c r="B10" s="320" t="s">
        <v>362</v>
      </c>
      <c r="C10" s="320" t="s">
        <v>361</v>
      </c>
      <c r="D10" s="319">
        <f>[4]Data!D7</f>
        <v>15977</v>
      </c>
      <c r="E10" s="326">
        <f>[4]Data!N7</f>
        <v>368.23</v>
      </c>
      <c r="F10" s="319">
        <f t="shared" ref="F10:F19" si="0">E10*D10</f>
        <v>5883210.71</v>
      </c>
      <c r="G10" s="319">
        <f>[4]Data!P7</f>
        <v>-453</v>
      </c>
      <c r="H10" s="319">
        <f>[4]Data!Q7</f>
        <v>501918.87</v>
      </c>
      <c r="I10" s="319"/>
      <c r="J10" s="319">
        <f>[4]Data!G7</f>
        <v>160633.79999999999</v>
      </c>
      <c r="K10" s="319">
        <f>[4]Data!M7</f>
        <v>42178</v>
      </c>
      <c r="L10" s="319">
        <f>[4]Data!H7</f>
        <v>14779.4</v>
      </c>
      <c r="M10" s="320"/>
      <c r="N10" s="325">
        <f t="shared" ref="N10:N19" si="1">$H10/J10</f>
        <v>3.1246155541361782</v>
      </c>
      <c r="O10" s="325">
        <f t="shared" ref="O10:O19" si="2">$H10/K10</f>
        <v>11.900015885058561</v>
      </c>
      <c r="P10" s="325">
        <f t="shared" ref="P10:P19" si="3">F10/L10</f>
        <v>398.06830520860115</v>
      </c>
    </row>
    <row r="11" spans="2:18">
      <c r="B11" s="320" t="s">
        <v>360</v>
      </c>
      <c r="C11" s="320" t="s">
        <v>359</v>
      </c>
      <c r="D11" s="319">
        <f>[4]Data!D8</f>
        <v>3749.6</v>
      </c>
      <c r="E11" s="326">
        <f>[4]Data!N8</f>
        <v>124.35</v>
      </c>
      <c r="F11" s="319">
        <f t="shared" si="0"/>
        <v>466262.75999999995</v>
      </c>
      <c r="G11" s="319">
        <f>[4]Data!P8</f>
        <v>106094.49</v>
      </c>
      <c r="H11" s="319">
        <f>[4]Data!Q8</f>
        <v>572455.89</v>
      </c>
      <c r="I11" s="319"/>
      <c r="J11" s="319">
        <f>[4]Data!G8</f>
        <v>175704.22</v>
      </c>
      <c r="K11" s="319">
        <f>[4]Data!M8</f>
        <v>37698.07</v>
      </c>
      <c r="L11" s="319">
        <f>[4]Data!H8</f>
        <v>15506.66</v>
      </c>
      <c r="M11" s="320"/>
      <c r="N11" s="325">
        <f t="shared" si="1"/>
        <v>3.2580656856164296</v>
      </c>
      <c r="O11" s="325">
        <f t="shared" si="2"/>
        <v>15.185283755905807</v>
      </c>
      <c r="P11" s="325">
        <f t="shared" si="3"/>
        <v>30.068548610725969</v>
      </c>
    </row>
    <row r="12" spans="2:18">
      <c r="B12" s="328" t="s">
        <v>321</v>
      </c>
      <c r="C12" s="328" t="s">
        <v>358</v>
      </c>
      <c r="D12" s="329">
        <f>[4]Data!D9</f>
        <v>8892</v>
      </c>
      <c r="E12" s="330">
        <f>[4]Data!N9</f>
        <v>31.44</v>
      </c>
      <c r="F12" s="329">
        <f t="shared" si="0"/>
        <v>279564.48000000004</v>
      </c>
      <c r="G12" s="329">
        <f>[4]Data!P9</f>
        <v>16845.640000000003</v>
      </c>
      <c r="H12" s="329">
        <f>[4]Data!Q9</f>
        <v>265044.03000000003</v>
      </c>
      <c r="I12" s="329"/>
      <c r="J12" s="329">
        <f>[4]Data!G9</f>
        <v>54683.29</v>
      </c>
      <c r="K12" s="329">
        <f>[4]Data!M9</f>
        <v>25274.2</v>
      </c>
      <c r="L12" s="329">
        <f>[4]Data!H9</f>
        <v>8329.9699999999993</v>
      </c>
      <c r="M12" s="328"/>
      <c r="N12" s="327">
        <f t="shared" si="1"/>
        <v>4.8468925333497674</v>
      </c>
      <c r="O12" s="327">
        <f t="shared" si="2"/>
        <v>10.486742607085487</v>
      </c>
      <c r="P12" s="327">
        <f t="shared" si="3"/>
        <v>33.561282933792086</v>
      </c>
    </row>
    <row r="13" spans="2:18">
      <c r="B13" s="320" t="s">
        <v>320</v>
      </c>
      <c r="C13" s="320" t="s">
        <v>357</v>
      </c>
      <c r="D13" s="319">
        <f>[4]Data!D10</f>
        <v>7134.5</v>
      </c>
      <c r="E13" s="326">
        <f>[4]Data!N10</f>
        <v>81.25</v>
      </c>
      <c r="F13" s="319">
        <f t="shared" si="0"/>
        <v>579678.125</v>
      </c>
      <c r="G13" s="319">
        <f>[4]Data!P10</f>
        <v>182.76999999999998</v>
      </c>
      <c r="H13" s="319">
        <f>[4]Data!Q10</f>
        <v>195915.9</v>
      </c>
      <c r="I13" s="319"/>
      <c r="J13" s="319">
        <f>[4]Data!G10</f>
        <v>21427.66</v>
      </c>
      <c r="K13" s="319">
        <f>[4]Data!M10</f>
        <v>9733.66</v>
      </c>
      <c r="L13" s="319">
        <f>[4]Data!H10</f>
        <v>5107.32</v>
      </c>
      <c r="M13" s="320"/>
      <c r="N13" s="325">
        <f t="shared" si="1"/>
        <v>9.1431308878337632</v>
      </c>
      <c r="O13" s="325">
        <f t="shared" si="2"/>
        <v>20.127670372706667</v>
      </c>
      <c r="P13" s="325">
        <f t="shared" si="3"/>
        <v>113.49947232599486</v>
      </c>
    </row>
    <row r="14" spans="2:18">
      <c r="B14" s="320" t="s">
        <v>356</v>
      </c>
      <c r="C14" s="320" t="s">
        <v>355</v>
      </c>
      <c r="D14" s="319">
        <f>[4]Data!D11</f>
        <v>2335.9</v>
      </c>
      <c r="E14" s="326">
        <f>[4]Data!N11</f>
        <v>47.51</v>
      </c>
      <c r="F14" s="319">
        <f t="shared" si="0"/>
        <v>110978.609</v>
      </c>
      <c r="G14" s="319">
        <f>[4]Data!P11</f>
        <v>-7278.7900000000009</v>
      </c>
      <c r="H14" s="319">
        <f>[4]Data!Q11</f>
        <v>182559.22999999998</v>
      </c>
      <c r="I14" s="319"/>
      <c r="J14" s="319">
        <f>[4]Data!G11</f>
        <v>66889.41</v>
      </c>
      <c r="K14" s="319">
        <f>[4]Data!M11</f>
        <v>7472.24</v>
      </c>
      <c r="L14" s="319">
        <f>[4]Data!H11</f>
        <v>5612.65</v>
      </c>
      <c r="M14" s="320"/>
      <c r="N14" s="325">
        <f t="shared" si="1"/>
        <v>2.7292695510395437</v>
      </c>
      <c r="O14" s="325">
        <f t="shared" si="2"/>
        <v>24.431660385640715</v>
      </c>
      <c r="P14" s="325">
        <f t="shared" si="3"/>
        <v>19.772943083926489</v>
      </c>
    </row>
    <row r="15" spans="2:18">
      <c r="B15" s="320" t="s">
        <v>319</v>
      </c>
      <c r="C15" s="320" t="s">
        <v>354</v>
      </c>
      <c r="D15" s="319">
        <f>[4]Data!D12</f>
        <v>3441.9</v>
      </c>
      <c r="E15" s="326">
        <f>[4]Data!N12</f>
        <v>20.010000000000002</v>
      </c>
      <c r="F15" s="319">
        <f t="shared" si="0"/>
        <v>68872.419000000009</v>
      </c>
      <c r="G15" s="319">
        <f>[4]Data!P12</f>
        <v>12475.62</v>
      </c>
      <c r="H15" s="319">
        <f>[4]Data!Q12</f>
        <v>176024</v>
      </c>
      <c r="I15" s="319"/>
      <c r="J15" s="319">
        <f>[4]Data!G12</f>
        <v>48838.15</v>
      </c>
      <c r="K15" s="319">
        <f>[4]Data!M12</f>
        <v>7867.06</v>
      </c>
      <c r="L15" s="319">
        <f>[4]Data!H12</f>
        <v>2782.48</v>
      </c>
      <c r="M15" s="320"/>
      <c r="N15" s="325">
        <f t="shared" si="1"/>
        <v>3.6042315280165198</v>
      </c>
      <c r="O15" s="325">
        <f t="shared" si="2"/>
        <v>22.374813462716695</v>
      </c>
      <c r="P15" s="325">
        <f t="shared" si="3"/>
        <v>24.752170366004432</v>
      </c>
    </row>
    <row r="16" spans="2:18">
      <c r="B16" s="320" t="s">
        <v>353</v>
      </c>
      <c r="C16" s="320" t="s">
        <v>352</v>
      </c>
      <c r="D16" s="319">
        <f>[4]Data!D13</f>
        <v>362.25</v>
      </c>
      <c r="E16" s="326">
        <f>[4]Data!N13</f>
        <v>27.43</v>
      </c>
      <c r="F16" s="319">
        <f t="shared" si="0"/>
        <v>9936.5174999999999</v>
      </c>
      <c r="G16" s="319">
        <f>[4]Data!P13</f>
        <v>26424</v>
      </c>
      <c r="H16" s="319">
        <f>[4]Data!Q13</f>
        <v>159834.99</v>
      </c>
      <c r="I16" s="319"/>
      <c r="J16" s="319">
        <f>[4]Data!G13</f>
        <v>392137</v>
      </c>
      <c r="K16" s="319">
        <f>[4]Data!M13</f>
        <v>7343.2300000000005</v>
      </c>
      <c r="L16" s="319">
        <f>[4]Data!H13</f>
        <v>94292</v>
      </c>
      <c r="M16" s="320"/>
      <c r="N16" s="325">
        <f t="shared" si="1"/>
        <v>0.40759986943338677</v>
      </c>
      <c r="O16" s="325">
        <f t="shared" si="2"/>
        <v>21.766305835442985</v>
      </c>
      <c r="P16" s="325">
        <f t="shared" si="3"/>
        <v>0.10538028146608408</v>
      </c>
    </row>
    <row r="17" spans="2:16" customFormat="1">
      <c r="B17" s="320" t="s">
        <v>318</v>
      </c>
      <c r="C17" s="320" t="s">
        <v>351</v>
      </c>
      <c r="D17" s="319">
        <f>[4]Data!D14</f>
        <v>6002.5</v>
      </c>
      <c r="E17" s="326">
        <f>[4]Data!N14</f>
        <v>441.08</v>
      </c>
      <c r="F17" s="319">
        <f t="shared" si="0"/>
        <v>2647582.6999999997</v>
      </c>
      <c r="G17" s="319">
        <f>[4]Data!P14</f>
        <v>143.99</v>
      </c>
      <c r="H17" s="319">
        <f>[4]Data!Q14</f>
        <v>120225.96</v>
      </c>
      <c r="I17" s="319"/>
      <c r="J17" s="319">
        <f>[4]Data!G14</f>
        <v>42175.839999999997</v>
      </c>
      <c r="K17" s="319">
        <f>[4]Data!M14</f>
        <v>-1217</v>
      </c>
      <c r="L17" s="319">
        <f>[4]Data!H14</f>
        <v>5303.76</v>
      </c>
      <c r="M17" s="320"/>
      <c r="N17" s="325">
        <f t="shared" si="1"/>
        <v>2.850588393734423</v>
      </c>
      <c r="O17" s="325">
        <f t="shared" si="2"/>
        <v>-98.788792111750212</v>
      </c>
      <c r="P17" s="325">
        <f t="shared" si="3"/>
        <v>499.18976348854392</v>
      </c>
    </row>
    <row r="18" spans="2:16" customFormat="1">
      <c r="B18" s="320" t="s">
        <v>350</v>
      </c>
      <c r="C18" s="320" t="s">
        <v>349</v>
      </c>
      <c r="D18" s="319">
        <f>[4]Data!D15</f>
        <v>695.9</v>
      </c>
      <c r="E18" s="326">
        <f>[4]Data!N15</f>
        <v>27.93</v>
      </c>
      <c r="F18" s="319">
        <f t="shared" si="0"/>
        <v>19436.486999999997</v>
      </c>
      <c r="G18" s="319">
        <f>[4]Data!P15</f>
        <v>59.900000000000034</v>
      </c>
      <c r="H18" s="319">
        <f>[4]Data!Q15</f>
        <v>26467.03</v>
      </c>
      <c r="I18" s="319"/>
      <c r="J18" s="319">
        <f>[4]Data!G15</f>
        <v>2854.5</v>
      </c>
      <c r="K18" s="319">
        <f>[4]Data!M15</f>
        <v>12554.75</v>
      </c>
      <c r="L18" s="319">
        <f>[4]Data!H15</f>
        <v>-764.5</v>
      </c>
      <c r="M18" s="320"/>
      <c r="N18" s="325">
        <f t="shared" si="1"/>
        <v>9.2720371343492722</v>
      </c>
      <c r="O18" s="325">
        <f t="shared" si="2"/>
        <v>2.1081287958740713</v>
      </c>
      <c r="P18" s="325">
        <f t="shared" si="3"/>
        <v>-25.423789404839763</v>
      </c>
    </row>
    <row r="19" spans="2:16" customFormat="1">
      <c r="B19" s="320" t="s">
        <v>348</v>
      </c>
      <c r="C19" s="320" t="s">
        <v>347</v>
      </c>
      <c r="D19" s="319">
        <f>[4]Data!D16</f>
        <v>16901</v>
      </c>
      <c r="E19" s="326">
        <f>[4]Data!N16</f>
        <v>1.32</v>
      </c>
      <c r="F19" s="319">
        <f t="shared" si="0"/>
        <v>22309.32</v>
      </c>
      <c r="G19" s="319">
        <f>[4]Data!P16</f>
        <v>-507.41</v>
      </c>
      <c r="H19" s="319">
        <f>[4]Data!Q16</f>
        <v>21763.06</v>
      </c>
      <c r="I19" s="319"/>
      <c r="J19" s="319">
        <f>[4]Data!G16</f>
        <v>8624.15</v>
      </c>
      <c r="K19" s="319">
        <f>[4]Data!M16</f>
        <v>1340.65</v>
      </c>
      <c r="L19" s="319">
        <f>[4]Data!H16</f>
        <v>1077.1400000000001</v>
      </c>
      <c r="M19" s="320"/>
      <c r="N19" s="325">
        <f t="shared" si="1"/>
        <v>2.523502026286649</v>
      </c>
      <c r="O19" s="325">
        <f t="shared" si="2"/>
        <v>16.233215231417596</v>
      </c>
      <c r="P19" s="325">
        <f t="shared" si="3"/>
        <v>20.711625229775144</v>
      </c>
    </row>
    <row r="21" spans="2:16" customFormat="1">
      <c r="B21" s="322" t="s">
        <v>346</v>
      </c>
      <c r="C21" s="322"/>
      <c r="D21" s="322"/>
      <c r="E21" s="322"/>
      <c r="F21" s="322"/>
      <c r="G21" s="322"/>
      <c r="H21" s="322"/>
      <c r="I21" s="322"/>
      <c r="J21" s="322"/>
      <c r="K21" s="322"/>
      <c r="L21" s="322"/>
      <c r="M21" s="322"/>
      <c r="N21" s="321">
        <f>MAX(N10:N19)</f>
        <v>9.2720371343492722</v>
      </c>
      <c r="O21" s="321">
        <f>MAX(O10:O19)</f>
        <v>24.431660385640715</v>
      </c>
      <c r="P21" s="321">
        <f>MAX(P10:P19)</f>
        <v>499.18976348854392</v>
      </c>
    </row>
    <row r="22" spans="2:16" customFormat="1">
      <c r="B22" s="322" t="s">
        <v>345</v>
      </c>
      <c r="C22" s="322"/>
      <c r="D22" s="322"/>
      <c r="E22" s="322"/>
      <c r="F22" s="322"/>
      <c r="G22" s="322"/>
      <c r="H22" s="322"/>
      <c r="I22" s="322"/>
      <c r="J22" s="322"/>
      <c r="K22" s="322"/>
      <c r="L22" s="322"/>
      <c r="M22" s="322"/>
      <c r="N22" s="321">
        <f>QUARTILE(N10:N19,3)</f>
        <v>4.5362272820164558</v>
      </c>
      <c r="O22" s="321">
        <f>QUARTILE(O10:O19,3)</f>
        <v>21.356646969758906</v>
      </c>
      <c r="P22" s="321">
        <f>QUARTILE(P10:P19,3)</f>
        <v>93.514924977944162</v>
      </c>
    </row>
    <row r="23" spans="2:16" customFormat="1">
      <c r="B23" s="324" t="s">
        <v>316</v>
      </c>
      <c r="C23" s="324"/>
      <c r="D23" s="324"/>
      <c r="E23" s="324"/>
      <c r="F23" s="324"/>
      <c r="G23" s="324"/>
      <c r="H23" s="324"/>
      <c r="I23" s="324"/>
      <c r="J23" s="324"/>
      <c r="K23" s="324"/>
      <c r="L23" s="324"/>
      <c r="M23" s="324"/>
      <c r="N23" s="323">
        <f>AVERAGE(N10:N19)</f>
        <v>4.1759933163795937</v>
      </c>
      <c r="O23" s="323">
        <f>AVERAGE(O10:O19)</f>
        <v>4.5825044220098379</v>
      </c>
      <c r="P23" s="323">
        <f>AVERAGE(P10:P19)</f>
        <v>111.43057021239903</v>
      </c>
    </row>
    <row r="24" spans="2:16" customFormat="1">
      <c r="B24" s="324" t="s">
        <v>127</v>
      </c>
      <c r="C24" s="324"/>
      <c r="D24" s="324"/>
      <c r="E24" s="324"/>
      <c r="F24" s="324"/>
      <c r="G24" s="324"/>
      <c r="H24" s="324"/>
      <c r="I24" s="324"/>
      <c r="J24" s="324"/>
      <c r="K24" s="324"/>
      <c r="L24" s="324"/>
      <c r="M24" s="324"/>
      <c r="N24" s="323">
        <f>MEDIAN(N10:N19)</f>
        <v>3.1913406198763039</v>
      </c>
      <c r="O24" s="323">
        <f>MEDIAN(O10:O19)</f>
        <v>15.709249493661702</v>
      </c>
      <c r="P24" s="323">
        <f>MEDIAN(P10:P19)</f>
        <v>27.410359488365202</v>
      </c>
    </row>
    <row r="25" spans="2:16" customFormat="1">
      <c r="B25" s="322" t="s">
        <v>344</v>
      </c>
      <c r="C25" s="322"/>
      <c r="D25" s="322"/>
      <c r="E25" s="322"/>
      <c r="F25" s="322"/>
      <c r="G25" s="322"/>
      <c r="H25" s="322"/>
      <c r="I25" s="322"/>
      <c r="J25" s="322"/>
      <c r="K25" s="322"/>
      <c r="L25" s="322"/>
      <c r="M25" s="322"/>
      <c r="N25" s="321">
        <f>QUARTILE(N10:N19,1)</f>
        <v>2.7595992617132636</v>
      </c>
      <c r="O25" s="321">
        <f>QUARTILE(O10:O19,1)</f>
        <v>10.840060926578756</v>
      </c>
      <c r="P25" s="321">
        <f>QUARTILE(P10:P19,1)</f>
        <v>20.007613620388653</v>
      </c>
    </row>
    <row r="26" spans="2:16" customFormat="1">
      <c r="B26" s="322" t="s">
        <v>343</v>
      </c>
      <c r="C26" s="322"/>
      <c r="D26" s="322"/>
      <c r="E26" s="322"/>
      <c r="F26" s="322"/>
      <c r="G26" s="322"/>
      <c r="H26" s="322"/>
      <c r="I26" s="322"/>
      <c r="J26" s="322"/>
      <c r="K26" s="322"/>
      <c r="L26" s="322"/>
      <c r="M26" s="322"/>
      <c r="N26" s="321">
        <f>MIN(N10:N19)</f>
        <v>0.40759986943338677</v>
      </c>
      <c r="O26" s="321">
        <f>MIN(O10:O19)</f>
        <v>-98.788792111750212</v>
      </c>
      <c r="P26" s="321">
        <f>MIN(P10:P19)</f>
        <v>-25.423789404839763</v>
      </c>
    </row>
    <row r="28" spans="2:16" customFormat="1">
      <c r="B28" s="179" t="s">
        <v>342</v>
      </c>
      <c r="C28" s="311"/>
      <c r="D28" s="311"/>
      <c r="E28" s="311"/>
      <c r="F28" s="311"/>
      <c r="G28" s="311"/>
      <c r="H28" s="311"/>
      <c r="I28" s="311"/>
      <c r="J28" s="311"/>
      <c r="K28" s="311"/>
      <c r="L28" s="311"/>
      <c r="M28" s="311"/>
      <c r="N28" s="250" t="s">
        <v>341</v>
      </c>
      <c r="O28" s="250" t="s">
        <v>231</v>
      </c>
      <c r="P28" s="250" t="s">
        <v>340</v>
      </c>
    </row>
    <row r="29" spans="2:16" customFormat="1">
      <c r="B29" s="320" t="s">
        <v>339</v>
      </c>
      <c r="C29" s="320"/>
      <c r="D29" s="320"/>
      <c r="E29" s="320"/>
      <c r="F29" s="320"/>
      <c r="G29" s="320"/>
      <c r="H29" s="320"/>
      <c r="I29" s="320"/>
      <c r="J29" s="320"/>
      <c r="K29" s="320"/>
      <c r="L29" s="320"/>
      <c r="M29" s="320"/>
      <c r="N29" s="319">
        <f>N$24*J12</f>
        <v>174513.0046054757</v>
      </c>
      <c r="O29" s="319">
        <f>O$24*K12</f>
        <v>397038.7135527046</v>
      </c>
      <c r="P29" s="319">
        <f>P30+P31</f>
        <v>245173.11222729748</v>
      </c>
    </row>
    <row r="30" spans="2:16" customFormat="1">
      <c r="B30" s="278" t="s">
        <v>338</v>
      </c>
      <c r="C30" s="278"/>
      <c r="D30" s="278"/>
      <c r="E30" s="278"/>
      <c r="F30" s="278"/>
      <c r="G30" s="278"/>
      <c r="H30" s="278"/>
      <c r="I30" s="278"/>
      <c r="J30" s="278"/>
      <c r="K30" s="278"/>
      <c r="L30" s="278"/>
      <c r="M30" s="278"/>
      <c r="N30" s="318">
        <f>$G$12</f>
        <v>16845.640000000003</v>
      </c>
      <c r="O30" s="318">
        <f>$G$12</f>
        <v>16845.640000000003</v>
      </c>
      <c r="P30" s="318">
        <f>$G$12</f>
        <v>16845.640000000003</v>
      </c>
    </row>
    <row r="31" spans="2:16" customFormat="1">
      <c r="B31" s="317" t="s">
        <v>337</v>
      </c>
      <c r="C31" s="317"/>
      <c r="D31" s="317"/>
      <c r="E31" s="317"/>
      <c r="F31" s="317"/>
      <c r="G31" s="317"/>
      <c r="H31" s="317"/>
      <c r="I31" s="317"/>
      <c r="J31" s="317"/>
      <c r="K31" s="317"/>
      <c r="L31" s="317"/>
      <c r="M31" s="317"/>
      <c r="N31" s="316">
        <f>N29-N30</f>
        <v>157667.36460547568</v>
      </c>
      <c r="O31" s="316">
        <f>O29-O30</f>
        <v>380193.07355270459</v>
      </c>
      <c r="P31" s="316">
        <f>P24*L12</f>
        <v>228327.47222729746</v>
      </c>
    </row>
    <row r="32" spans="2:16" customFormat="1" ht="15.75" thickBot="1">
      <c r="B32" t="s">
        <v>336</v>
      </c>
      <c r="N32" s="315">
        <f>$E$12</f>
        <v>31.44</v>
      </c>
      <c r="O32" s="315">
        <f>$E$12</f>
        <v>31.44</v>
      </c>
      <c r="P32" s="315">
        <f>$E$12</f>
        <v>31.44</v>
      </c>
    </row>
    <row r="33" spans="2:16" customFormat="1" ht="15.75" thickBot="1">
      <c r="B33" s="314" t="s">
        <v>335</v>
      </c>
      <c r="C33" s="314"/>
      <c r="D33" s="314"/>
      <c r="E33" s="314"/>
      <c r="F33" s="314"/>
      <c r="G33" s="314"/>
      <c r="H33" s="314"/>
      <c r="I33" s="314"/>
      <c r="J33" s="314"/>
      <c r="K33" s="314"/>
      <c r="L33" s="314"/>
      <c r="M33" s="314"/>
      <c r="N33" s="313">
        <f>N31/N32</f>
        <v>5014.8652864337046</v>
      </c>
      <c r="O33" s="313">
        <f>O31/O32</f>
        <v>12092.655011218339</v>
      </c>
      <c r="P33" s="313">
        <f>P31/P32</f>
        <v>7262.3241802575521</v>
      </c>
    </row>
    <row r="35" spans="2:16" customFormat="1">
      <c r="B35" s="267" t="s">
        <v>334</v>
      </c>
      <c r="N35" s="246" t="str">
        <f>IF(N33&gt;$D$12, "Undervalued","Overvalued")</f>
        <v>Overvalued</v>
      </c>
      <c r="O35" s="246" t="str">
        <f>IF(O33&gt;$D$12, "Undervalued","Overvalued")</f>
        <v>Undervalued</v>
      </c>
      <c r="P35" s="246" t="str">
        <f>IF(P33&gt;$D$12, "Undervalued","Overvalued")</f>
        <v>Overvalued</v>
      </c>
    </row>
    <row r="37" spans="2:16" customFormat="1">
      <c r="B37" s="260"/>
      <c r="C37" s="260"/>
      <c r="D37" s="260"/>
      <c r="E37" s="260"/>
      <c r="F37" s="260"/>
      <c r="G37" s="260"/>
      <c r="H37" s="260"/>
      <c r="I37" s="260"/>
      <c r="J37" s="260"/>
      <c r="K37" s="260"/>
      <c r="L37" s="260"/>
      <c r="M37" s="260"/>
      <c r="N37" s="260"/>
      <c r="O37" s="260"/>
      <c r="P37" s="260"/>
    </row>
    <row r="38" spans="2:16" customFormat="1" ht="9" customHeight="1" thickBot="1">
      <c r="B38" s="193"/>
      <c r="C38" s="193"/>
      <c r="D38" s="193"/>
      <c r="E38" s="193"/>
      <c r="F38" s="193"/>
      <c r="G38" s="193"/>
      <c r="H38" s="193"/>
      <c r="I38" s="193"/>
      <c r="J38" s="193"/>
      <c r="K38" s="193"/>
      <c r="L38" s="193"/>
      <c r="M38" s="193"/>
      <c r="N38" s="193"/>
      <c r="O38" s="193"/>
      <c r="P38" s="193"/>
    </row>
    <row r="39" spans="2:16" customFormat="1" ht="15.75" thickTop="1"/>
  </sheetData>
  <pageMargins left="0.7" right="0.7" top="0.75" bottom="0.75" header="0.3" footer="0.3"/>
  <pageSetup scale="75" orientation="landscape" r:id="rId1"/>
  <drawing r:id="rId2"/>
</worksheet>
</file>

<file path=xl/worksheets/sheet11.xml><?xml version="1.0" encoding="utf-8"?>
<worksheet xmlns="http://schemas.openxmlformats.org/spreadsheetml/2006/main" xmlns:r="http://schemas.openxmlformats.org/officeDocument/2006/relationships">
  <dimension ref="B1:Q55"/>
  <sheetViews>
    <sheetView showGridLines="0" topLeftCell="A33" workbookViewId="0">
      <selection activeCell="E59" sqref="E59"/>
    </sheetView>
  </sheetViews>
  <sheetFormatPr defaultRowHeight="15" outlineLevelRow="1"/>
  <cols>
    <col min="1" max="1" width="2.5703125" customWidth="1"/>
    <col min="5" max="5" width="13.42578125" bestFit="1" customWidth="1"/>
    <col min="6" max="6" width="12.5703125" bestFit="1" customWidth="1"/>
    <col min="7" max="7" width="10.5703125" customWidth="1"/>
    <col min="8" max="8" width="12.42578125" customWidth="1"/>
    <col min="9" max="9" width="11.42578125" customWidth="1"/>
    <col min="10" max="10" width="11.140625" customWidth="1"/>
    <col min="11" max="12" width="10.140625" customWidth="1"/>
    <col min="13" max="13" width="9.140625" customWidth="1"/>
  </cols>
  <sheetData>
    <row r="1" spans="2:14" ht="17.25" customHeight="1"/>
    <row r="2" spans="2:14" ht="12.75" customHeight="1">
      <c r="B2" s="187" t="s">
        <v>0</v>
      </c>
      <c r="C2" s="187" t="s">
        <v>0</v>
      </c>
      <c r="D2" s="187" t="s">
        <v>0</v>
      </c>
      <c r="E2" s="187" t="s">
        <v>0</v>
      </c>
      <c r="F2" s="187" t="s">
        <v>0</v>
      </c>
      <c r="G2" s="187" t="s">
        <v>0</v>
      </c>
      <c r="H2" s="187" t="s">
        <v>0</v>
      </c>
      <c r="I2" s="187" t="s">
        <v>0</v>
      </c>
      <c r="J2" s="187"/>
      <c r="K2" s="187"/>
      <c r="L2" s="187" t="s">
        <v>0</v>
      </c>
      <c r="M2" s="187" t="s">
        <v>0</v>
      </c>
    </row>
    <row r="3" spans="2:14" ht="10.5" customHeight="1" thickBot="1">
      <c r="B3" s="193"/>
      <c r="C3" s="193"/>
      <c r="D3" s="193"/>
      <c r="E3" s="193"/>
      <c r="F3" s="193"/>
      <c r="G3" s="193"/>
      <c r="H3" s="193"/>
      <c r="I3" s="193"/>
      <c r="J3" s="193"/>
      <c r="K3" s="193"/>
      <c r="L3" s="193"/>
    </row>
    <row r="4" spans="2:14" ht="36" thickTop="1">
      <c r="B4" s="197" t="str">
        <f>'[2]Data Sheet'!B1</f>
        <v>BAJAJ AUTO LTD</v>
      </c>
      <c r="M4" s="196"/>
    </row>
    <row r="5" spans="2:14">
      <c r="B5" s="265" t="str">
        <f>CONCATENATE(" ",VLOOKUP(B4,'[2]LIST OF STOCKS'!B5:D5444,3,FALSE)," | ","Bse Code: ",VLOOKUP(B4,'[2]LIST OF STOCKS'!B5:E5444,2,FALSE),)</f>
        <v xml:space="preserve"> BAJAJ-AUTO | Bse Code: 532977</v>
      </c>
    </row>
    <row r="6" spans="2:14" ht="15.75" thickBot="1">
      <c r="B6" s="193"/>
      <c r="C6" s="193"/>
      <c r="D6" s="193"/>
      <c r="E6" s="193"/>
      <c r="F6" s="193"/>
      <c r="G6" s="193"/>
      <c r="H6" s="193"/>
      <c r="I6" s="193"/>
      <c r="J6" s="193"/>
      <c r="K6" s="193"/>
      <c r="L6" s="193"/>
      <c r="M6" s="193"/>
    </row>
    <row r="7" spans="2:14" ht="12" customHeight="1" thickTop="1"/>
    <row r="8" spans="2:14" ht="17.25" customHeight="1">
      <c r="B8" s="378" t="str">
        <f>"Intrinsic Valuation – Discounted Cash Flow (DCF) - "&amp;'[3]Data Sheet'!$B$1</f>
        <v>Intrinsic Valuation – Discounted Cash Flow (DCF) - BAJAJ AUTO LTD</v>
      </c>
      <c r="C8" s="260"/>
      <c r="D8" s="260"/>
      <c r="E8" s="260"/>
      <c r="F8" s="260"/>
      <c r="G8" s="260"/>
      <c r="H8" s="260"/>
      <c r="I8" s="260"/>
      <c r="J8" s="260"/>
      <c r="K8" s="260"/>
      <c r="L8" s="260"/>
      <c r="M8" s="260"/>
      <c r="N8" s="377"/>
    </row>
    <row r="9" spans="2:14">
      <c r="B9" s="179" t="s">
        <v>397</v>
      </c>
      <c r="C9" s="260"/>
      <c r="D9" s="260"/>
      <c r="E9" s="260"/>
      <c r="F9" s="376">
        <f>'[4]Intrinsic Growth'!J8</f>
        <v>44986</v>
      </c>
      <c r="G9" s="375">
        <f t="shared" ref="G9:M9" si="0">F9+366</f>
        <v>45352</v>
      </c>
      <c r="H9" s="375">
        <f t="shared" si="0"/>
        <v>45718</v>
      </c>
      <c r="I9" s="375">
        <f t="shared" si="0"/>
        <v>46084</v>
      </c>
      <c r="J9" s="375">
        <f t="shared" si="0"/>
        <v>46450</v>
      </c>
      <c r="K9" s="375">
        <f t="shared" si="0"/>
        <v>46816</v>
      </c>
      <c r="L9" s="375">
        <f t="shared" si="0"/>
        <v>47182</v>
      </c>
      <c r="M9" s="375">
        <f t="shared" si="0"/>
        <v>47548</v>
      </c>
    </row>
    <row r="10" spans="2:14">
      <c r="B10" s="374"/>
      <c r="C10" s="374"/>
      <c r="D10" s="374"/>
      <c r="E10" s="374"/>
      <c r="F10" s="374"/>
      <c r="G10" s="374"/>
      <c r="H10" s="374"/>
      <c r="I10" s="374"/>
      <c r="J10" s="374"/>
      <c r="K10" s="374"/>
      <c r="L10" s="374"/>
      <c r="M10" s="374"/>
    </row>
    <row r="12" spans="2:14">
      <c r="B12" t="s">
        <v>170</v>
      </c>
      <c r="F12" s="370">
        <f>'[2]Historical FS'!C34+'[2]Historical FS'!C28</f>
        <v>4033.9799356461517</v>
      </c>
      <c r="G12" s="373">
        <f>'[2]Historical FS'!D34+'[2]Historical FS'!D28</f>
        <v>4550.3599480363519</v>
      </c>
      <c r="H12" s="373">
        <f>'[2]Historical FS'!E34+'[2]Historical FS'!E28</f>
        <v>4819.3898524259021</v>
      </c>
      <c r="I12" s="373">
        <f>'[2]Historical FS'!F34+'[2]Historical FS'!F28</f>
        <v>4736.8898943802615</v>
      </c>
      <c r="J12" s="373">
        <f>'[2]Historical FS'!G34+'[2]Historical FS'!G28</f>
        <v>4239.4497599228298</v>
      </c>
      <c r="K12" s="373">
        <f>'[2]Historical FS'!H34+'[2]Historical FS'!H28</f>
        <v>5364.9597387215035</v>
      </c>
      <c r="L12" s="373">
        <f>'[2]Historical FS'!I34+'[2]Historical FS'!I28</f>
        <v>5978.1289162093472</v>
      </c>
      <c r="M12" s="373">
        <f>'[2]Historical FS'!J34+'[2]Historical FS'!J28</f>
        <v>8247.2286547933727</v>
      </c>
    </row>
    <row r="13" spans="2:14">
      <c r="B13" t="s">
        <v>302</v>
      </c>
      <c r="F13" s="372">
        <v>0.25</v>
      </c>
      <c r="G13" s="373">
        <f t="shared" ref="G13:M13" si="1">F13</f>
        <v>0.25</v>
      </c>
      <c r="H13" s="373">
        <f t="shared" si="1"/>
        <v>0.25</v>
      </c>
      <c r="I13" s="373">
        <f t="shared" si="1"/>
        <v>0.25</v>
      </c>
      <c r="J13" s="373">
        <f t="shared" si="1"/>
        <v>0.25</v>
      </c>
      <c r="K13" s="373">
        <f t="shared" si="1"/>
        <v>0.25</v>
      </c>
      <c r="L13" s="373">
        <f t="shared" si="1"/>
        <v>0.25</v>
      </c>
      <c r="M13" s="373">
        <f t="shared" si="1"/>
        <v>0.25</v>
      </c>
    </row>
    <row r="14" spans="2:14">
      <c r="B14" t="s">
        <v>396</v>
      </c>
      <c r="F14" s="370">
        <f t="shared" ref="F14:M14" si="2">F12*(1-F13)</f>
        <v>3025.4849517346138</v>
      </c>
      <c r="G14" s="373">
        <f t="shared" si="2"/>
        <v>3412.7699610272639</v>
      </c>
      <c r="H14" s="373">
        <f t="shared" si="2"/>
        <v>3614.5423893194265</v>
      </c>
      <c r="I14" s="373">
        <f t="shared" si="2"/>
        <v>3552.6674207851961</v>
      </c>
      <c r="J14" s="373">
        <f t="shared" si="2"/>
        <v>3179.5873199421221</v>
      </c>
      <c r="K14" s="373">
        <f t="shared" si="2"/>
        <v>4023.7198040411276</v>
      </c>
      <c r="L14" s="373">
        <f t="shared" si="2"/>
        <v>4483.5966871570108</v>
      </c>
      <c r="M14" s="373">
        <f t="shared" si="2"/>
        <v>6185.4214910950295</v>
      </c>
    </row>
    <row r="15" spans="2:14">
      <c r="B15" t="s">
        <v>395</v>
      </c>
      <c r="F15" s="372">
        <v>0.38400000000000001</v>
      </c>
      <c r="G15" s="326">
        <f t="shared" ref="G15:M15" si="3">F15</f>
        <v>0.38400000000000001</v>
      </c>
      <c r="H15" s="326">
        <f t="shared" si="3"/>
        <v>0.38400000000000001</v>
      </c>
      <c r="I15" s="326">
        <f t="shared" si="3"/>
        <v>0.38400000000000001</v>
      </c>
      <c r="J15" s="326">
        <f t="shared" si="3"/>
        <v>0.38400000000000001</v>
      </c>
      <c r="K15" s="326">
        <f t="shared" si="3"/>
        <v>0.38400000000000001</v>
      </c>
      <c r="L15" s="326">
        <f t="shared" si="3"/>
        <v>0.38400000000000001</v>
      </c>
      <c r="M15" s="326">
        <f t="shared" si="3"/>
        <v>0.38400000000000001</v>
      </c>
    </row>
    <row r="16" spans="2:14">
      <c r="B16" t="s">
        <v>394</v>
      </c>
      <c r="F16" s="370">
        <f t="shared" ref="F16:M16" si="4">F14*(1-F15)</f>
        <v>1863.698730268522</v>
      </c>
      <c r="G16" s="326">
        <f t="shared" si="4"/>
        <v>2102.2662959927943</v>
      </c>
      <c r="H16" s="326">
        <f t="shared" si="4"/>
        <v>2226.5581118207665</v>
      </c>
      <c r="I16" s="326">
        <f t="shared" si="4"/>
        <v>2188.4431312036809</v>
      </c>
      <c r="J16" s="326">
        <f t="shared" si="4"/>
        <v>1958.6257890843472</v>
      </c>
      <c r="K16" s="326">
        <f t="shared" si="4"/>
        <v>2478.6113992893347</v>
      </c>
      <c r="L16" s="326">
        <f t="shared" si="4"/>
        <v>2761.8955592887187</v>
      </c>
      <c r="M16" s="326">
        <f t="shared" si="4"/>
        <v>3810.219638514538</v>
      </c>
    </row>
    <row r="17" spans="2:17">
      <c r="B17" t="s">
        <v>393</v>
      </c>
      <c r="F17" s="370"/>
      <c r="G17" s="371">
        <v>0.5</v>
      </c>
      <c r="H17" s="326">
        <f t="shared" ref="H17:M17" si="5">G17+1</f>
        <v>1.5</v>
      </c>
      <c r="I17" s="326">
        <f t="shared" si="5"/>
        <v>2.5</v>
      </c>
      <c r="J17" s="326">
        <f t="shared" si="5"/>
        <v>3.5</v>
      </c>
      <c r="K17" s="326">
        <f t="shared" si="5"/>
        <v>4.5</v>
      </c>
      <c r="L17" s="326">
        <f t="shared" si="5"/>
        <v>5.5</v>
      </c>
      <c r="M17" s="326">
        <f t="shared" si="5"/>
        <v>6.5</v>
      </c>
    </row>
    <row r="18" spans="2:17">
      <c r="B18" t="s">
        <v>392</v>
      </c>
      <c r="F18" s="370"/>
      <c r="G18" s="326">
        <f t="shared" ref="G18:M18" si="6">1/(1+$E$24)^G17</f>
        <v>0.95197996814081831</v>
      </c>
      <c r="H18" s="326">
        <f t="shared" si="6"/>
        <v>0.86274694428372312</v>
      </c>
      <c r="I18" s="326">
        <f t="shared" si="6"/>
        <v>0.78187810120054846</v>
      </c>
      <c r="J18" s="326">
        <f t="shared" si="6"/>
        <v>0.70858942959748328</v>
      </c>
      <c r="K18" s="326">
        <f t="shared" si="6"/>
        <v>0.64217040861782682</v>
      </c>
      <c r="L18" s="326">
        <f t="shared" si="6"/>
        <v>0.58197711746651681</v>
      </c>
      <c r="M18" s="326">
        <f t="shared" si="6"/>
        <v>0.52742599271061086</v>
      </c>
    </row>
    <row r="19" spans="2:17">
      <c r="F19" s="357"/>
      <c r="G19" s="163"/>
      <c r="H19" s="163"/>
      <c r="I19" s="163"/>
      <c r="J19" s="163"/>
      <c r="K19" s="163"/>
      <c r="L19" s="163"/>
      <c r="M19" s="163"/>
    </row>
    <row r="20" spans="2:17">
      <c r="B20" s="369" t="s">
        <v>383</v>
      </c>
      <c r="C20" s="368"/>
      <c r="D20" s="368"/>
      <c r="E20" s="368"/>
      <c r="F20" s="367"/>
      <c r="G20" s="366">
        <f t="shared" ref="G20:M20" si="7">G16*G18</f>
        <v>2001.3154014827364</v>
      </c>
      <c r="H20" s="366">
        <f t="shared" si="7"/>
        <v>1920.9562072435026</v>
      </c>
      <c r="I20" s="366">
        <f t="shared" si="7"/>
        <v>1711.0957600109168</v>
      </c>
      <c r="J20" s="366">
        <f t="shared" si="7"/>
        <v>1387.8615306821982</v>
      </c>
      <c r="K20" s="366">
        <f t="shared" si="7"/>
        <v>1591.6908950864356</v>
      </c>
      <c r="L20" s="366">
        <f t="shared" si="7"/>
        <v>1607.3600163384217</v>
      </c>
      <c r="M20" s="366">
        <f t="shared" si="7"/>
        <v>2009.608875288995</v>
      </c>
    </row>
    <row r="22" spans="2:17" outlineLevel="1">
      <c r="B22" s="364" t="s">
        <v>391</v>
      </c>
      <c r="C22" s="364"/>
      <c r="D22" s="364"/>
      <c r="E22" s="363">
        <v>0.28100000000000003</v>
      </c>
    </row>
    <row r="23" spans="2:17" outlineLevel="1">
      <c r="B23" s="364" t="s">
        <v>390</v>
      </c>
      <c r="C23" s="364"/>
      <c r="D23" s="364"/>
      <c r="E23" s="365">
        <v>0.03</v>
      </c>
    </row>
    <row r="24" spans="2:17" outlineLevel="1">
      <c r="B24" s="364" t="s">
        <v>386</v>
      </c>
      <c r="C24" s="364"/>
      <c r="D24" s="364"/>
      <c r="E24" s="363">
        <f>WACC!K45</f>
        <v>0.10342896540906209</v>
      </c>
      <c r="Q24" s="362"/>
    </row>
    <row r="26" spans="2:17">
      <c r="B26" s="179" t="s">
        <v>389</v>
      </c>
      <c r="C26" s="179"/>
      <c r="D26" s="179"/>
      <c r="E26" s="179"/>
      <c r="G26" s="179" t="s">
        <v>388</v>
      </c>
      <c r="H26" s="260"/>
      <c r="I26" s="260"/>
      <c r="J26" s="260"/>
      <c r="K26" s="260"/>
      <c r="L26" s="260"/>
    </row>
    <row r="28" spans="2:17">
      <c r="B28" t="s">
        <v>387</v>
      </c>
      <c r="E28" s="288">
        <f>M16*(1+E22)</f>
        <v>4880.8913569371234</v>
      </c>
      <c r="G28" s="361">
        <f>E32</f>
        <v>66470.926421833501</v>
      </c>
      <c r="H28" s="359">
        <v>5.5E-2</v>
      </c>
      <c r="I28" s="360">
        <v>0.10340000000000001</v>
      </c>
      <c r="J28" s="359">
        <v>0.15</v>
      </c>
      <c r="K28" s="359">
        <v>0.2</v>
      </c>
      <c r="L28" s="359">
        <v>0.25</v>
      </c>
    </row>
    <row r="29" spans="2:17">
      <c r="B29" t="s">
        <v>386</v>
      </c>
      <c r="E29" s="271">
        <f>E24</f>
        <v>0.10342896540906209</v>
      </c>
      <c r="G29" s="354">
        <v>0.01</v>
      </c>
      <c r="H29" s="163">
        <f t="dataTable" ref="H29:L33" dt2D="1" dtr="1" r1="E24" r2="E30"/>
        <v>108464.25237638052</v>
      </c>
      <c r="I29" s="163">
        <v>52257.937440440284</v>
      </c>
      <c r="J29" s="163">
        <v>34863.509692408028</v>
      </c>
      <c r="K29" s="163">
        <v>25688.901878616438</v>
      </c>
      <c r="L29" s="163">
        <v>20337.04732057135</v>
      </c>
    </row>
    <row r="30" spans="2:17">
      <c r="B30" t="s">
        <v>381</v>
      </c>
      <c r="E30" s="271">
        <f>E23</f>
        <v>0.03</v>
      </c>
      <c r="G30" s="354">
        <v>0.02</v>
      </c>
      <c r="H30" s="163">
        <v>139454.03876963208</v>
      </c>
      <c r="I30" s="163">
        <v>58523.877181500276</v>
      </c>
      <c r="J30" s="163">
        <v>37545.318130285566</v>
      </c>
      <c r="K30" s="163">
        <v>27116.063094095127</v>
      </c>
      <c r="L30" s="163">
        <v>21221.26676929184</v>
      </c>
    </row>
    <row r="31" spans="2:17">
      <c r="B31" s="191"/>
      <c r="C31" s="191"/>
      <c r="D31" s="191"/>
      <c r="G31" s="358">
        <v>0.03</v>
      </c>
      <c r="H31" s="163">
        <v>195235.65427748492</v>
      </c>
      <c r="I31" s="357">
        <v>66497.157451459439</v>
      </c>
      <c r="J31" s="163">
        <v>40674.094641142699</v>
      </c>
      <c r="K31" s="163">
        <v>28711.125629041901</v>
      </c>
      <c r="L31" s="163">
        <v>22185.869804259652</v>
      </c>
    </row>
    <row r="32" spans="2:17">
      <c r="B32" s="356" t="s">
        <v>385</v>
      </c>
      <c r="C32" s="356"/>
      <c r="D32" s="356"/>
      <c r="E32" s="355">
        <f>E28/(E29-E30)</f>
        <v>66470.926421833501</v>
      </c>
      <c r="G32" s="354">
        <v>0.04</v>
      </c>
      <c r="H32" s="163">
        <v>325392.7571291416</v>
      </c>
      <c r="I32" s="163">
        <v>76985.668090490886</v>
      </c>
      <c r="J32" s="163">
        <v>44371.73960851931</v>
      </c>
      <c r="K32" s="163">
        <v>30505.570980857021</v>
      </c>
      <c r="L32" s="163">
        <v>23242.339794938685</v>
      </c>
    </row>
    <row r="33" spans="2:12">
      <c r="E33" s="191"/>
      <c r="G33" s="354">
        <v>0.05</v>
      </c>
      <c r="H33" s="163">
        <v>976178.27138742513</v>
      </c>
      <c r="I33" s="163">
        <v>91402.459867736383</v>
      </c>
      <c r="J33" s="163">
        <v>48808.913569371238</v>
      </c>
      <c r="K33" s="163">
        <v>32539.27571291415</v>
      </c>
      <c r="L33" s="163">
        <v>24404.456784685615</v>
      </c>
    </row>
    <row r="35" spans="2:12">
      <c r="B35" s="179" t="s">
        <v>384</v>
      </c>
      <c r="C35" s="179"/>
      <c r="D35" s="179"/>
      <c r="E35" s="179"/>
    </row>
    <row r="37" spans="2:12">
      <c r="B37" t="s">
        <v>383</v>
      </c>
      <c r="E37" s="163">
        <f>SUM(G20:M20)</f>
        <v>12229.888686133207</v>
      </c>
    </row>
    <row r="38" spans="2:12">
      <c r="B38" t="s">
        <v>382</v>
      </c>
      <c r="E38" s="163">
        <f>E32*M18</f>
        <v>35058.494354429509</v>
      </c>
    </row>
    <row r="39" spans="2:12">
      <c r="B39" t="s">
        <v>381</v>
      </c>
      <c r="E39" s="163">
        <f>E32</f>
        <v>66470.926421833501</v>
      </c>
    </row>
    <row r="40" spans="2:12">
      <c r="B40" s="353" t="s">
        <v>380</v>
      </c>
      <c r="C40" s="353"/>
      <c r="D40" s="353"/>
      <c r="E40" s="344">
        <f>SUM(E37:E39)</f>
        <v>113759.30946239622</v>
      </c>
    </row>
    <row r="41" spans="2:12" ht="15.75" thickBot="1">
      <c r="E41" s="163"/>
    </row>
    <row r="42" spans="2:12">
      <c r="B42" s="352" t="s">
        <v>379</v>
      </c>
      <c r="C42" s="352"/>
      <c r="D42" s="352"/>
      <c r="E42" s="351">
        <f>'[3]Data Sheet'!$I$69</f>
        <v>690.48</v>
      </c>
    </row>
    <row r="43" spans="2:12">
      <c r="B43" t="s">
        <v>378</v>
      </c>
      <c r="E43" s="163">
        <f>('[4]Raw Data Bajaj Auto '!L15)</f>
        <v>124</v>
      </c>
    </row>
    <row r="44" spans="2:12">
      <c r="B44" s="350" t="s">
        <v>377</v>
      </c>
      <c r="C44" s="350"/>
      <c r="D44" s="350"/>
      <c r="E44" s="349">
        <f>E37+E42-E43</f>
        <v>12796.368686133206</v>
      </c>
    </row>
    <row r="45" spans="2:12">
      <c r="B45" s="191" t="s">
        <v>376</v>
      </c>
      <c r="C45" s="191"/>
      <c r="D45" s="191"/>
      <c r="E45" s="315">
        <f>'[3]Data Sheet'!$B$6</f>
        <v>27.925760722347629</v>
      </c>
    </row>
    <row r="46" spans="2:12">
      <c r="B46" s="348"/>
      <c r="C46" s="348"/>
      <c r="D46" s="348"/>
      <c r="E46" s="347"/>
      <c r="F46" s="191"/>
    </row>
    <row r="47" spans="2:12">
      <c r="B47" s="346" t="s">
        <v>375</v>
      </c>
      <c r="C47" s="346"/>
      <c r="D47" s="346"/>
      <c r="E47" s="345">
        <f>E44/E45</f>
        <v>458.22811465590246</v>
      </c>
    </row>
    <row r="48" spans="2:12">
      <c r="D48" s="191"/>
      <c r="E48" s="315"/>
    </row>
    <row r="49" spans="2:13">
      <c r="B49" t="s">
        <v>374</v>
      </c>
      <c r="E49" s="344">
        <v>8984</v>
      </c>
    </row>
    <row r="50" spans="2:13">
      <c r="B50" t="s">
        <v>373</v>
      </c>
      <c r="E50" s="343">
        <f>E49/E47-1</f>
        <v>18.605955445894804</v>
      </c>
    </row>
    <row r="51" spans="2:13">
      <c r="B51" s="273" t="s">
        <v>372</v>
      </c>
      <c r="C51" s="273"/>
      <c r="D51" s="273"/>
      <c r="E51" s="342">
        <f>E49/E47-1</f>
        <v>18.605955445894804</v>
      </c>
    </row>
    <row r="53" spans="2:13">
      <c r="B53" s="260"/>
      <c r="C53" s="260"/>
      <c r="D53" s="260"/>
      <c r="E53" s="260"/>
      <c r="F53" s="260"/>
      <c r="G53" s="260"/>
      <c r="H53" s="260"/>
      <c r="I53" s="260"/>
      <c r="J53" s="260"/>
      <c r="K53" s="260"/>
      <c r="L53" s="260"/>
      <c r="M53" s="260"/>
    </row>
    <row r="54" spans="2:13" ht="10.5" customHeight="1" thickBot="1">
      <c r="B54" s="193"/>
      <c r="C54" s="193"/>
      <c r="D54" s="193"/>
      <c r="E54" s="193"/>
      <c r="F54" s="193"/>
      <c r="G54" s="193"/>
      <c r="H54" s="193"/>
      <c r="I54" s="193"/>
      <c r="J54" s="193"/>
      <c r="K54" s="193"/>
      <c r="L54" s="193"/>
      <c r="M54" s="193"/>
    </row>
    <row r="55" spans="2:13" ht="15.75" thickTop="1"/>
  </sheetData>
  <printOptions horizontalCentered="1"/>
  <pageMargins left="0.75" right="0" top="0.75" bottom="0" header="0" footer="0"/>
  <pageSetup paperSize="8" orientation="portrait" r:id="rId1"/>
  <drawing r:id="rId2"/>
</worksheet>
</file>

<file path=xl/worksheets/sheet12.xml><?xml version="1.0" encoding="utf-8"?>
<worksheet xmlns="http://schemas.openxmlformats.org/spreadsheetml/2006/main" xmlns:r="http://schemas.openxmlformats.org/officeDocument/2006/relationships">
  <dimension ref="B1:N257"/>
  <sheetViews>
    <sheetView showGridLines="0" zoomScaleSheetLayoutView="80" workbookViewId="0">
      <selection activeCell="R12" sqref="R12"/>
    </sheetView>
  </sheetViews>
  <sheetFormatPr defaultRowHeight="15"/>
  <cols>
    <col min="1" max="1" width="2" customWidth="1"/>
    <col min="2" max="2" width="9.140625" hidden="1" customWidth="1"/>
    <col min="3" max="3" width="10.5703125" customWidth="1"/>
    <col min="4" max="4" width="12" customWidth="1"/>
    <col min="5" max="5" width="11.5703125" customWidth="1"/>
    <col min="6" max="6" width="13.28515625" customWidth="1"/>
    <col min="7" max="7" width="10.85546875" customWidth="1"/>
    <col min="8" max="8" width="17.28515625" customWidth="1"/>
    <col min="9" max="9" width="2" customWidth="1"/>
    <col min="10" max="10" width="12.5703125" customWidth="1"/>
    <col min="11" max="11" width="13" customWidth="1"/>
    <col min="12" max="12" width="11.140625" customWidth="1"/>
    <col min="13" max="15" width="12.7109375" customWidth="1"/>
  </cols>
  <sheetData>
    <row r="1" spans="3:14" ht="16.5" customHeight="1">
      <c r="C1" s="187" t="s">
        <v>0</v>
      </c>
      <c r="D1" s="187" t="s">
        <v>0</v>
      </c>
      <c r="E1" s="187" t="s">
        <v>0</v>
      </c>
      <c r="F1" s="187" t="s">
        <v>0</v>
      </c>
      <c r="G1" s="187" t="s">
        <v>0</v>
      </c>
      <c r="H1" s="187" t="s">
        <v>0</v>
      </c>
      <c r="I1" s="187" t="s">
        <v>0</v>
      </c>
      <c r="J1" s="187" t="s">
        <v>0</v>
      </c>
      <c r="K1" s="187" t="s">
        <v>0</v>
      </c>
      <c r="L1" s="187" t="s">
        <v>0</v>
      </c>
      <c r="M1" s="187" t="s">
        <v>0</v>
      </c>
      <c r="N1" s="187" t="s">
        <v>0</v>
      </c>
    </row>
    <row r="2" spans="3:14" ht="12" customHeight="1" thickBot="1">
      <c r="C2" s="193"/>
      <c r="D2" s="193"/>
      <c r="E2" s="193"/>
      <c r="F2" s="193"/>
      <c r="G2" s="193"/>
      <c r="H2" s="193"/>
      <c r="I2" s="193"/>
      <c r="J2" s="193"/>
      <c r="K2" s="191"/>
    </row>
    <row r="3" spans="3:14" ht="36" thickTop="1">
      <c r="C3" s="197" t="s">
        <v>205</v>
      </c>
      <c r="K3" s="196"/>
      <c r="L3" s="196"/>
      <c r="M3" s="196"/>
      <c r="N3" s="196"/>
    </row>
    <row r="4" spans="3:14">
      <c r="C4" s="192" t="s">
        <v>204</v>
      </c>
    </row>
    <row r="5" spans="3:14" ht="15.75" thickBot="1">
      <c r="C5" s="195"/>
      <c r="D5" s="193"/>
      <c r="E5" s="193"/>
      <c r="F5" s="193"/>
      <c r="G5" s="193"/>
      <c r="H5" s="193"/>
      <c r="I5" s="193"/>
      <c r="J5" s="194"/>
      <c r="K5" s="193"/>
      <c r="L5" s="193"/>
      <c r="M5" s="193"/>
      <c r="N5" s="193"/>
    </row>
    <row r="6" spans="3:14" ht="10.5" customHeight="1" thickTop="1">
      <c r="C6" s="192"/>
      <c r="D6" s="191"/>
      <c r="E6" s="191"/>
      <c r="F6" s="191"/>
      <c r="G6" s="191"/>
      <c r="H6" s="191"/>
      <c r="J6" s="190"/>
    </row>
    <row r="7" spans="3:14" ht="12" customHeight="1">
      <c r="C7" s="188"/>
      <c r="D7" s="188"/>
      <c r="E7" s="188"/>
      <c r="F7" s="188"/>
      <c r="G7" s="188"/>
      <c r="H7" s="188"/>
      <c r="I7" s="188"/>
      <c r="J7" s="189"/>
      <c r="K7" s="188"/>
      <c r="L7" s="187" t="s">
        <v>0</v>
      </c>
      <c r="M7" s="187" t="s">
        <v>0</v>
      </c>
      <c r="N7" s="187" t="s">
        <v>0</v>
      </c>
    </row>
    <row r="8" spans="3:14">
      <c r="C8" s="185"/>
      <c r="D8" s="185"/>
      <c r="E8" s="185"/>
      <c r="F8" s="185"/>
      <c r="G8" s="185"/>
      <c r="H8" s="185"/>
      <c r="I8" s="185"/>
      <c r="J8" s="186"/>
      <c r="K8" s="185"/>
      <c r="L8" s="184"/>
      <c r="M8" s="184"/>
      <c r="N8" s="184"/>
    </row>
    <row r="10" spans="3:14">
      <c r="C10" s="179" t="s">
        <v>203</v>
      </c>
      <c r="D10" s="179" t="s">
        <v>202</v>
      </c>
      <c r="E10" s="179" t="s">
        <v>201</v>
      </c>
      <c r="F10" s="179" t="s">
        <v>200</v>
      </c>
      <c r="G10" s="179" t="s">
        <v>199</v>
      </c>
      <c r="H10" s="179" t="s">
        <v>198</v>
      </c>
      <c r="J10" s="519" t="s">
        <v>197</v>
      </c>
      <c r="K10" s="519"/>
      <c r="L10" s="519"/>
      <c r="M10" s="519"/>
      <c r="N10" s="519"/>
    </row>
    <row r="11" spans="3:14">
      <c r="C11" s="183"/>
      <c r="D11" s="183"/>
      <c r="E11" s="183"/>
      <c r="F11" s="183"/>
      <c r="G11" s="183"/>
      <c r="H11" s="183"/>
      <c r="J11" s="182"/>
      <c r="K11" s="182"/>
      <c r="L11" s="182"/>
      <c r="M11" s="182"/>
      <c r="N11" s="182"/>
    </row>
    <row r="12" spans="3:14">
      <c r="C12" s="181"/>
      <c r="D12" s="181"/>
      <c r="E12" s="181"/>
      <c r="F12" s="181"/>
      <c r="G12" s="181"/>
      <c r="H12" s="181"/>
      <c r="I12" s="177"/>
      <c r="J12" s="180"/>
      <c r="K12" s="180"/>
      <c r="L12" s="180"/>
      <c r="M12" s="180"/>
      <c r="N12" s="180"/>
    </row>
    <row r="13" spans="3:14" s="177" customFormat="1">
      <c r="C13" s="164">
        <v>45219</v>
      </c>
      <c r="D13" s="163">
        <v>5482.6</v>
      </c>
      <c r="E13">
        <f t="shared" ref="E13:E76" si="0">(D13-D14)/D14</f>
        <v>6.8628788617093928E-2</v>
      </c>
      <c r="F13">
        <v>6.7193522015027207E-2</v>
      </c>
      <c r="G13">
        <v>1</v>
      </c>
      <c r="H13">
        <f t="shared" ref="H13:H76" ca="1" si="1">NORMINV(RAND(),N$15,N$16)</f>
        <v>-2.5377868208374715E-2</v>
      </c>
      <c r="I13"/>
      <c r="J13" s="179" t="s">
        <v>196</v>
      </c>
      <c r="K13" s="179"/>
      <c r="L13" s="178"/>
      <c r="M13" s="178"/>
      <c r="N13" s="178"/>
    </row>
    <row r="14" spans="3:14">
      <c r="C14" s="164">
        <v>45187</v>
      </c>
      <c r="D14" s="163">
        <v>5130.5</v>
      </c>
      <c r="E14">
        <f t="shared" si="0"/>
        <v>4.9160548864031331E-2</v>
      </c>
      <c r="F14">
        <v>5.903602022912581E-2</v>
      </c>
      <c r="G14">
        <v>2</v>
      </c>
      <c r="H14">
        <f t="shared" ca="1" si="1"/>
        <v>-2.109854725448378E-3</v>
      </c>
    </row>
    <row r="15" spans="3:14">
      <c r="C15" s="164">
        <v>45113</v>
      </c>
      <c r="D15" s="163">
        <v>4890.1000000000004</v>
      </c>
      <c r="E15">
        <f t="shared" si="0"/>
        <v>-0.35635406383678836</v>
      </c>
      <c r="F15">
        <v>5.7227483028494994E-2</v>
      </c>
      <c r="G15">
        <v>3</v>
      </c>
      <c r="H15">
        <f t="shared" ca="1" si="1"/>
        <v>1.4221930327059738E-2</v>
      </c>
      <c r="J15" s="174" t="s">
        <v>128</v>
      </c>
      <c r="K15" s="174"/>
      <c r="L15" s="174"/>
      <c r="M15" s="174"/>
      <c r="N15" s="167">
        <f>AVERAGE(F13:F256)</f>
        <v>3.5107949771490269E-3</v>
      </c>
    </row>
    <row r="16" spans="3:14">
      <c r="C16" s="164">
        <v>45320</v>
      </c>
      <c r="D16" s="163">
        <v>7597.5</v>
      </c>
      <c r="E16">
        <f t="shared" si="0"/>
        <v>8.745437629714449E-2</v>
      </c>
      <c r="F16">
        <v>5.3321132970095296E-2</v>
      </c>
      <c r="G16">
        <v>4</v>
      </c>
      <c r="H16">
        <f t="shared" ca="1" si="1"/>
        <v>8.6182275976673644E-3</v>
      </c>
      <c r="J16" s="174" t="s">
        <v>194</v>
      </c>
      <c r="K16" s="174"/>
      <c r="L16" s="174"/>
      <c r="M16" s="174"/>
      <c r="N16" s="167">
        <f>STDEV(F13:F256)</f>
        <v>1.4393421981236507E-2</v>
      </c>
    </row>
    <row r="17" spans="3:14">
      <c r="C17" s="164">
        <v>45295</v>
      </c>
      <c r="D17" s="163">
        <v>6986.5</v>
      </c>
      <c r="E17">
        <f t="shared" si="0"/>
        <v>4.1253707319254242E-2</v>
      </c>
      <c r="F17">
        <v>4.8221332013023005E-2</v>
      </c>
      <c r="G17">
        <v>5</v>
      </c>
      <c r="H17">
        <f t="shared" ca="1" si="1"/>
        <v>-4.9527598355126115E-4</v>
      </c>
      <c r="J17" s="174" t="s">
        <v>193</v>
      </c>
      <c r="K17" s="174"/>
      <c r="L17" s="174"/>
      <c r="M17" s="174"/>
      <c r="N17" s="167">
        <f>MIN(F13:F256)</f>
        <v>-3.4107978067336717E-2</v>
      </c>
    </row>
    <row r="18" spans="3:14">
      <c r="C18" s="164">
        <v>45288</v>
      </c>
      <c r="D18" s="163">
        <v>6709.7</v>
      </c>
      <c r="E18">
        <f t="shared" si="0"/>
        <v>-8.0724492731781478E-2</v>
      </c>
      <c r="F18">
        <v>3.7914178758159736E-2</v>
      </c>
      <c r="G18">
        <v>6</v>
      </c>
      <c r="H18">
        <f t="shared" ca="1" si="1"/>
        <v>-3.6452650037281124E-3</v>
      </c>
      <c r="J18" s="174" t="s">
        <v>192</v>
      </c>
      <c r="K18" s="174"/>
      <c r="L18" s="174"/>
      <c r="M18" s="174"/>
      <c r="N18" s="167">
        <f>MAX(F13:F256)</f>
        <v>6.7193522015027207E-2</v>
      </c>
    </row>
    <row r="19" spans="3:14">
      <c r="C19" s="164">
        <v>45303</v>
      </c>
      <c r="D19" s="163">
        <v>7298.9</v>
      </c>
      <c r="E19">
        <f t="shared" si="0"/>
        <v>-0.14115432135082667</v>
      </c>
      <c r="F19">
        <v>3.4747228444242738E-2</v>
      </c>
      <c r="G19">
        <v>7</v>
      </c>
      <c r="H19">
        <f t="shared" ca="1" si="1"/>
        <v>-1.5928789464338598E-2</v>
      </c>
      <c r="J19" s="174" t="s">
        <v>191</v>
      </c>
      <c r="K19" s="174"/>
      <c r="L19" s="174"/>
      <c r="M19" s="174"/>
      <c r="N19" s="173">
        <v>8890</v>
      </c>
    </row>
    <row r="20" spans="3:14">
      <c r="C20" s="164">
        <v>45345</v>
      </c>
      <c r="D20" s="163">
        <v>8498.5</v>
      </c>
      <c r="E20">
        <f t="shared" si="0"/>
        <v>-4.2864704756112711E-2</v>
      </c>
      <c r="F20">
        <v>3.233604217533384E-2</v>
      </c>
      <c r="G20">
        <v>8</v>
      </c>
      <c r="H20">
        <f t="shared" ca="1" si="1"/>
        <v>2.7763258297497867E-3</v>
      </c>
    </row>
    <row r="21" spans="3:14">
      <c r="C21" s="164">
        <v>45362</v>
      </c>
      <c r="D21" s="163">
        <v>8879.1</v>
      </c>
      <c r="E21">
        <f t="shared" si="0"/>
        <v>3.1757651816217099E-2</v>
      </c>
      <c r="F21">
        <v>3.1757651816217099E-2</v>
      </c>
      <c r="G21">
        <v>9</v>
      </c>
      <c r="H21">
        <f t="shared" ca="1" si="1"/>
        <v>1.5003798462901868E-2</v>
      </c>
      <c r="J21" s="176" t="s">
        <v>195</v>
      </c>
      <c r="K21" s="176"/>
      <c r="L21" s="175"/>
      <c r="M21" s="175"/>
      <c r="N21" s="175"/>
    </row>
    <row r="22" spans="3:14">
      <c r="C22" s="164">
        <v>45358</v>
      </c>
      <c r="D22" s="163">
        <v>8605.7999999999993</v>
      </c>
      <c r="E22">
        <f t="shared" si="0"/>
        <v>0.3309927772708291</v>
      </c>
      <c r="F22">
        <v>3.0412605665844493E-2</v>
      </c>
      <c r="G22">
        <v>10</v>
      </c>
      <c r="H22">
        <f t="shared" ca="1" si="1"/>
        <v>7.4066496893641174E-3</v>
      </c>
    </row>
    <row r="23" spans="3:14">
      <c r="C23" s="164">
        <v>45279</v>
      </c>
      <c r="D23" s="163">
        <v>6465.7</v>
      </c>
      <c r="E23">
        <f t="shared" si="0"/>
        <v>9.1202133225321863E-2</v>
      </c>
      <c r="F23">
        <v>3.035759816420194E-2</v>
      </c>
      <c r="G23">
        <v>11</v>
      </c>
      <c r="H23">
        <f t="shared" ca="1" si="1"/>
        <v>9.6230562916727047E-4</v>
      </c>
      <c r="J23" s="174" t="s">
        <v>128</v>
      </c>
      <c r="K23" s="174"/>
      <c r="L23" s="174"/>
      <c r="M23" s="174"/>
      <c r="N23" s="167">
        <f ca="1">AVERAGE(H13:H256)</f>
        <v>2.3533231837469522E-3</v>
      </c>
    </row>
    <row r="24" spans="3:14">
      <c r="C24" s="164">
        <v>45254</v>
      </c>
      <c r="D24" s="163">
        <v>5925.3</v>
      </c>
      <c r="E24">
        <f t="shared" si="0"/>
        <v>0.41841815483314998</v>
      </c>
      <c r="F24">
        <v>3.0200292092635059E-2</v>
      </c>
      <c r="G24">
        <v>12</v>
      </c>
      <c r="H24">
        <f t="shared" ca="1" si="1"/>
        <v>9.5137020601611735E-3</v>
      </c>
      <c r="J24" s="174" t="s">
        <v>194</v>
      </c>
      <c r="K24" s="174"/>
      <c r="L24" s="174"/>
      <c r="M24" s="174"/>
      <c r="N24" s="167">
        <f ca="1">STDEV(H13:H256)</f>
        <v>1.4310431804996042E-2</v>
      </c>
    </row>
    <row r="25" spans="3:14">
      <c r="C25" s="164">
        <v>45028</v>
      </c>
      <c r="D25" s="163">
        <v>4177.3999999999996</v>
      </c>
      <c r="E25">
        <f t="shared" si="0"/>
        <v>-0.10047372954349706</v>
      </c>
      <c r="F25">
        <v>2.8510931652550652E-2</v>
      </c>
      <c r="G25">
        <v>13</v>
      </c>
      <c r="H25">
        <f t="shared" ca="1" si="1"/>
        <v>1.2984464712046246E-2</v>
      </c>
      <c r="J25" s="174" t="s">
        <v>193</v>
      </c>
      <c r="K25" s="174"/>
      <c r="L25" s="174"/>
      <c r="M25" s="174"/>
      <c r="N25" s="167">
        <f ca="1">MIN(H13:H256)</f>
        <v>-3.4546371323067739E-2</v>
      </c>
    </row>
    <row r="26" spans="3:14">
      <c r="C26" s="164">
        <v>45072</v>
      </c>
      <c r="D26" s="163">
        <v>4644</v>
      </c>
      <c r="E26">
        <f t="shared" si="0"/>
        <v>8.3527764815678959E-2</v>
      </c>
      <c r="F26">
        <v>2.7979458119355326E-2</v>
      </c>
      <c r="G26">
        <v>14</v>
      </c>
      <c r="H26">
        <f t="shared" ca="1" si="1"/>
        <v>4.6537302477347116E-2</v>
      </c>
      <c r="J26" s="174" t="s">
        <v>192</v>
      </c>
      <c r="K26" s="174"/>
      <c r="L26" s="174"/>
      <c r="M26" s="174"/>
      <c r="N26" s="167">
        <f ca="1">MAX(H13:H256)</f>
        <v>4.6537302477347116E-2</v>
      </c>
    </row>
    <row r="27" spans="3:14">
      <c r="C27" s="164">
        <v>45029</v>
      </c>
      <c r="D27" s="163">
        <v>4286</v>
      </c>
      <c r="E27">
        <f t="shared" si="0"/>
        <v>-0.30889917280745599</v>
      </c>
      <c r="F27">
        <v>2.599703164647876E-2</v>
      </c>
      <c r="G27">
        <v>15</v>
      </c>
      <c r="H27">
        <f t="shared" ca="1" si="1"/>
        <v>-1.061653744078184E-2</v>
      </c>
      <c r="J27" s="174" t="s">
        <v>191</v>
      </c>
      <c r="K27" s="174"/>
      <c r="L27" s="174"/>
      <c r="M27" s="174"/>
      <c r="N27" s="173">
        <v>8890</v>
      </c>
    </row>
    <row r="28" spans="3:14">
      <c r="C28" s="164">
        <v>45265</v>
      </c>
      <c r="D28" s="163">
        <v>6201.7</v>
      </c>
      <c r="E28">
        <f t="shared" si="0"/>
        <v>0.40685540583458102</v>
      </c>
      <c r="F28">
        <v>2.5735598154181943E-2</v>
      </c>
      <c r="G28">
        <v>16</v>
      </c>
      <c r="H28">
        <f t="shared" ca="1" si="1"/>
        <v>6.8914488341716134E-3</v>
      </c>
    </row>
    <row r="29" spans="3:14">
      <c r="C29" s="164">
        <v>45044</v>
      </c>
      <c r="D29" s="163">
        <v>4408.2</v>
      </c>
      <c r="E29">
        <f t="shared" si="0"/>
        <v>-0.4704928469327696</v>
      </c>
      <c r="F29">
        <v>2.5401256106071139E-2</v>
      </c>
      <c r="G29">
        <v>17</v>
      </c>
      <c r="H29">
        <f t="shared" ca="1" si="1"/>
        <v>-2.8575425498559388E-4</v>
      </c>
      <c r="J29" s="172" t="s">
        <v>190</v>
      </c>
      <c r="K29" s="172" t="s">
        <v>189</v>
      </c>
      <c r="L29" s="172" t="s">
        <v>188</v>
      </c>
      <c r="M29" s="172" t="s">
        <v>187</v>
      </c>
      <c r="N29" s="172" t="s">
        <v>186</v>
      </c>
    </row>
    <row r="30" spans="3:14">
      <c r="C30" s="164">
        <v>45341</v>
      </c>
      <c r="D30" s="163">
        <v>8325.1</v>
      </c>
      <c r="E30">
        <f t="shared" si="0"/>
        <v>-9.1394270122783047E-2</v>
      </c>
      <c r="F30">
        <v>2.4867353596533342E-2</v>
      </c>
      <c r="G30">
        <v>18</v>
      </c>
      <c r="H30">
        <f t="shared" ca="1" si="1"/>
        <v>5.0452918610607925E-3</v>
      </c>
      <c r="J30" s="171"/>
      <c r="K30" s="171"/>
      <c r="L30" s="171"/>
      <c r="M30" s="171"/>
      <c r="N30" s="171"/>
    </row>
    <row r="31" spans="3:14">
      <c r="C31" s="164">
        <v>45379</v>
      </c>
      <c r="D31" s="163">
        <v>9162.5</v>
      </c>
      <c r="E31">
        <f t="shared" si="0"/>
        <v>2.4280907292097611E-2</v>
      </c>
      <c r="F31">
        <v>2.2531973305358974E-2</v>
      </c>
      <c r="G31">
        <v>19</v>
      </c>
      <c r="H31">
        <f t="shared" ca="1" si="1"/>
        <v>6.9048845887337493E-3</v>
      </c>
      <c r="J31" s="169">
        <f>100%-K31</f>
        <v>0.95</v>
      </c>
      <c r="K31" s="168">
        <v>0.05</v>
      </c>
      <c r="L31" s="167">
        <f>PERCENTILE(F$13:$F$256,K31)</f>
        <v>-1.6841702613501999E-2</v>
      </c>
      <c r="M31" s="166">
        <f>N$19*(1-L31)</f>
        <v>9039.7227362340327</v>
      </c>
      <c r="N31" s="165">
        <f>$N$19-M31</f>
        <v>-149.72273623403271</v>
      </c>
    </row>
    <row r="32" spans="3:14">
      <c r="C32" s="164">
        <v>45377</v>
      </c>
      <c r="D32" s="163">
        <v>8945.2999999999993</v>
      </c>
      <c r="E32">
        <f t="shared" si="0"/>
        <v>5.1188643547950989E-2</v>
      </c>
      <c r="F32">
        <v>2.2249902863803499E-2</v>
      </c>
      <c r="G32">
        <v>20</v>
      </c>
      <c r="H32">
        <f t="shared" ca="1" si="1"/>
        <v>1.6142869364137585E-2</v>
      </c>
      <c r="J32" s="169">
        <f>100%-K32</f>
        <v>0.99</v>
      </c>
      <c r="K32" s="168">
        <v>0.01</v>
      </c>
      <c r="L32" s="167">
        <f>PERCENTILE(F$13:$F$256,K32)</f>
        <v>-2.5007426015852562E-2</v>
      </c>
      <c r="M32" s="166">
        <f>N$19*(1-L32)</f>
        <v>9112.3160172809294</v>
      </c>
      <c r="N32" s="165">
        <f>$N$19-M32</f>
        <v>-222.31601728092937</v>
      </c>
    </row>
    <row r="33" spans="3:14">
      <c r="C33" s="164">
        <v>45342</v>
      </c>
      <c r="D33" s="163">
        <v>8509.7000000000007</v>
      </c>
      <c r="E33">
        <f t="shared" si="0"/>
        <v>0.5836124758076523</v>
      </c>
      <c r="F33">
        <v>2.2173907820927118E-2</v>
      </c>
      <c r="G33">
        <v>21</v>
      </c>
      <c r="H33">
        <f t="shared" ca="1" si="1"/>
        <v>4.9924214795516392E-3</v>
      </c>
      <c r="J33" s="169">
        <f>100%-K33</f>
        <v>0.995</v>
      </c>
      <c r="K33" s="170">
        <v>5.0000000000000001E-3</v>
      </c>
      <c r="L33" s="167">
        <f>PERCENTILE(F$13:$F$256,K33)</f>
        <v>-3.0907440603443755E-2</v>
      </c>
      <c r="M33" s="166">
        <f>N$19*(1-L33)</f>
        <v>9164.7671469646157</v>
      </c>
      <c r="N33" s="165">
        <f>$N$19-M33</f>
        <v>-274.76714696461568</v>
      </c>
    </row>
    <row r="34" spans="3:14">
      <c r="C34" s="164">
        <v>45229</v>
      </c>
      <c r="D34" s="163">
        <v>5373.6</v>
      </c>
      <c r="E34">
        <f t="shared" si="0"/>
        <v>0.13936772469944664</v>
      </c>
      <c r="F34">
        <v>2.1713503441457341E-2</v>
      </c>
      <c r="G34">
        <v>22</v>
      </c>
      <c r="H34">
        <f t="shared" ca="1" si="1"/>
        <v>7.6957287765362335E-3</v>
      </c>
      <c r="J34" s="169">
        <f>100%-K34</f>
        <v>0.9</v>
      </c>
      <c r="K34" s="168">
        <v>0.1</v>
      </c>
      <c r="L34" s="167">
        <f>PERCENTILE(F$13:$F$256,K34)</f>
        <v>-1.1021351801698649E-2</v>
      </c>
      <c r="M34" s="166">
        <f>N$19*(1-L34)</f>
        <v>8987.9798175170999</v>
      </c>
      <c r="N34" s="165">
        <f>$N$19-M34</f>
        <v>-97.979817517099946</v>
      </c>
    </row>
    <row r="35" spans="3:14">
      <c r="C35" s="164">
        <v>45107</v>
      </c>
      <c r="D35" s="163">
        <v>4716.3</v>
      </c>
      <c r="E35">
        <f t="shared" si="0"/>
        <v>-0.41653780015587694</v>
      </c>
      <c r="F35">
        <v>2.1264156254736755E-2</v>
      </c>
      <c r="G35">
        <v>23</v>
      </c>
      <c r="H35">
        <f t="shared" ca="1" si="1"/>
        <v>2.6506801630466143E-4</v>
      </c>
    </row>
    <row r="36" spans="3:14">
      <c r="C36" s="164">
        <v>45337</v>
      </c>
      <c r="D36" s="163">
        <v>8083.3</v>
      </c>
      <c r="E36">
        <f t="shared" si="0"/>
        <v>-1.5108500968649751E-2</v>
      </c>
      <c r="F36">
        <v>2.0953848485614036E-2</v>
      </c>
      <c r="G36">
        <v>24</v>
      </c>
      <c r="H36">
        <f t="shared" ca="1" si="1"/>
        <v>6.779378207765919E-3</v>
      </c>
    </row>
    <row r="37" spans="3:14">
      <c r="C37" s="164">
        <v>45356</v>
      </c>
      <c r="D37" s="163">
        <v>8207.2999999999993</v>
      </c>
      <c r="E37">
        <f t="shared" si="0"/>
        <v>0.48234507919880065</v>
      </c>
      <c r="F37">
        <v>2.0643428301393939E-2</v>
      </c>
      <c r="G37">
        <v>25</v>
      </c>
      <c r="H37">
        <f t="shared" ca="1" si="1"/>
        <v>2.4418151418722594E-2</v>
      </c>
    </row>
    <row r="38" spans="3:14">
      <c r="C38" s="164">
        <v>45246</v>
      </c>
      <c r="D38" s="163">
        <v>5536.7</v>
      </c>
      <c r="E38">
        <f t="shared" si="0"/>
        <v>-0.35028984486845499</v>
      </c>
      <c r="F38">
        <v>2.0552237705522378E-2</v>
      </c>
      <c r="G38">
        <v>26</v>
      </c>
      <c r="H38">
        <f t="shared" ca="1" si="1"/>
        <v>1.9296061263641247E-2</v>
      </c>
    </row>
    <row r="39" spans="3:14">
      <c r="C39" s="164">
        <v>45370</v>
      </c>
      <c r="D39" s="163">
        <v>8521.7999999999993</v>
      </c>
      <c r="E39">
        <f t="shared" si="0"/>
        <v>0.33736130945842013</v>
      </c>
      <c r="F39">
        <v>2.0489300298178421E-2</v>
      </c>
      <c r="G39">
        <v>27</v>
      </c>
      <c r="H39">
        <f t="shared" ca="1" si="1"/>
        <v>-4.2278394388704623E-3</v>
      </c>
    </row>
    <row r="40" spans="3:14">
      <c r="C40" s="164">
        <v>45286</v>
      </c>
      <c r="D40" s="163">
        <v>6372.1</v>
      </c>
      <c r="E40">
        <f t="shared" si="0"/>
        <v>0.40067702723495924</v>
      </c>
      <c r="F40">
        <v>2.0123591188524709E-2</v>
      </c>
      <c r="G40">
        <v>28</v>
      </c>
      <c r="H40">
        <f t="shared" ca="1" si="1"/>
        <v>-1.1149431805264325E-3</v>
      </c>
    </row>
    <row r="41" spans="3:14">
      <c r="C41" s="164">
        <v>45055</v>
      </c>
      <c r="D41" s="163">
        <v>4549.3</v>
      </c>
      <c r="E41">
        <f t="shared" si="0"/>
        <v>-0.27260081225416516</v>
      </c>
      <c r="F41">
        <v>1.931392977974946E-2</v>
      </c>
      <c r="G41">
        <v>29</v>
      </c>
      <c r="H41">
        <f t="shared" ca="1" si="1"/>
        <v>1.2467403731768866E-2</v>
      </c>
    </row>
    <row r="42" spans="3:14">
      <c r="C42" s="164">
        <v>45273</v>
      </c>
      <c r="D42" s="163">
        <v>6254.2</v>
      </c>
      <c r="E42">
        <f t="shared" si="0"/>
        <v>0.24806928618466992</v>
      </c>
      <c r="F42">
        <v>1.8864850775446401E-2</v>
      </c>
      <c r="G42">
        <v>30</v>
      </c>
      <c r="H42">
        <f t="shared" ca="1" si="1"/>
        <v>2.13517677143396E-3</v>
      </c>
    </row>
    <row r="43" spans="3:14">
      <c r="C43" s="164">
        <v>45205</v>
      </c>
      <c r="D43" s="163">
        <v>5011.1000000000004</v>
      </c>
      <c r="E43">
        <f t="shared" si="0"/>
        <v>-0.39999760530664041</v>
      </c>
      <c r="F43">
        <v>1.8806164355710975E-2</v>
      </c>
      <c r="G43">
        <v>31</v>
      </c>
      <c r="H43">
        <f t="shared" ca="1" si="1"/>
        <v>2.0384952190984809E-2</v>
      </c>
    </row>
    <row r="44" spans="3:14">
      <c r="C44" s="164">
        <v>45357</v>
      </c>
      <c r="D44" s="163">
        <v>8351.7999999999993</v>
      </c>
      <c r="E44">
        <f t="shared" si="0"/>
        <v>0.79856146093548075</v>
      </c>
      <c r="F44">
        <v>1.7606277338466977E-2</v>
      </c>
      <c r="G44">
        <v>32</v>
      </c>
      <c r="H44">
        <f t="shared" ca="1" si="1"/>
        <v>-1.4306486427942827E-3</v>
      </c>
    </row>
    <row r="45" spans="3:14">
      <c r="C45" s="164">
        <v>45079</v>
      </c>
      <c r="D45" s="163">
        <v>4643.6000000000004</v>
      </c>
      <c r="E45">
        <f t="shared" si="0"/>
        <v>-0.42244499446524297</v>
      </c>
      <c r="F45">
        <v>1.6727973375372341E-2</v>
      </c>
      <c r="G45">
        <v>33</v>
      </c>
      <c r="H45">
        <f t="shared" ca="1" si="1"/>
        <v>-1.2246333969397668E-2</v>
      </c>
    </row>
    <row r="46" spans="3:14">
      <c r="C46" s="164">
        <v>45353</v>
      </c>
      <c r="D46" s="163">
        <v>8040.1</v>
      </c>
      <c r="E46">
        <f t="shared" si="0"/>
        <v>0.11468341443802088</v>
      </c>
      <c r="F46">
        <v>1.6524641565732006E-2</v>
      </c>
      <c r="G46">
        <v>34</v>
      </c>
      <c r="H46">
        <f t="shared" ca="1" si="1"/>
        <v>2.3957134191528095E-3</v>
      </c>
    </row>
    <row r="47" spans="3:14">
      <c r="C47" s="164">
        <v>45316</v>
      </c>
      <c r="D47" s="163">
        <v>7212.9</v>
      </c>
      <c r="E47">
        <f t="shared" si="0"/>
        <v>1.6774975683333568E-2</v>
      </c>
      <c r="F47">
        <v>1.6488394706802519E-2</v>
      </c>
      <c r="G47">
        <v>35</v>
      </c>
      <c r="H47">
        <f t="shared" ca="1" si="1"/>
        <v>7.6070149297618678E-3</v>
      </c>
    </row>
    <row r="48" spans="3:14">
      <c r="C48" s="164">
        <v>45301</v>
      </c>
      <c r="D48" s="163">
        <v>7093.9</v>
      </c>
      <c r="E48">
        <f t="shared" si="0"/>
        <v>0.57712316585148948</v>
      </c>
      <c r="F48">
        <v>1.5750511891636478E-2</v>
      </c>
      <c r="G48">
        <v>36</v>
      </c>
      <c r="H48">
        <f t="shared" ca="1" si="1"/>
        <v>-1.5834659410506036E-2</v>
      </c>
    </row>
    <row r="49" spans="3:8">
      <c r="C49" s="164">
        <v>45049</v>
      </c>
      <c r="D49" s="163">
        <v>4498</v>
      </c>
      <c r="E49">
        <f t="shared" si="0"/>
        <v>-0.20127852259611115</v>
      </c>
      <c r="F49">
        <v>1.4891696750902527E-2</v>
      </c>
      <c r="G49">
        <v>37</v>
      </c>
      <c r="H49">
        <f t="shared" ca="1" si="1"/>
        <v>1.9001925919797779E-2</v>
      </c>
    </row>
    <row r="50" spans="3:8">
      <c r="C50" s="164">
        <v>45250</v>
      </c>
      <c r="D50" s="163">
        <v>5631.5</v>
      </c>
      <c r="E50">
        <f t="shared" si="0"/>
        <v>-0.12887108251090559</v>
      </c>
      <c r="F50">
        <v>1.4520167900700853E-2</v>
      </c>
      <c r="G50">
        <v>38</v>
      </c>
      <c r="H50">
        <f t="shared" ca="1" si="1"/>
        <v>9.2114738331319779E-3</v>
      </c>
    </row>
    <row r="51" spans="3:8">
      <c r="C51" s="164">
        <v>45287</v>
      </c>
      <c r="D51" s="163">
        <v>6464.6</v>
      </c>
      <c r="E51">
        <f t="shared" si="0"/>
        <v>0.38665808665808676</v>
      </c>
      <c r="F51">
        <v>1.4516407463787448E-2</v>
      </c>
      <c r="G51">
        <v>39</v>
      </c>
      <c r="H51">
        <f t="shared" ca="1" si="1"/>
        <v>-7.1090535873567897E-3</v>
      </c>
    </row>
    <row r="52" spans="3:8">
      <c r="C52" s="164">
        <v>45098</v>
      </c>
      <c r="D52" s="163">
        <v>4662</v>
      </c>
      <c r="E52">
        <f t="shared" si="0"/>
        <v>-0.31413943771791741</v>
      </c>
      <c r="F52">
        <v>1.4051420368034187E-2</v>
      </c>
      <c r="G52">
        <v>40</v>
      </c>
      <c r="H52">
        <f t="shared" ca="1" si="1"/>
        <v>-3.9186200106101823E-3</v>
      </c>
    </row>
    <row r="53" spans="3:8">
      <c r="C53" s="164">
        <v>45292</v>
      </c>
      <c r="D53" s="163">
        <v>6797.3</v>
      </c>
      <c r="E53">
        <f t="shared" si="0"/>
        <v>0.45720962140376448</v>
      </c>
      <c r="F53">
        <v>1.4022943923142333E-2</v>
      </c>
      <c r="G53">
        <v>41</v>
      </c>
      <c r="H53">
        <f t="shared" ca="1" si="1"/>
        <v>5.2979096975569167E-3</v>
      </c>
    </row>
    <row r="54" spans="3:8">
      <c r="C54" s="164">
        <v>45168</v>
      </c>
      <c r="D54" s="163">
        <v>4664.6000000000004</v>
      </c>
      <c r="E54">
        <f t="shared" si="0"/>
        <v>-0.4601282377722738</v>
      </c>
      <c r="F54">
        <v>1.3933268123030184E-2</v>
      </c>
      <c r="G54">
        <v>42</v>
      </c>
      <c r="H54">
        <f t="shared" ca="1" si="1"/>
        <v>-4.5269739351905718E-3</v>
      </c>
    </row>
    <row r="55" spans="3:8">
      <c r="C55" s="164">
        <v>45371</v>
      </c>
      <c r="D55" s="163">
        <v>8640.2000000000007</v>
      </c>
      <c r="E55">
        <f t="shared" si="0"/>
        <v>0.83771482048664281</v>
      </c>
      <c r="F55">
        <v>1.3893778309746939E-2</v>
      </c>
      <c r="G55">
        <v>43</v>
      </c>
      <c r="H55">
        <f t="shared" ca="1" si="1"/>
        <v>-1.3574562096746734E-2</v>
      </c>
    </row>
    <row r="56" spans="3:8">
      <c r="C56" s="164">
        <v>45175</v>
      </c>
      <c r="D56" s="163">
        <v>4701.6000000000004</v>
      </c>
      <c r="E56">
        <f t="shared" si="0"/>
        <v>0.10216137652960762</v>
      </c>
      <c r="F56">
        <v>1.388769084792559E-2</v>
      </c>
      <c r="G56">
        <v>44</v>
      </c>
      <c r="H56">
        <f t="shared" ca="1" si="1"/>
        <v>-1.6091731226454922E-2</v>
      </c>
    </row>
    <row r="57" spans="3:8">
      <c r="C57" s="164">
        <v>45036</v>
      </c>
      <c r="D57" s="163">
        <v>4265.8</v>
      </c>
      <c r="E57">
        <f t="shared" si="0"/>
        <v>-0.44365903281339664</v>
      </c>
      <c r="F57">
        <v>1.3422659349535552E-2</v>
      </c>
      <c r="G57">
        <v>45</v>
      </c>
      <c r="H57">
        <f t="shared" ca="1" si="1"/>
        <v>1.4417482463405067E-2</v>
      </c>
    </row>
    <row r="58" spans="3:8">
      <c r="C58" s="164">
        <v>45323</v>
      </c>
      <c r="D58" s="163">
        <v>7667.6</v>
      </c>
      <c r="E58">
        <f t="shared" si="0"/>
        <v>-0.12376294196969351</v>
      </c>
      <c r="F58">
        <v>1.337492070205127E-2</v>
      </c>
      <c r="G58">
        <v>46</v>
      </c>
      <c r="H58">
        <f t="shared" ca="1" si="1"/>
        <v>2.2081043607111656E-3</v>
      </c>
    </row>
    <row r="59" spans="3:8">
      <c r="C59" s="164">
        <v>45373</v>
      </c>
      <c r="D59" s="163">
        <v>8750.6</v>
      </c>
      <c r="E59">
        <f t="shared" si="0"/>
        <v>0.78656594528378942</v>
      </c>
      <c r="F59">
        <v>1.3316966973921904E-2</v>
      </c>
      <c r="G59">
        <v>47</v>
      </c>
      <c r="H59">
        <f t="shared" ca="1" si="1"/>
        <v>-3.4546371323067739E-2</v>
      </c>
    </row>
    <row r="60" spans="3:8">
      <c r="C60" s="164">
        <v>45118</v>
      </c>
      <c r="D60" s="163">
        <v>4898</v>
      </c>
      <c r="E60">
        <f t="shared" si="0"/>
        <v>-3.3772587390515231E-2</v>
      </c>
      <c r="F60">
        <v>1.3239553165080678E-2</v>
      </c>
      <c r="G60">
        <v>48</v>
      </c>
      <c r="H60">
        <f t="shared" ca="1" si="1"/>
        <v>1.2639307527623371E-2</v>
      </c>
    </row>
    <row r="61" spans="3:8">
      <c r="C61" s="164">
        <v>45196</v>
      </c>
      <c r="D61" s="163">
        <v>5069.2</v>
      </c>
      <c r="E61">
        <f t="shared" si="0"/>
        <v>-1.4023690506292253E-2</v>
      </c>
      <c r="F61">
        <v>1.2726001398461655E-2</v>
      </c>
      <c r="G61">
        <v>49</v>
      </c>
      <c r="H61">
        <f t="shared" ca="1" si="1"/>
        <v>1.214554307192493E-2</v>
      </c>
    </row>
    <row r="62" spans="3:8">
      <c r="C62" s="164">
        <v>45217</v>
      </c>
      <c r="D62" s="163">
        <v>5141.3</v>
      </c>
      <c r="E62">
        <f t="shared" si="0"/>
        <v>0.10378067369415414</v>
      </c>
      <c r="F62">
        <v>1.2724801544310353E-2</v>
      </c>
      <c r="G62">
        <v>50</v>
      </c>
      <c r="H62">
        <f t="shared" ca="1" si="1"/>
        <v>-2.3559414846409613E-2</v>
      </c>
    </row>
    <row r="63" spans="3:8">
      <c r="C63" s="164">
        <v>45156</v>
      </c>
      <c r="D63" s="163">
        <v>4657.8999999999996</v>
      </c>
      <c r="E63">
        <f t="shared" si="0"/>
        <v>-0.23263591433278424</v>
      </c>
      <c r="F63">
        <v>1.2454897187323233E-2</v>
      </c>
      <c r="G63">
        <v>51</v>
      </c>
      <c r="H63">
        <f t="shared" ca="1" si="1"/>
        <v>-1.794529278767918E-2</v>
      </c>
    </row>
    <row r="64" spans="3:8">
      <c r="C64" s="164">
        <v>45260</v>
      </c>
      <c r="D64" s="163">
        <v>6070</v>
      </c>
      <c r="E64">
        <f t="shared" si="0"/>
        <v>0.30020349148548786</v>
      </c>
      <c r="F64">
        <v>1.1970257743989894E-2</v>
      </c>
      <c r="G64">
        <v>52</v>
      </c>
      <c r="H64">
        <f t="shared" ca="1" si="1"/>
        <v>-1.0411200180208764E-2</v>
      </c>
    </row>
    <row r="65" spans="3:8">
      <c r="C65" s="164">
        <v>45173</v>
      </c>
      <c r="D65" s="163">
        <v>4668.5</v>
      </c>
      <c r="E65">
        <f t="shared" si="0"/>
        <v>-0.18831281730301139</v>
      </c>
      <c r="F65">
        <v>1.1855737136416796E-2</v>
      </c>
      <c r="G65">
        <v>53</v>
      </c>
      <c r="H65">
        <f t="shared" ca="1" si="1"/>
        <v>1.7676475645993259E-2</v>
      </c>
    </row>
    <row r="66" spans="3:8">
      <c r="C66" s="164">
        <v>45253</v>
      </c>
      <c r="D66" s="163">
        <v>5751.6</v>
      </c>
      <c r="E66">
        <f t="shared" si="0"/>
        <v>0.20306224899598396</v>
      </c>
      <c r="F66">
        <v>1.1537108688005691E-2</v>
      </c>
      <c r="G66">
        <v>54</v>
      </c>
      <c r="H66">
        <f t="shared" ca="1" si="1"/>
        <v>-3.2186374449457329E-2</v>
      </c>
    </row>
    <row r="67" spans="3:8">
      <c r="C67" s="164">
        <v>45085</v>
      </c>
      <c r="D67" s="163">
        <v>4780.8</v>
      </c>
      <c r="E67">
        <f t="shared" si="0"/>
        <v>-0.2029608882664799</v>
      </c>
      <c r="F67">
        <v>1.1531218923893955E-2</v>
      </c>
      <c r="G67">
        <v>55</v>
      </c>
      <c r="H67">
        <f t="shared" ca="1" si="1"/>
        <v>-1.663198028607837E-2</v>
      </c>
    </row>
    <row r="68" spans="3:8">
      <c r="C68" s="164">
        <v>45259</v>
      </c>
      <c r="D68" s="163">
        <v>5998.2</v>
      </c>
      <c r="E68">
        <f t="shared" si="0"/>
        <v>0.1845488476805498</v>
      </c>
      <c r="F68">
        <v>1.1449673709593045E-2</v>
      </c>
      <c r="G68">
        <v>56</v>
      </c>
      <c r="H68">
        <f t="shared" ca="1" si="1"/>
        <v>9.288939770199952E-3</v>
      </c>
    </row>
    <row r="69" spans="3:8">
      <c r="C69" s="164">
        <v>45202</v>
      </c>
      <c r="D69" s="163">
        <v>5063.7</v>
      </c>
      <c r="E69">
        <f t="shared" si="0"/>
        <v>0.1736742073057668</v>
      </c>
      <c r="F69">
        <v>1.1404945471976881E-2</v>
      </c>
      <c r="G69">
        <v>57</v>
      </c>
      <c r="H69">
        <f t="shared" ca="1" si="1"/>
        <v>3.6032552018513457E-2</v>
      </c>
    </row>
    <row r="70" spans="3:8">
      <c r="C70" s="164">
        <v>45037</v>
      </c>
      <c r="D70" s="163">
        <v>4314.3999999999996</v>
      </c>
      <c r="E70">
        <f t="shared" si="0"/>
        <v>-0.45507363528431055</v>
      </c>
      <c r="F70">
        <v>1.1392939190772998E-2</v>
      </c>
      <c r="G70">
        <v>58</v>
      </c>
      <c r="H70">
        <f t="shared" ca="1" si="1"/>
        <v>3.7175523975033634E-3</v>
      </c>
    </row>
    <row r="71" spans="3:8">
      <c r="C71" s="164">
        <v>45336</v>
      </c>
      <c r="D71" s="163">
        <v>7917.4</v>
      </c>
      <c r="E71">
        <f t="shared" si="0"/>
        <v>2.3157840324623275E-2</v>
      </c>
      <c r="F71">
        <v>1.1162196679438012E-2</v>
      </c>
      <c r="G71">
        <v>59</v>
      </c>
      <c r="H71">
        <f t="shared" ca="1" si="1"/>
        <v>-1.9625823537902281E-3</v>
      </c>
    </row>
    <row r="72" spans="3:8">
      <c r="C72" s="164">
        <v>45327</v>
      </c>
      <c r="D72" s="163">
        <v>7738.2</v>
      </c>
      <c r="E72">
        <f t="shared" si="0"/>
        <v>0.26062166036752255</v>
      </c>
      <c r="F72">
        <v>1.0763081585203328E-2</v>
      </c>
      <c r="G72">
        <v>60</v>
      </c>
      <c r="H72">
        <f t="shared" ca="1" si="1"/>
        <v>1.5516404827603227E-2</v>
      </c>
    </row>
    <row r="73" spans="3:8">
      <c r="C73" s="164">
        <v>45272</v>
      </c>
      <c r="D73" s="163">
        <v>6138.4</v>
      </c>
      <c r="E73">
        <f t="shared" si="0"/>
        <v>-2.8134450056205684E-2</v>
      </c>
      <c r="F73">
        <v>1.0319798541731788E-2</v>
      </c>
      <c r="G73">
        <v>61</v>
      </c>
      <c r="H73">
        <f t="shared" ca="1" si="1"/>
        <v>-9.4174168820210825E-3</v>
      </c>
    </row>
    <row r="74" spans="3:8">
      <c r="C74" s="164">
        <v>45274</v>
      </c>
      <c r="D74" s="163">
        <v>6316.1</v>
      </c>
      <c r="E74">
        <f t="shared" si="0"/>
        <v>0.31410203062583242</v>
      </c>
      <c r="F74">
        <v>9.8973489814845293E-3</v>
      </c>
      <c r="G74">
        <v>62</v>
      </c>
      <c r="H74">
        <f t="shared" ca="1" si="1"/>
        <v>2.5390720655354936E-3</v>
      </c>
    </row>
    <row r="75" spans="3:8">
      <c r="C75" s="164">
        <v>45181</v>
      </c>
      <c r="D75" s="163">
        <v>4806.3999999999996</v>
      </c>
      <c r="E75">
        <f t="shared" si="0"/>
        <v>-0.10478673868504383</v>
      </c>
      <c r="F75">
        <v>9.8327590553826515E-3</v>
      </c>
      <c r="G75">
        <v>63</v>
      </c>
      <c r="H75">
        <f t="shared" ca="1" si="1"/>
        <v>5.1132277926808183E-3</v>
      </c>
    </row>
    <row r="76" spans="3:8">
      <c r="C76" s="164">
        <v>45236</v>
      </c>
      <c r="D76" s="163">
        <v>5369</v>
      </c>
      <c r="E76">
        <f t="shared" si="0"/>
        <v>-1.3522948590747135E-2</v>
      </c>
      <c r="F76">
        <v>9.5141395908544622E-3</v>
      </c>
      <c r="G76">
        <v>64</v>
      </c>
      <c r="H76">
        <f t="shared" ca="1" si="1"/>
        <v>-1.579015057954173E-2</v>
      </c>
    </row>
    <row r="77" spans="3:8">
      <c r="C77" s="164">
        <v>45243</v>
      </c>
      <c r="D77" s="163">
        <v>5442.6</v>
      </c>
      <c r="E77">
        <f t="shared" ref="E77:E140" si="2">(D77-D78)/D78</f>
        <v>0.11787540821985347</v>
      </c>
      <c r="F77">
        <v>9.3655533094712633E-3</v>
      </c>
      <c r="G77">
        <v>65</v>
      </c>
      <c r="H77">
        <f t="shared" ref="H77:H140" ca="1" si="3">NORMINV(RAND(),N$15,N$16)</f>
        <v>4.4119599609518272E-2</v>
      </c>
    </row>
    <row r="78" spans="3:8">
      <c r="C78" s="164">
        <v>45128</v>
      </c>
      <c r="D78" s="163">
        <v>4868.7</v>
      </c>
      <c r="E78">
        <f t="shared" si="2"/>
        <v>-5.9497363185040668E-2</v>
      </c>
      <c r="F78">
        <v>9.3289383668138572E-3</v>
      </c>
      <c r="G78">
        <v>66</v>
      </c>
      <c r="H78">
        <f t="shared" ca="1" si="3"/>
        <v>9.4477868283998866E-3</v>
      </c>
    </row>
    <row r="79" spans="3:8">
      <c r="C79" s="164">
        <v>45189</v>
      </c>
      <c r="D79" s="163">
        <v>5176.7</v>
      </c>
      <c r="E79">
        <f t="shared" si="2"/>
        <v>8.7633414572653043E-2</v>
      </c>
      <c r="F79">
        <v>9.0049702758015441E-3</v>
      </c>
      <c r="G79">
        <v>67</v>
      </c>
      <c r="H79">
        <f t="shared" ca="1" si="3"/>
        <v>-5.8723430507736747E-3</v>
      </c>
    </row>
    <row r="80" spans="3:8">
      <c r="C80" s="164">
        <v>45180</v>
      </c>
      <c r="D80" s="163">
        <v>4759.6000000000004</v>
      </c>
      <c r="E80">
        <f t="shared" si="2"/>
        <v>5.2240620785709589E-2</v>
      </c>
      <c r="F80">
        <v>8.9883829390317443E-3</v>
      </c>
      <c r="G80">
        <v>68</v>
      </c>
      <c r="H80">
        <f t="shared" ca="1" si="3"/>
        <v>1.0837760723571101E-2</v>
      </c>
    </row>
    <row r="81" spans="3:8">
      <c r="C81" s="164">
        <v>45069</v>
      </c>
      <c r="D81" s="163">
        <v>4523.3</v>
      </c>
      <c r="E81">
        <f t="shared" si="2"/>
        <v>-3.9659455213265145E-2</v>
      </c>
      <c r="F81">
        <v>8.944503925767391E-3</v>
      </c>
      <c r="G81">
        <v>69</v>
      </c>
      <c r="H81">
        <f t="shared" ca="1" si="3"/>
        <v>1.6807934358209379E-2</v>
      </c>
    </row>
    <row r="82" spans="3:8">
      <c r="C82" s="164">
        <v>45083</v>
      </c>
      <c r="D82" s="163">
        <v>4710.1000000000004</v>
      </c>
      <c r="E82">
        <f t="shared" si="2"/>
        <v>-3.7281553398058179E-2</v>
      </c>
      <c r="F82">
        <v>8.7811355507485377E-3</v>
      </c>
      <c r="G82">
        <v>70</v>
      </c>
      <c r="H82">
        <f t="shared" ca="1" si="3"/>
        <v>3.5416792824301013E-3</v>
      </c>
    </row>
    <row r="83" spans="3:8">
      <c r="C83" s="164">
        <v>45138</v>
      </c>
      <c r="D83" s="163">
        <v>4892.5</v>
      </c>
      <c r="E83">
        <f t="shared" si="2"/>
        <v>-4.192613480593748E-2</v>
      </c>
      <c r="F83">
        <v>8.5549371263656977E-3</v>
      </c>
      <c r="G83">
        <v>71</v>
      </c>
      <c r="H83">
        <f t="shared" ca="1" si="3"/>
        <v>-7.9580206573428083E-3</v>
      </c>
    </row>
    <row r="84" spans="3:8">
      <c r="C84" s="164">
        <v>45212</v>
      </c>
      <c r="D84" s="163">
        <v>5106.6000000000004</v>
      </c>
      <c r="E84">
        <f t="shared" si="2"/>
        <v>-0.26823816006305073</v>
      </c>
      <c r="F84">
        <v>8.3326751441435767E-3</v>
      </c>
      <c r="G84">
        <v>72</v>
      </c>
      <c r="H84">
        <f t="shared" ca="1" si="3"/>
        <v>4.0962592423884362E-3</v>
      </c>
    </row>
    <row r="85" spans="3:8">
      <c r="C85" s="164">
        <v>45299</v>
      </c>
      <c r="D85" s="163">
        <v>6978.5</v>
      </c>
      <c r="E85">
        <f t="shared" si="2"/>
        <v>-9.6096057199108811E-2</v>
      </c>
      <c r="F85">
        <v>8.1332524341972464E-3</v>
      </c>
      <c r="G85">
        <v>73</v>
      </c>
      <c r="H85">
        <f t="shared" ca="1" si="3"/>
        <v>3.7394353329991858E-2</v>
      </c>
    </row>
    <row r="86" spans="3:8">
      <c r="C86" s="164">
        <v>45329</v>
      </c>
      <c r="D86" s="163">
        <v>7720.4</v>
      </c>
      <c r="E86">
        <f t="shared" si="2"/>
        <v>0.5655594760108692</v>
      </c>
      <c r="F86">
        <v>8.1088492224122132E-3</v>
      </c>
      <c r="G86">
        <v>74</v>
      </c>
      <c r="H86">
        <f t="shared" ca="1" si="3"/>
        <v>2.5234564498764666E-2</v>
      </c>
    </row>
    <row r="87" spans="3:8">
      <c r="C87" s="164">
        <v>45139</v>
      </c>
      <c r="D87" s="163">
        <v>4931.3999999999996</v>
      </c>
      <c r="E87">
        <f t="shared" si="2"/>
        <v>1.7937867685003536E-2</v>
      </c>
      <c r="F87">
        <v>7.9509453244761656E-3</v>
      </c>
      <c r="G87">
        <v>75</v>
      </c>
      <c r="H87">
        <f t="shared" ca="1" si="3"/>
        <v>1.9889731406219056E-2</v>
      </c>
    </row>
    <row r="88" spans="3:8">
      <c r="C88" s="164">
        <v>45184</v>
      </c>
      <c r="D88" s="163">
        <v>4844.5</v>
      </c>
      <c r="E88">
        <f t="shared" si="2"/>
        <v>-0.3211753496062551</v>
      </c>
      <c r="F88">
        <v>7.5286483788448762E-3</v>
      </c>
      <c r="G88">
        <v>76</v>
      </c>
      <c r="H88">
        <f t="shared" ca="1" si="3"/>
        <v>-1.1154927442164581E-2</v>
      </c>
    </row>
    <row r="89" spans="3:8">
      <c r="C89" s="164">
        <v>45311</v>
      </c>
      <c r="D89" s="163">
        <v>7136.6</v>
      </c>
      <c r="E89">
        <f t="shared" si="2"/>
        <v>0.77386160270431514</v>
      </c>
      <c r="F89">
        <v>7.4820712631995029E-3</v>
      </c>
      <c r="G89">
        <v>77</v>
      </c>
      <c r="H89">
        <f t="shared" ca="1" si="3"/>
        <v>1.5242610244329338E-2</v>
      </c>
    </row>
    <row r="90" spans="3:8">
      <c r="C90" s="164">
        <v>45022</v>
      </c>
      <c r="D90" s="163">
        <v>4023.2</v>
      </c>
      <c r="E90">
        <f t="shared" si="2"/>
        <v>-0.48136593917986931</v>
      </c>
      <c r="F90">
        <v>7.3614101857878795E-3</v>
      </c>
      <c r="G90">
        <v>78</v>
      </c>
      <c r="H90">
        <f t="shared" ca="1" si="3"/>
        <v>1.7560089889653907E-2</v>
      </c>
    </row>
    <row r="91" spans="3:8">
      <c r="C91" s="164">
        <v>45331</v>
      </c>
      <c r="D91" s="163">
        <v>7757.3</v>
      </c>
      <c r="E91">
        <f t="shared" si="2"/>
        <v>0.64447129653184099</v>
      </c>
      <c r="F91">
        <v>7.1930302912269111E-3</v>
      </c>
      <c r="G91">
        <v>79</v>
      </c>
      <c r="H91">
        <f t="shared" ca="1" si="3"/>
        <v>-1.1310850880478628E-2</v>
      </c>
    </row>
    <row r="92" spans="3:8">
      <c r="C92" s="164">
        <v>45177</v>
      </c>
      <c r="D92" s="163">
        <v>4717.2</v>
      </c>
      <c r="E92">
        <f t="shared" si="2"/>
        <v>-0.12755922987294011</v>
      </c>
      <c r="F92">
        <v>7.1309620393696649E-3</v>
      </c>
      <c r="G92">
        <v>80</v>
      </c>
      <c r="H92">
        <f t="shared" ca="1" si="3"/>
        <v>1.4966595670309678E-2</v>
      </c>
    </row>
    <row r="93" spans="3:8">
      <c r="C93" s="164">
        <v>45237</v>
      </c>
      <c r="D93" s="163">
        <v>5406.9</v>
      </c>
      <c r="E93">
        <f t="shared" si="2"/>
        <v>0.16007981462409873</v>
      </c>
      <c r="F93">
        <v>7.0590426522629231E-3</v>
      </c>
      <c r="G93">
        <v>81</v>
      </c>
      <c r="H93">
        <f t="shared" ca="1" si="3"/>
        <v>1.7692371559817163E-2</v>
      </c>
    </row>
    <row r="94" spans="3:8">
      <c r="C94" s="164">
        <v>45162</v>
      </c>
      <c r="D94" s="163">
        <v>4660.8</v>
      </c>
      <c r="E94">
        <f t="shared" si="2"/>
        <v>0.14752806775654922</v>
      </c>
      <c r="F94">
        <v>7.0002592688619284E-3</v>
      </c>
      <c r="G94">
        <v>82</v>
      </c>
      <c r="H94">
        <f t="shared" ca="1" si="3"/>
        <v>3.0346380803154423E-3</v>
      </c>
    </row>
    <row r="95" spans="3:8">
      <c r="C95" s="164">
        <v>45027</v>
      </c>
      <c r="D95" s="163">
        <v>4061.6</v>
      </c>
      <c r="E95">
        <f t="shared" si="2"/>
        <v>-0.28568413647555402</v>
      </c>
      <c r="F95">
        <v>6.9416898056326856E-3</v>
      </c>
      <c r="G95">
        <v>83</v>
      </c>
      <c r="H95">
        <f t="shared" ca="1" si="3"/>
        <v>1.6375355232558095E-2</v>
      </c>
    </row>
    <row r="96" spans="3:8">
      <c r="C96" s="164">
        <v>45252</v>
      </c>
      <c r="D96" s="163">
        <v>5686</v>
      </c>
      <c r="E96">
        <f t="shared" si="2"/>
        <v>0.12873449131513648</v>
      </c>
      <c r="F96">
        <v>6.3360589005699236E-3</v>
      </c>
      <c r="G96">
        <v>84</v>
      </c>
      <c r="H96">
        <f t="shared" ca="1" si="3"/>
        <v>-1.4300746649815513E-2</v>
      </c>
    </row>
    <row r="97" spans="3:8">
      <c r="C97" s="164">
        <v>45210</v>
      </c>
      <c r="D97" s="163">
        <v>5037.5</v>
      </c>
      <c r="E97">
        <f t="shared" si="2"/>
        <v>0.105684811237928</v>
      </c>
      <c r="F97">
        <v>6.0311944560940663E-3</v>
      </c>
      <c r="G97">
        <v>85</v>
      </c>
      <c r="H97">
        <f t="shared" ca="1" si="3"/>
        <v>4.5660151567571486E-3</v>
      </c>
    </row>
    <row r="98" spans="3:8">
      <c r="C98" s="164">
        <v>45057</v>
      </c>
      <c r="D98" s="163">
        <v>4556</v>
      </c>
      <c r="E98">
        <f t="shared" si="2"/>
        <v>-0.41813537675606643</v>
      </c>
      <c r="F98">
        <v>5.9837929740114305E-3</v>
      </c>
      <c r="G98">
        <v>86</v>
      </c>
      <c r="H98">
        <f t="shared" ca="1" si="3"/>
        <v>1.0377884758056413E-2</v>
      </c>
    </row>
    <row r="99" spans="3:8">
      <c r="C99" s="164">
        <v>45335</v>
      </c>
      <c r="D99" s="163">
        <v>7830</v>
      </c>
      <c r="E99">
        <f t="shared" si="2"/>
        <v>0.46508494873138251</v>
      </c>
      <c r="F99">
        <v>5.7932664517206861E-3</v>
      </c>
      <c r="G99">
        <v>87</v>
      </c>
      <c r="H99">
        <f t="shared" ca="1" si="3"/>
        <v>-5.7796721617837882E-3</v>
      </c>
    </row>
    <row r="100" spans="3:8">
      <c r="C100" s="164">
        <v>45232</v>
      </c>
      <c r="D100" s="163">
        <v>5344.4</v>
      </c>
      <c r="E100">
        <f t="shared" si="2"/>
        <v>9.9535036826729054E-2</v>
      </c>
      <c r="F100">
        <v>5.7018121601022315E-3</v>
      </c>
      <c r="G100">
        <v>88</v>
      </c>
      <c r="H100">
        <f t="shared" ca="1" si="3"/>
        <v>-9.7110384111235674E-3</v>
      </c>
    </row>
    <row r="101" spans="3:8">
      <c r="C101" s="164">
        <v>45126</v>
      </c>
      <c r="D101" s="163">
        <v>4860.6000000000004</v>
      </c>
      <c r="E101">
        <f t="shared" si="2"/>
        <v>6.4846865004600615E-2</v>
      </c>
      <c r="F101">
        <v>5.6691219068113353E-3</v>
      </c>
      <c r="G101">
        <v>89</v>
      </c>
      <c r="H101">
        <f t="shared" ca="1" si="3"/>
        <v>3.0682581150404065E-2</v>
      </c>
    </row>
    <row r="102" spans="3:8">
      <c r="C102" s="164">
        <v>45062</v>
      </c>
      <c r="D102" s="163">
        <v>4564.6000000000004</v>
      </c>
      <c r="E102">
        <f t="shared" si="2"/>
        <v>-7.1801858592431309E-2</v>
      </c>
      <c r="F102">
        <v>5.6621648417018947E-3</v>
      </c>
      <c r="G102">
        <v>90</v>
      </c>
      <c r="H102">
        <f t="shared" ca="1" si="3"/>
        <v>-1.128859908883343E-3</v>
      </c>
    </row>
    <row r="103" spans="3:8">
      <c r="C103" s="164">
        <v>45114</v>
      </c>
      <c r="D103" s="163">
        <v>4917.7</v>
      </c>
      <c r="E103">
        <f t="shared" si="2"/>
        <v>3.1029205191102166E-2</v>
      </c>
      <c r="F103">
        <v>5.6440563587655578E-3</v>
      </c>
      <c r="G103">
        <v>91</v>
      </c>
      <c r="H103">
        <f t="shared" ca="1" si="3"/>
        <v>8.0103311645131209E-3</v>
      </c>
    </row>
    <row r="104" spans="3:8">
      <c r="C104" s="164">
        <v>45090</v>
      </c>
      <c r="D104" s="163">
        <v>4769.7</v>
      </c>
      <c r="E104">
        <f t="shared" si="2"/>
        <v>0.10101336534244348</v>
      </c>
      <c r="F104">
        <v>5.5445461061686095E-3</v>
      </c>
      <c r="G104">
        <v>92</v>
      </c>
      <c r="H104">
        <f t="shared" ca="1" si="3"/>
        <v>1.1262783858548659E-2</v>
      </c>
    </row>
    <row r="105" spans="3:8">
      <c r="C105" s="164">
        <v>45041</v>
      </c>
      <c r="D105" s="163">
        <v>4332.1000000000004</v>
      </c>
      <c r="E105">
        <f t="shared" si="2"/>
        <v>-7.2176650746396523E-2</v>
      </c>
      <c r="F105">
        <v>5.5242206902955185E-3</v>
      </c>
      <c r="G105">
        <v>93</v>
      </c>
      <c r="H105">
        <f t="shared" ca="1" si="3"/>
        <v>2.3166395373339883E-2</v>
      </c>
    </row>
    <row r="106" spans="3:8">
      <c r="C106" s="164">
        <v>45082</v>
      </c>
      <c r="D106" s="163">
        <v>4669.1000000000004</v>
      </c>
      <c r="E106">
        <f t="shared" si="2"/>
        <v>5.3497292418772643E-2</v>
      </c>
      <c r="F106">
        <v>5.4914290636575063E-3</v>
      </c>
      <c r="G106">
        <v>94</v>
      </c>
      <c r="H106">
        <f t="shared" ca="1" si="3"/>
        <v>-3.3539126330876193E-4</v>
      </c>
    </row>
    <row r="107" spans="3:8">
      <c r="C107" s="164">
        <v>45048</v>
      </c>
      <c r="D107" s="163">
        <v>4432</v>
      </c>
      <c r="E107">
        <f t="shared" si="2"/>
        <v>-0.12487165310796929</v>
      </c>
      <c r="F107">
        <v>5.3990290821650973E-3</v>
      </c>
      <c r="G107">
        <v>95</v>
      </c>
      <c r="H107">
        <f t="shared" ca="1" si="3"/>
        <v>-2.70127041549264E-2</v>
      </c>
    </row>
    <row r="108" spans="3:8">
      <c r="C108" s="164">
        <v>45211</v>
      </c>
      <c r="D108" s="163">
        <v>5064.3999999999996</v>
      </c>
      <c r="E108">
        <f t="shared" si="2"/>
        <v>-0.37654343785008193</v>
      </c>
      <c r="F108">
        <v>5.3399503722083644E-3</v>
      </c>
      <c r="G108">
        <v>96</v>
      </c>
      <c r="H108">
        <f t="shared" ca="1" si="3"/>
        <v>7.3496371989633076E-3</v>
      </c>
    </row>
    <row r="109" spans="3:8">
      <c r="C109" s="164">
        <v>45338</v>
      </c>
      <c r="D109" s="163">
        <v>8123.1</v>
      </c>
      <c r="E109">
        <f t="shared" si="2"/>
        <v>0.60007485177379016</v>
      </c>
      <c r="F109">
        <v>4.9237316442542253E-3</v>
      </c>
      <c r="G109">
        <v>97</v>
      </c>
      <c r="H109">
        <f t="shared" ca="1" si="3"/>
        <v>3.2983356159199714E-2</v>
      </c>
    </row>
    <row r="110" spans="3:8">
      <c r="C110" s="164">
        <v>45216</v>
      </c>
      <c r="D110" s="163">
        <v>5076.7</v>
      </c>
      <c r="E110">
        <f t="shared" si="2"/>
        <v>4.2336515758135677E-2</v>
      </c>
      <c r="F110">
        <v>4.8095954397910264E-3</v>
      </c>
      <c r="G110">
        <v>98</v>
      </c>
      <c r="H110">
        <f t="shared" ca="1" si="3"/>
        <v>-5.5587777515755761E-3</v>
      </c>
    </row>
    <row r="111" spans="3:8">
      <c r="C111" s="164">
        <v>45134</v>
      </c>
      <c r="D111" s="163">
        <v>4870.5</v>
      </c>
      <c r="E111">
        <f t="shared" si="2"/>
        <v>7.8116699132282544E-2</v>
      </c>
      <c r="F111">
        <v>4.4339038977108686E-3</v>
      </c>
      <c r="G111">
        <v>99</v>
      </c>
      <c r="H111">
        <f t="shared" ca="1" si="3"/>
        <v>-2.9853659406366681E-2</v>
      </c>
    </row>
    <row r="112" spans="3:8">
      <c r="C112" s="164">
        <v>45071</v>
      </c>
      <c r="D112" s="163">
        <v>4517.6000000000004</v>
      </c>
      <c r="E112">
        <f t="shared" si="2"/>
        <v>-5.8970566792342673E-2</v>
      </c>
      <c r="F112">
        <v>4.3351637357995597E-3</v>
      </c>
      <c r="G112">
        <v>100</v>
      </c>
      <c r="H112">
        <f t="shared" ca="1" si="3"/>
        <v>-3.1390550466914016E-3</v>
      </c>
    </row>
    <row r="113" spans="3:8">
      <c r="C113" s="164">
        <v>45086</v>
      </c>
      <c r="D113" s="163">
        <v>4800.7</v>
      </c>
      <c r="E113">
        <f t="shared" si="2"/>
        <v>-1.6814123044155065E-2</v>
      </c>
      <c r="F113">
        <v>4.1624832663988524E-3</v>
      </c>
      <c r="G113">
        <v>101</v>
      </c>
      <c r="H113">
        <f t="shared" ca="1" si="3"/>
        <v>1.1875938585081937E-2</v>
      </c>
    </row>
    <row r="114" spans="3:8">
      <c r="C114" s="164">
        <v>45132</v>
      </c>
      <c r="D114" s="163">
        <v>4882.8</v>
      </c>
      <c r="E114">
        <f t="shared" si="2"/>
        <v>-0.33405163595695642</v>
      </c>
      <c r="F114">
        <v>4.1335060768709492E-3</v>
      </c>
      <c r="G114">
        <v>102</v>
      </c>
      <c r="H114">
        <f t="shared" ca="1" si="3"/>
        <v>-2.2180422950862817E-6</v>
      </c>
    </row>
    <row r="115" spans="3:8">
      <c r="C115" s="164">
        <v>45307</v>
      </c>
      <c r="D115" s="163">
        <v>7332.1</v>
      </c>
      <c r="E115">
        <f t="shared" si="2"/>
        <v>0.49096122170933582</v>
      </c>
      <c r="F115">
        <v>4.1221583127910664E-3</v>
      </c>
      <c r="G115">
        <v>103</v>
      </c>
      <c r="H115">
        <f t="shared" ca="1" si="3"/>
        <v>-1.6482619985829786E-2</v>
      </c>
    </row>
    <row r="116" spans="3:8">
      <c r="C116" s="164">
        <v>45119</v>
      </c>
      <c r="D116" s="163">
        <v>4917.7</v>
      </c>
      <c r="E116">
        <f t="shared" si="2"/>
        <v>-9.2491095978888674E-2</v>
      </c>
      <c r="F116">
        <v>4.0220498162514941E-3</v>
      </c>
      <c r="G116">
        <v>104</v>
      </c>
      <c r="H116">
        <f t="shared" ca="1" si="3"/>
        <v>-8.8119891131455338E-3</v>
      </c>
    </row>
    <row r="117" spans="3:8">
      <c r="C117" s="164">
        <v>45240</v>
      </c>
      <c r="D117" s="163">
        <v>5418.9</v>
      </c>
      <c r="E117">
        <f t="shared" si="2"/>
        <v>-0.11072272548247353</v>
      </c>
      <c r="F117">
        <v>3.9461983103600247E-3</v>
      </c>
      <c r="G117">
        <v>105</v>
      </c>
      <c r="H117">
        <f t="shared" ca="1" si="3"/>
        <v>1.2181599922027851E-2</v>
      </c>
    </row>
    <row r="118" spans="3:8">
      <c r="C118" s="164">
        <v>45268</v>
      </c>
      <c r="D118" s="163">
        <v>6093.6</v>
      </c>
      <c r="E118">
        <f t="shared" si="2"/>
        <v>0.31990382740918849</v>
      </c>
      <c r="F118">
        <v>3.8879736408567321E-3</v>
      </c>
      <c r="G118">
        <v>106</v>
      </c>
      <c r="H118">
        <f t="shared" ca="1" si="3"/>
        <v>-9.5533024217528753E-4</v>
      </c>
    </row>
    <row r="119" spans="3:8">
      <c r="C119" s="164">
        <v>45154</v>
      </c>
      <c r="D119" s="163">
        <v>4616.7</v>
      </c>
      <c r="E119">
        <f t="shared" si="2"/>
        <v>-2.5278714026445034E-3</v>
      </c>
      <c r="F119">
        <v>3.8268356852426458E-3</v>
      </c>
      <c r="G119">
        <v>107</v>
      </c>
      <c r="H119">
        <f t="shared" ca="1" si="3"/>
        <v>7.4784940742002202E-3</v>
      </c>
    </row>
    <row r="120" spans="3:8">
      <c r="C120" s="164">
        <v>45161</v>
      </c>
      <c r="D120" s="163">
        <v>4628.3999999999996</v>
      </c>
      <c r="E120">
        <f t="shared" si="2"/>
        <v>6.0645582001955523E-3</v>
      </c>
      <c r="F120">
        <v>3.7953544861090028E-3</v>
      </c>
      <c r="G120">
        <v>108</v>
      </c>
      <c r="H120">
        <f t="shared" ca="1" si="3"/>
        <v>-1.0321873214309992E-2</v>
      </c>
    </row>
    <row r="121" spans="3:8">
      <c r="C121" s="164">
        <v>45167</v>
      </c>
      <c r="D121" s="163">
        <v>4600.5</v>
      </c>
      <c r="E121">
        <f t="shared" si="2"/>
        <v>-0.40904828578401775</v>
      </c>
      <c r="F121">
        <v>3.577583386051708E-3</v>
      </c>
      <c r="G121">
        <v>109</v>
      </c>
      <c r="H121">
        <f t="shared" ca="1" si="3"/>
        <v>-1.3553705443271318E-2</v>
      </c>
    </row>
    <row r="122" spans="3:8">
      <c r="C122" s="164">
        <v>45334</v>
      </c>
      <c r="D122" s="163">
        <v>7784.9</v>
      </c>
      <c r="E122">
        <f t="shared" si="2"/>
        <v>0.66821668880983998</v>
      </c>
      <c r="F122">
        <v>3.5579389736118822E-3</v>
      </c>
      <c r="G122">
        <v>110</v>
      </c>
      <c r="H122">
        <f t="shared" ca="1" si="3"/>
        <v>1.3753016399839044E-2</v>
      </c>
    </row>
    <row r="123" spans="3:8">
      <c r="C123" s="164">
        <v>45148</v>
      </c>
      <c r="D123" s="163">
        <v>4666.6000000000004</v>
      </c>
      <c r="E123">
        <f t="shared" si="2"/>
        <v>-1.2631445316632421E-2</v>
      </c>
      <c r="F123">
        <v>3.5267300331169728E-3</v>
      </c>
      <c r="G123">
        <v>111</v>
      </c>
      <c r="H123">
        <f t="shared" ca="1" si="3"/>
        <v>1.4035046799550584E-2</v>
      </c>
    </row>
    <row r="124" spans="3:8">
      <c r="C124" s="164">
        <v>45084</v>
      </c>
      <c r="D124" s="163">
        <v>4726.3</v>
      </c>
      <c r="E124">
        <f t="shared" si="2"/>
        <v>-0.22400091944964373</v>
      </c>
      <c r="F124">
        <v>3.4394174221353724E-3</v>
      </c>
      <c r="G124">
        <v>112</v>
      </c>
      <c r="H124">
        <f t="shared" ca="1" si="3"/>
        <v>-1.3060979398039001E-2</v>
      </c>
    </row>
    <row r="125" spans="3:8">
      <c r="C125" s="164">
        <v>45261</v>
      </c>
      <c r="D125" s="163">
        <v>6090.6</v>
      </c>
      <c r="E125">
        <f t="shared" si="2"/>
        <v>7.7944143570139207E-2</v>
      </c>
      <c r="F125">
        <v>3.3937397034596974E-3</v>
      </c>
      <c r="G125">
        <v>113</v>
      </c>
      <c r="H125">
        <f t="shared" ca="1" si="3"/>
        <v>5.8925721704325001E-3</v>
      </c>
    </row>
    <row r="126" spans="3:8">
      <c r="C126" s="164">
        <v>45251</v>
      </c>
      <c r="D126" s="163">
        <v>5650.2</v>
      </c>
      <c r="E126">
        <f t="shared" si="2"/>
        <v>0.22155921650019464</v>
      </c>
      <c r="F126">
        <v>3.3206072982331207E-3</v>
      </c>
      <c r="G126">
        <v>114</v>
      </c>
      <c r="H126">
        <f t="shared" ca="1" si="3"/>
        <v>-1.6557115340101406E-3</v>
      </c>
    </row>
    <row r="127" spans="3:8">
      <c r="C127" s="164">
        <v>45112</v>
      </c>
      <c r="D127" s="163">
        <v>4625.3999999999996</v>
      </c>
      <c r="E127">
        <f t="shared" si="2"/>
        <v>-0.26985429919967169</v>
      </c>
      <c r="F127">
        <v>3.1882360596004553E-3</v>
      </c>
      <c r="G127">
        <v>115</v>
      </c>
      <c r="H127">
        <f t="shared" ca="1" si="3"/>
        <v>-2.5214637990707989E-3</v>
      </c>
    </row>
    <row r="128" spans="3:8">
      <c r="C128" s="164">
        <v>45275</v>
      </c>
      <c r="D128" s="163">
        <v>6334.9</v>
      </c>
      <c r="E128">
        <f t="shared" si="2"/>
        <v>0.31413102103472579</v>
      </c>
      <c r="F128">
        <v>2.976520321084098E-3</v>
      </c>
      <c r="G128">
        <v>116</v>
      </c>
      <c r="H128">
        <f t="shared" ca="1" si="3"/>
        <v>1.1054914708093508E-2</v>
      </c>
    </row>
    <row r="129" spans="3:8">
      <c r="C129" s="164">
        <v>45182</v>
      </c>
      <c r="D129" s="163">
        <v>4820.6000000000004</v>
      </c>
      <c r="E129">
        <f t="shared" si="2"/>
        <v>0.19511106703689024</v>
      </c>
      <c r="F129">
        <v>2.9543941411452916E-3</v>
      </c>
      <c r="G129">
        <v>117</v>
      </c>
      <c r="H129">
        <f t="shared" ca="1" si="3"/>
        <v>-2.2344395089628745E-2</v>
      </c>
    </row>
    <row r="130" spans="3:8">
      <c r="C130" s="164">
        <v>45026</v>
      </c>
      <c r="D130" s="163">
        <v>4033.6</v>
      </c>
      <c r="E130">
        <f t="shared" si="2"/>
        <v>-0.27334306148552484</v>
      </c>
      <c r="F130">
        <v>2.5850069596341447E-3</v>
      </c>
      <c r="G130">
        <v>118</v>
      </c>
      <c r="H130">
        <f t="shared" ca="1" si="3"/>
        <v>-8.4077382207247281E-3</v>
      </c>
    </row>
    <row r="131" spans="3:8">
      <c r="C131" s="164">
        <v>45247</v>
      </c>
      <c r="D131" s="163">
        <v>5550.9</v>
      </c>
      <c r="E131">
        <f t="shared" si="2"/>
        <v>0.20198783049305974</v>
      </c>
      <c r="F131">
        <v>2.5647046074376107E-3</v>
      </c>
      <c r="G131">
        <v>119</v>
      </c>
      <c r="H131">
        <f t="shared" ca="1" si="3"/>
        <v>3.7122238224528217E-3</v>
      </c>
    </row>
    <row r="132" spans="3:8">
      <c r="C132" s="164">
        <v>45105</v>
      </c>
      <c r="D132" s="163">
        <v>4618.1000000000004</v>
      </c>
      <c r="E132">
        <f t="shared" si="2"/>
        <v>6.3441256390180986E-2</v>
      </c>
      <c r="F132">
        <v>2.4311359048385527E-3</v>
      </c>
      <c r="G132">
        <v>120</v>
      </c>
      <c r="H132">
        <f t="shared" ca="1" si="3"/>
        <v>6.3176698597362324E-3</v>
      </c>
    </row>
    <row r="133" spans="3:8">
      <c r="C133" s="164">
        <v>45042</v>
      </c>
      <c r="D133" s="163">
        <v>4342.6000000000004</v>
      </c>
      <c r="E133">
        <f t="shared" si="2"/>
        <v>-0.4260678790441953</v>
      </c>
      <c r="F133">
        <v>2.4237667643867869E-3</v>
      </c>
      <c r="G133">
        <v>121</v>
      </c>
      <c r="H133">
        <f t="shared" ca="1" si="3"/>
        <v>-2.5054529009740055E-4</v>
      </c>
    </row>
    <row r="134" spans="3:8">
      <c r="C134" s="164">
        <v>45322</v>
      </c>
      <c r="D134" s="163">
        <v>7566.4</v>
      </c>
      <c r="E134">
        <f t="shared" si="2"/>
        <v>0.63682775926967483</v>
      </c>
      <c r="F134">
        <v>2.3314963967782237E-3</v>
      </c>
      <c r="G134">
        <v>122</v>
      </c>
      <c r="H134">
        <f t="shared" ca="1" si="3"/>
        <v>9.4567547284612336E-3</v>
      </c>
    </row>
    <row r="135" spans="3:8">
      <c r="C135" s="164">
        <v>45103</v>
      </c>
      <c r="D135" s="163">
        <v>4622.6000000000004</v>
      </c>
      <c r="E135">
        <f t="shared" si="2"/>
        <v>-0.14696438457279934</v>
      </c>
      <c r="F135">
        <v>2.2766201947052316E-3</v>
      </c>
      <c r="G135">
        <v>123</v>
      </c>
      <c r="H135">
        <f t="shared" ca="1" si="3"/>
        <v>-7.6774602472732016E-3</v>
      </c>
    </row>
    <row r="136" spans="3:8">
      <c r="C136" s="164">
        <v>45238</v>
      </c>
      <c r="D136" s="163">
        <v>5419</v>
      </c>
      <c r="E136">
        <f t="shared" si="2"/>
        <v>0.15914438502673797</v>
      </c>
      <c r="F136">
        <v>2.2378812258411224E-3</v>
      </c>
      <c r="G136">
        <v>124</v>
      </c>
      <c r="H136">
        <f t="shared" ca="1" si="3"/>
        <v>1.1024002706875025E-2</v>
      </c>
    </row>
    <row r="137" spans="3:8">
      <c r="C137" s="164">
        <v>45169</v>
      </c>
      <c r="D137" s="163">
        <v>4675</v>
      </c>
      <c r="E137">
        <f t="shared" si="2"/>
        <v>4.8747111739237764E-2</v>
      </c>
      <c r="F137">
        <v>2.2295588046133937E-3</v>
      </c>
      <c r="G137">
        <v>125</v>
      </c>
      <c r="H137">
        <f t="shared" ca="1" si="3"/>
        <v>1.1768043376508972E-2</v>
      </c>
    </row>
    <row r="138" spans="3:8">
      <c r="C138" s="164">
        <v>45051</v>
      </c>
      <c r="D138" s="163">
        <v>4457.7</v>
      </c>
      <c r="E138">
        <f t="shared" si="2"/>
        <v>-0.47330300703018846</v>
      </c>
      <c r="F138">
        <v>2.2032869444007694E-3</v>
      </c>
      <c r="G138">
        <v>126</v>
      </c>
      <c r="H138">
        <f t="shared" ca="1" si="3"/>
        <v>-1.73082206819987E-2</v>
      </c>
    </row>
    <row r="139" spans="3:8">
      <c r="C139" s="164">
        <v>45350</v>
      </c>
      <c r="D139" s="163">
        <v>8463.5</v>
      </c>
      <c r="E139">
        <f t="shared" si="2"/>
        <v>-5.5476195790460502E-2</v>
      </c>
      <c r="F139">
        <v>1.834753787878788E-3</v>
      </c>
      <c r="G139">
        <v>127</v>
      </c>
      <c r="H139">
        <f t="shared" ca="1" si="3"/>
        <v>1.9772150365582521E-3</v>
      </c>
    </row>
    <row r="140" spans="3:8">
      <c r="C140" s="164">
        <v>45378</v>
      </c>
      <c r="D140" s="163">
        <v>8960.6</v>
      </c>
      <c r="E140">
        <f t="shared" si="2"/>
        <v>6.0677083333333375E-2</v>
      </c>
      <c r="F140">
        <v>1.710395403172738E-3</v>
      </c>
      <c r="G140">
        <v>128</v>
      </c>
      <c r="H140">
        <f t="shared" ca="1" si="3"/>
        <v>7.5630490148055271E-4</v>
      </c>
    </row>
    <row r="141" spans="3:8">
      <c r="C141" s="164">
        <v>45349</v>
      </c>
      <c r="D141" s="163">
        <v>8448</v>
      </c>
      <c r="E141">
        <f t="shared" ref="E141:E204" si="4">(D141-D142)/D142</f>
        <v>0.53899404295629672</v>
      </c>
      <c r="F141">
        <v>1.3037809647979139E-3</v>
      </c>
      <c r="G141">
        <v>129</v>
      </c>
      <c r="H141">
        <f t="shared" ref="H141:H204" ca="1" si="5">NORMINV(RAND(),N$15,N$16)</f>
        <v>-1.1509994641514722E-2</v>
      </c>
    </row>
    <row r="142" spans="3:8">
      <c r="C142" s="164">
        <v>45222</v>
      </c>
      <c r="D142" s="163">
        <v>5489.3</v>
      </c>
      <c r="E142">
        <f t="shared" si="4"/>
        <v>5.9097048041674739E-2</v>
      </c>
      <c r="F142">
        <v>1.2220479334621927E-3</v>
      </c>
      <c r="G142">
        <v>130</v>
      </c>
      <c r="H142">
        <f t="shared" ca="1" si="5"/>
        <v>3.7063528602613899E-3</v>
      </c>
    </row>
    <row r="143" spans="3:8">
      <c r="C143" s="164">
        <v>45190</v>
      </c>
      <c r="D143" s="163">
        <v>5183</v>
      </c>
      <c r="E143">
        <f t="shared" si="4"/>
        <v>0.16130044139723501</v>
      </c>
      <c r="F143">
        <v>1.2169915196940488E-3</v>
      </c>
      <c r="G143">
        <v>131</v>
      </c>
      <c r="H143">
        <f t="shared" ca="1" si="5"/>
        <v>1.3818459051862395E-2</v>
      </c>
    </row>
    <row r="144" spans="3:8">
      <c r="C144" s="164">
        <v>45054</v>
      </c>
      <c r="D144" s="163">
        <v>4463.1000000000004</v>
      </c>
      <c r="E144">
        <f t="shared" si="4"/>
        <v>-0.1601400048926441</v>
      </c>
      <c r="F144">
        <v>1.2113870381588142E-3</v>
      </c>
      <c r="G144">
        <v>132</v>
      </c>
      <c r="H144">
        <f t="shared" ca="1" si="5"/>
        <v>2.1570930437383614E-2</v>
      </c>
    </row>
    <row r="145" spans="3:8">
      <c r="C145" s="164">
        <v>45231</v>
      </c>
      <c r="D145" s="163">
        <v>5314.1</v>
      </c>
      <c r="E145">
        <f t="shared" si="4"/>
        <v>6.1652182599141014E-2</v>
      </c>
      <c r="F145">
        <v>9.7948727608369499E-4</v>
      </c>
      <c r="G145">
        <v>133</v>
      </c>
      <c r="H145">
        <f t="shared" ca="1" si="5"/>
        <v>3.4485230857129374E-3</v>
      </c>
    </row>
    <row r="146" spans="3:8">
      <c r="C146" s="164">
        <v>45195</v>
      </c>
      <c r="D146" s="163">
        <v>5005.5</v>
      </c>
      <c r="E146">
        <f t="shared" si="4"/>
        <v>-0.15594489317572469</v>
      </c>
      <c r="F146">
        <v>8.7980644258255905E-4</v>
      </c>
      <c r="G146">
        <v>134</v>
      </c>
      <c r="H146">
        <f t="shared" ca="1" si="5"/>
        <v>9.0920772792445134E-3</v>
      </c>
    </row>
    <row r="147" spans="3:8">
      <c r="C147" s="164">
        <v>45258</v>
      </c>
      <c r="D147" s="163">
        <v>5930.3</v>
      </c>
      <c r="E147">
        <f t="shared" si="4"/>
        <v>-0.15086126662752897</v>
      </c>
      <c r="F147">
        <v>8.4383913050815993E-4</v>
      </c>
      <c r="G147">
        <v>135</v>
      </c>
      <c r="H147">
        <f t="shared" ca="1" si="5"/>
        <v>-6.3771569963177429E-3</v>
      </c>
    </row>
    <row r="148" spans="3:8">
      <c r="C148" s="164">
        <v>45300</v>
      </c>
      <c r="D148" s="163">
        <v>6983.9</v>
      </c>
      <c r="E148">
        <f t="shared" si="4"/>
        <v>0.39271327723048682</v>
      </c>
      <c r="F148">
        <v>7.7380525900976375E-4</v>
      </c>
      <c r="G148">
        <v>136</v>
      </c>
      <c r="H148">
        <f t="shared" ca="1" si="5"/>
        <v>-2.411549040578261E-3</v>
      </c>
    </row>
    <row r="149" spans="3:8">
      <c r="C149" s="164">
        <v>45208</v>
      </c>
      <c r="D149" s="163">
        <v>5014.6000000000004</v>
      </c>
      <c r="E149">
        <f t="shared" si="4"/>
        <v>0.16934054659080328</v>
      </c>
      <c r="F149">
        <v>6.9844944223823103E-4</v>
      </c>
      <c r="G149">
        <v>137</v>
      </c>
      <c r="H149">
        <f t="shared" ca="1" si="5"/>
        <v>-1.2026085830437669E-2</v>
      </c>
    </row>
    <row r="150" spans="3:8">
      <c r="C150" s="164">
        <v>45033</v>
      </c>
      <c r="D150" s="163">
        <v>4288.3999999999996</v>
      </c>
      <c r="E150">
        <f t="shared" si="4"/>
        <v>-7.1473422106744691E-2</v>
      </c>
      <c r="F150">
        <v>5.5996266915530474E-4</v>
      </c>
      <c r="G150">
        <v>138</v>
      </c>
      <c r="H150">
        <f t="shared" ca="1" si="5"/>
        <v>1.8881957139311181E-3</v>
      </c>
    </row>
    <row r="151" spans="3:8">
      <c r="C151" s="164">
        <v>45076</v>
      </c>
      <c r="D151" s="163">
        <v>4618.5</v>
      </c>
      <c r="E151">
        <f t="shared" si="4"/>
        <v>-0.36750205423171733</v>
      </c>
      <c r="F151">
        <v>5.4159445407279028E-4</v>
      </c>
      <c r="G151">
        <v>139</v>
      </c>
      <c r="H151">
        <f t="shared" ca="1" si="5"/>
        <v>3.1968568043262466E-2</v>
      </c>
    </row>
    <row r="152" spans="3:8">
      <c r="C152" s="164">
        <v>45306</v>
      </c>
      <c r="D152" s="163">
        <v>7302</v>
      </c>
      <c r="E152">
        <f t="shared" si="4"/>
        <v>-9.1937870742292926E-2</v>
      </c>
      <c r="F152">
        <v>4.2472153338179232E-4</v>
      </c>
      <c r="G152">
        <v>140</v>
      </c>
      <c r="H152">
        <f t="shared" ca="1" si="5"/>
        <v>2.5338504876482152E-2</v>
      </c>
    </row>
    <row r="153" spans="3:8">
      <c r="C153" s="164">
        <v>45355</v>
      </c>
      <c r="D153" s="163">
        <v>8041.3</v>
      </c>
      <c r="E153">
        <f t="shared" si="4"/>
        <v>0.13323186628898387</v>
      </c>
      <c r="F153">
        <v>1.4925187497665676E-4</v>
      </c>
      <c r="G153">
        <v>141</v>
      </c>
      <c r="H153">
        <f t="shared" ca="1" si="5"/>
        <v>1.7354084766784184E-2</v>
      </c>
    </row>
    <row r="154" spans="3:8">
      <c r="C154" s="164">
        <v>45315</v>
      </c>
      <c r="D154" s="163">
        <v>7095.9</v>
      </c>
      <c r="E154">
        <f t="shared" si="4"/>
        <v>-0.15359749988071958</v>
      </c>
      <c r="F154">
        <v>9.865824782949292E-5</v>
      </c>
      <c r="G154">
        <v>142</v>
      </c>
      <c r="H154">
        <f t="shared" ca="1" si="5"/>
        <v>-2.6438416857952278E-2</v>
      </c>
    </row>
    <row r="155" spans="3:8">
      <c r="C155" s="164">
        <v>45366</v>
      </c>
      <c r="D155" s="163">
        <v>8383.6</v>
      </c>
      <c r="E155">
        <f t="shared" si="4"/>
        <v>-2.9181527629811476E-2</v>
      </c>
      <c r="F155">
        <v>-1.5504060871319544E-4</v>
      </c>
      <c r="G155">
        <v>143</v>
      </c>
      <c r="H155">
        <f t="shared" ca="1" si="5"/>
        <v>-1.147326492451417E-2</v>
      </c>
    </row>
    <row r="156" spans="3:8">
      <c r="C156" s="164">
        <v>45372</v>
      </c>
      <c r="D156" s="163">
        <v>8635.6</v>
      </c>
      <c r="E156">
        <f t="shared" si="4"/>
        <v>0.68092809592400849</v>
      </c>
      <c r="F156">
        <v>-5.3239508344718445E-4</v>
      </c>
      <c r="G156">
        <v>144</v>
      </c>
      <c r="H156">
        <f t="shared" ca="1" si="5"/>
        <v>-1.215497909709936E-2</v>
      </c>
    </row>
    <row r="157" spans="3:8">
      <c r="C157" s="164">
        <v>45218</v>
      </c>
      <c r="D157" s="163">
        <v>5137.3999999999996</v>
      </c>
      <c r="E157">
        <f t="shared" si="4"/>
        <v>-0.23360136052392114</v>
      </c>
      <c r="F157">
        <v>-7.5856300935571658E-4</v>
      </c>
      <c r="G157">
        <v>145</v>
      </c>
      <c r="H157">
        <f t="shared" ca="1" si="5"/>
        <v>8.8460865849709219E-4</v>
      </c>
    </row>
    <row r="158" spans="3:8">
      <c r="C158" s="164">
        <v>45289</v>
      </c>
      <c r="D158" s="163">
        <v>6703.3</v>
      </c>
      <c r="E158">
        <f t="shared" si="4"/>
        <v>0.45379427009911311</v>
      </c>
      <c r="F158">
        <v>-9.5384294379773115E-4</v>
      </c>
      <c r="G158">
        <v>146</v>
      </c>
      <c r="H158">
        <f t="shared" ca="1" si="5"/>
        <v>-9.9460712342550432E-3</v>
      </c>
    </row>
    <row r="159" spans="3:8">
      <c r="C159" s="164">
        <v>45160</v>
      </c>
      <c r="D159" s="163">
        <v>4610.8999999999996</v>
      </c>
      <c r="E159">
        <f t="shared" si="4"/>
        <v>-4.463046225887337E-2</v>
      </c>
      <c r="F159">
        <v>-1.0182858133288689E-3</v>
      </c>
      <c r="G159">
        <v>147</v>
      </c>
      <c r="H159">
        <f t="shared" ca="1" si="5"/>
        <v>1.2847829480642594E-3</v>
      </c>
    </row>
    <row r="160" spans="3:8">
      <c r="C160" s="164">
        <v>45142</v>
      </c>
      <c r="D160" s="163">
        <v>4826.3</v>
      </c>
      <c r="E160">
        <f t="shared" si="4"/>
        <v>-7.4855532934377279E-3</v>
      </c>
      <c r="F160">
        <v>-1.2003062850520854E-3</v>
      </c>
      <c r="G160">
        <v>148</v>
      </c>
      <c r="H160">
        <f t="shared" ca="1" si="5"/>
        <v>1.3303650609701342E-2</v>
      </c>
    </row>
    <row r="161" spans="3:8">
      <c r="C161" s="164">
        <v>45131</v>
      </c>
      <c r="D161" s="163">
        <v>4862.7</v>
      </c>
      <c r="E161">
        <f t="shared" si="4"/>
        <v>0.12868184666805924</v>
      </c>
      <c r="F161">
        <v>-1.2323618214307721E-3</v>
      </c>
      <c r="G161">
        <v>149</v>
      </c>
      <c r="H161">
        <f t="shared" ca="1" si="5"/>
        <v>-8.5165259390297676E-3</v>
      </c>
    </row>
    <row r="162" spans="3:8">
      <c r="C162" s="164">
        <v>45040</v>
      </c>
      <c r="D162" s="163">
        <v>4308.3</v>
      </c>
      <c r="E162">
        <f t="shared" si="4"/>
        <v>-0.11344555107416252</v>
      </c>
      <c r="F162">
        <v>-1.4138698312626216E-3</v>
      </c>
      <c r="G162">
        <v>150</v>
      </c>
      <c r="H162">
        <f t="shared" ca="1" si="5"/>
        <v>-2.8847818554207484E-3</v>
      </c>
    </row>
    <row r="163" spans="3:8">
      <c r="C163" s="164">
        <v>45124</v>
      </c>
      <c r="D163" s="163">
        <v>4859.6000000000004</v>
      </c>
      <c r="E163">
        <f t="shared" si="4"/>
        <v>-2.9496934475665492E-2</v>
      </c>
      <c r="F163">
        <v>-1.4178567759169087E-3</v>
      </c>
      <c r="G163">
        <v>151</v>
      </c>
      <c r="H163">
        <f t="shared" ca="1" si="5"/>
        <v>9.9724094716907592E-3</v>
      </c>
    </row>
    <row r="164" spans="3:8">
      <c r="C164" s="164">
        <v>45209</v>
      </c>
      <c r="D164" s="163">
        <v>5007.3</v>
      </c>
      <c r="E164">
        <f t="shared" si="4"/>
        <v>1.6917140536149507E-2</v>
      </c>
      <c r="F164">
        <v>-1.4557492123001199E-3</v>
      </c>
      <c r="G164">
        <v>152</v>
      </c>
      <c r="H164">
        <f t="shared" ca="1" si="5"/>
        <v>9.5514451690910628E-3</v>
      </c>
    </row>
    <row r="165" spans="3:8">
      <c r="C165" s="164">
        <v>45140</v>
      </c>
      <c r="D165" s="163">
        <v>4924</v>
      </c>
      <c r="E165">
        <f t="shared" si="4"/>
        <v>-0.35682750333080804</v>
      </c>
      <c r="F165">
        <v>-1.5005880682969616E-3</v>
      </c>
      <c r="G165">
        <v>153</v>
      </c>
      <c r="H165">
        <f t="shared" ca="1" si="5"/>
        <v>8.4479711793411447E-3</v>
      </c>
    </row>
    <row r="166" spans="3:8">
      <c r="C166" s="164">
        <v>45324</v>
      </c>
      <c r="D166" s="163">
        <v>7655.8</v>
      </c>
      <c r="E166">
        <f t="shared" si="4"/>
        <v>0.68337034675344677</v>
      </c>
      <c r="F166">
        <v>-1.5389430851896527E-3</v>
      </c>
      <c r="G166">
        <v>154</v>
      </c>
      <c r="H166">
        <f t="shared" ca="1" si="5"/>
        <v>5.1431998556651648E-3</v>
      </c>
    </row>
    <row r="167" spans="3:8">
      <c r="C167" s="164">
        <v>45058</v>
      </c>
      <c r="D167" s="163">
        <v>4547.8999999999996</v>
      </c>
      <c r="E167">
        <f t="shared" si="4"/>
        <v>-3.678837682141662E-2</v>
      </c>
      <c r="F167">
        <v>-1.7778753292362519E-3</v>
      </c>
      <c r="G167">
        <v>155</v>
      </c>
      <c r="H167">
        <f t="shared" ca="1" si="5"/>
        <v>-4.4637869528085248E-3</v>
      </c>
    </row>
    <row r="168" spans="3:8">
      <c r="C168" s="164">
        <v>45093</v>
      </c>
      <c r="D168" s="163">
        <v>4721.6000000000004</v>
      </c>
      <c r="E168">
        <f t="shared" si="4"/>
        <v>4.0252043446650232E-2</v>
      </c>
      <c r="F168">
        <v>-1.8181049427084383E-3</v>
      </c>
      <c r="G168">
        <v>156</v>
      </c>
      <c r="H168">
        <f t="shared" ca="1" si="5"/>
        <v>1.8547792765000914E-2</v>
      </c>
    </row>
    <row r="169" spans="3:8">
      <c r="C169" s="164">
        <v>45061</v>
      </c>
      <c r="D169" s="163">
        <v>4538.8999999999996</v>
      </c>
      <c r="E169">
        <f t="shared" si="4"/>
        <v>2.0974080452157021E-3</v>
      </c>
      <c r="F169">
        <v>-1.9789353327909587E-3</v>
      </c>
      <c r="G169">
        <v>157</v>
      </c>
      <c r="H169">
        <f t="shared" ca="1" si="5"/>
        <v>-7.3551165958798256E-3</v>
      </c>
    </row>
    <row r="170" spans="3:8">
      <c r="C170" s="164">
        <v>45064</v>
      </c>
      <c r="D170" s="163">
        <v>4529.3999999999996</v>
      </c>
      <c r="E170">
        <f t="shared" si="4"/>
        <v>2.3679376811914532E-3</v>
      </c>
      <c r="F170">
        <v>-1.9830777366472768E-3</v>
      </c>
      <c r="G170">
        <v>158</v>
      </c>
      <c r="H170">
        <f t="shared" ca="1" si="5"/>
        <v>-1.0168790698615648E-2</v>
      </c>
    </row>
    <row r="171" spans="3:8">
      <c r="C171" s="164">
        <v>45065</v>
      </c>
      <c r="D171" s="163">
        <v>4518.7</v>
      </c>
      <c r="E171">
        <f t="shared" si="4"/>
        <v>-0.41330061413417468</v>
      </c>
      <c r="F171">
        <v>-2.3623437982955402E-3</v>
      </c>
      <c r="G171">
        <v>159</v>
      </c>
      <c r="H171">
        <f t="shared" ca="1" si="5"/>
        <v>2.4825459943557488E-3</v>
      </c>
    </row>
    <row r="172" spans="3:8">
      <c r="C172" s="164">
        <v>45330</v>
      </c>
      <c r="D172" s="163">
        <v>7701.9</v>
      </c>
      <c r="E172">
        <f t="shared" si="4"/>
        <v>0.58263639165724845</v>
      </c>
      <c r="F172">
        <v>-2.3962488990207764E-3</v>
      </c>
      <c r="G172">
        <v>160</v>
      </c>
      <c r="H172">
        <f t="shared" ca="1" si="5"/>
        <v>-6.8439914458261726E-3</v>
      </c>
    </row>
    <row r="173" spans="3:8">
      <c r="C173" s="164">
        <v>45121</v>
      </c>
      <c r="D173" s="163">
        <v>4866.5</v>
      </c>
      <c r="E173">
        <f t="shared" si="4"/>
        <v>4.6514128424583932E-2</v>
      </c>
      <c r="F173">
        <v>-2.4597724710464283E-3</v>
      </c>
      <c r="G173">
        <v>161</v>
      </c>
      <c r="H173">
        <f t="shared" ca="1" si="5"/>
        <v>2.3022477568750675E-2</v>
      </c>
    </row>
    <row r="174" spans="3:8">
      <c r="C174" s="164">
        <v>45099</v>
      </c>
      <c r="D174" s="163">
        <v>4650.2</v>
      </c>
      <c r="E174">
        <f t="shared" si="4"/>
        <v>-3.2880643886612805E-2</v>
      </c>
      <c r="F174">
        <v>-2.5311025311025703E-3</v>
      </c>
      <c r="G174">
        <v>162</v>
      </c>
      <c r="H174">
        <f t="shared" ca="1" si="5"/>
        <v>1.7278023090678135E-2</v>
      </c>
    </row>
    <row r="175" spans="3:8">
      <c r="C175" s="164">
        <v>45183</v>
      </c>
      <c r="D175" s="163">
        <v>4808.3</v>
      </c>
      <c r="E175">
        <f t="shared" si="4"/>
        <v>1.0996635828427288E-2</v>
      </c>
      <c r="F175">
        <v>-2.5515495996349378E-3</v>
      </c>
      <c r="G175">
        <v>163</v>
      </c>
      <c r="H175">
        <f t="shared" ca="1" si="5"/>
        <v>-2.3110202497593699E-3</v>
      </c>
    </row>
    <row r="176" spans="3:8">
      <c r="C176" s="164">
        <v>45091</v>
      </c>
      <c r="D176" s="163">
        <v>4756</v>
      </c>
      <c r="E176">
        <f t="shared" si="4"/>
        <v>-0.21720953964152276</v>
      </c>
      <c r="F176">
        <v>-2.8722980480952302E-3</v>
      </c>
      <c r="G176">
        <v>164</v>
      </c>
      <c r="H176">
        <f t="shared" ca="1" si="5"/>
        <v>-2.0327338542277191E-3</v>
      </c>
    </row>
    <row r="177" spans="3:8">
      <c r="C177" s="164">
        <v>45271</v>
      </c>
      <c r="D177" s="163">
        <v>6075.7</v>
      </c>
      <c r="E177">
        <f t="shared" si="4"/>
        <v>0.11990341369903414</v>
      </c>
      <c r="F177">
        <v>-2.937508205330272E-3</v>
      </c>
      <c r="G177">
        <v>165</v>
      </c>
      <c r="H177">
        <f t="shared" ca="1" si="5"/>
        <v>-7.2774812687930917E-3</v>
      </c>
    </row>
    <row r="178" spans="3:8">
      <c r="C178" s="164">
        <v>45245</v>
      </c>
      <c r="D178" s="163">
        <v>5425.2</v>
      </c>
      <c r="E178">
        <f t="shared" si="4"/>
        <v>0.17762486704725525</v>
      </c>
      <c r="F178">
        <v>-3.1970014331386735E-3</v>
      </c>
      <c r="G178">
        <v>166</v>
      </c>
      <c r="H178">
        <f t="shared" ca="1" si="5"/>
        <v>-7.1788129726312053E-3</v>
      </c>
    </row>
    <row r="179" spans="3:8">
      <c r="C179" s="164">
        <v>45104</v>
      </c>
      <c r="D179" s="163">
        <v>4606.8999999999996</v>
      </c>
      <c r="E179">
        <f t="shared" si="4"/>
        <v>1.3693866017474399E-3</v>
      </c>
      <c r="F179">
        <v>-3.3963570285122499E-3</v>
      </c>
      <c r="G179">
        <v>167</v>
      </c>
      <c r="H179">
        <f t="shared" ca="1" si="5"/>
        <v>-3.9851013495720176E-3</v>
      </c>
    </row>
    <row r="180" spans="3:8">
      <c r="C180" s="164">
        <v>45155</v>
      </c>
      <c r="D180" s="163">
        <v>4600.6000000000004</v>
      </c>
      <c r="E180">
        <f t="shared" si="4"/>
        <v>-1.7763354541184467E-2</v>
      </c>
      <c r="F180">
        <v>-3.4873394415923615E-3</v>
      </c>
      <c r="G180">
        <v>168</v>
      </c>
      <c r="H180">
        <f t="shared" ca="1" si="5"/>
        <v>-1.906342341504352E-2</v>
      </c>
    </row>
    <row r="181" spans="3:8">
      <c r="C181" s="164">
        <v>45176</v>
      </c>
      <c r="D181" s="163">
        <v>4683.8</v>
      </c>
      <c r="E181">
        <f t="shared" si="4"/>
        <v>-0.43911288873986615</v>
      </c>
      <c r="F181">
        <v>-3.785945210141267E-3</v>
      </c>
      <c r="G181">
        <v>169</v>
      </c>
      <c r="H181">
        <f t="shared" ca="1" si="5"/>
        <v>4.7299390417646497E-3</v>
      </c>
    </row>
    <row r="182" spans="3:8">
      <c r="C182" s="164">
        <v>45369</v>
      </c>
      <c r="D182" s="163">
        <v>8350.7000000000007</v>
      </c>
      <c r="E182">
        <f t="shared" si="4"/>
        <v>0.54711353194012158</v>
      </c>
      <c r="F182">
        <v>-3.9243284507848222E-3</v>
      </c>
      <c r="G182">
        <v>170</v>
      </c>
      <c r="H182">
        <f t="shared" ca="1" si="5"/>
        <v>-1.2670323475718137E-3</v>
      </c>
    </row>
    <row r="183" spans="3:8">
      <c r="C183" s="164">
        <v>45239</v>
      </c>
      <c r="D183" s="163">
        <v>5397.6</v>
      </c>
      <c r="E183">
        <f t="shared" si="4"/>
        <v>0.11267779839208418</v>
      </c>
      <c r="F183">
        <v>-3.9490680937441661E-3</v>
      </c>
      <c r="G183">
        <v>171</v>
      </c>
      <c r="H183">
        <f t="shared" ca="1" si="5"/>
        <v>1.7642149925907548E-2</v>
      </c>
    </row>
    <row r="184" spans="3:8">
      <c r="C184" s="164">
        <v>45135</v>
      </c>
      <c r="D184" s="163">
        <v>4851</v>
      </c>
      <c r="E184">
        <f t="shared" si="4"/>
        <v>4.3180938454260076E-2</v>
      </c>
      <c r="F184">
        <v>-4.0036957191253468E-3</v>
      </c>
      <c r="G184">
        <v>172</v>
      </c>
      <c r="H184">
        <f t="shared" ca="1" si="5"/>
        <v>-2.5248459220864616E-2</v>
      </c>
    </row>
    <row r="185" spans="3:8">
      <c r="C185" s="164">
        <v>45147</v>
      </c>
      <c r="D185" s="163">
        <v>4650.2</v>
      </c>
      <c r="E185">
        <f t="shared" si="4"/>
        <v>2.6783545673342356E-2</v>
      </c>
      <c r="F185">
        <v>-4.261150724823996E-3</v>
      </c>
      <c r="G185">
        <v>173</v>
      </c>
      <c r="H185">
        <f t="shared" ca="1" si="5"/>
        <v>1.6530730884493545E-3</v>
      </c>
    </row>
    <row r="186" spans="3:8">
      <c r="C186" s="164">
        <v>45056</v>
      </c>
      <c r="D186" s="163">
        <v>4528.8999999999996</v>
      </c>
      <c r="E186">
        <f t="shared" si="4"/>
        <v>-0.14844690132370639</v>
      </c>
      <c r="F186">
        <v>-4.4842063614183598E-3</v>
      </c>
      <c r="G186">
        <v>174</v>
      </c>
      <c r="H186">
        <f t="shared" ca="1" si="5"/>
        <v>7.4109335236358315E-3</v>
      </c>
    </row>
    <row r="187" spans="3:8">
      <c r="C187" s="164">
        <v>45233</v>
      </c>
      <c r="D187" s="163">
        <v>5318.4</v>
      </c>
      <c r="E187">
        <f t="shared" si="4"/>
        <v>-1.366814413679285E-2</v>
      </c>
      <c r="F187">
        <v>-4.8649053214579749E-3</v>
      </c>
      <c r="G187">
        <v>175</v>
      </c>
      <c r="H187">
        <f t="shared" ca="1" si="5"/>
        <v>1.0948390388523382E-2</v>
      </c>
    </row>
    <row r="188" spans="3:8">
      <c r="C188" s="164">
        <v>45242</v>
      </c>
      <c r="D188" s="163">
        <v>5392.1</v>
      </c>
      <c r="E188">
        <f t="shared" si="4"/>
        <v>-0.26074856046065253</v>
      </c>
      <c r="F188">
        <v>-4.945653176843875E-3</v>
      </c>
      <c r="G188">
        <v>176</v>
      </c>
      <c r="H188">
        <f t="shared" ca="1" si="5"/>
        <v>-1.9905681884988528E-2</v>
      </c>
    </row>
    <row r="189" spans="3:8">
      <c r="C189" s="164">
        <v>45308</v>
      </c>
      <c r="D189" s="163">
        <v>7294</v>
      </c>
      <c r="E189">
        <f t="shared" si="4"/>
        <v>0.55469349475658614</v>
      </c>
      <c r="F189">
        <v>-5.1963284734251255E-3</v>
      </c>
      <c r="G189">
        <v>177</v>
      </c>
      <c r="H189">
        <f t="shared" ca="1" si="5"/>
        <v>1.4480664129187509E-2</v>
      </c>
    </row>
    <row r="190" spans="3:8">
      <c r="C190" s="164">
        <v>45110</v>
      </c>
      <c r="D190" s="163">
        <v>4691.6000000000004</v>
      </c>
      <c r="E190">
        <f t="shared" si="4"/>
        <v>-6.2916949626493024E-2</v>
      </c>
      <c r="F190">
        <v>-5.2371562453617914E-3</v>
      </c>
      <c r="G190">
        <v>178</v>
      </c>
      <c r="H190">
        <f t="shared" ca="1" si="5"/>
        <v>-1.1481070495974344E-2</v>
      </c>
    </row>
    <row r="191" spans="3:8">
      <c r="C191" s="164">
        <v>45198</v>
      </c>
      <c r="D191" s="163">
        <v>5006.6000000000004</v>
      </c>
      <c r="E191">
        <f t="shared" si="4"/>
        <v>-0.24883347586682869</v>
      </c>
      <c r="F191">
        <v>-5.2453804887740187E-3</v>
      </c>
      <c r="G191">
        <v>179</v>
      </c>
      <c r="H191">
        <f t="shared" ca="1" si="5"/>
        <v>2.1738379531346292E-2</v>
      </c>
    </row>
    <row r="192" spans="3:8">
      <c r="C192" s="164">
        <v>45294</v>
      </c>
      <c r="D192" s="163">
        <v>6665.1</v>
      </c>
      <c r="E192">
        <f t="shared" si="4"/>
        <v>0.45934051497635325</v>
      </c>
      <c r="F192">
        <v>-5.3722523167838111E-3</v>
      </c>
      <c r="G192">
        <v>180</v>
      </c>
      <c r="H192">
        <f t="shared" ca="1" si="5"/>
        <v>-2.1267886621613014E-2</v>
      </c>
    </row>
    <row r="193" spans="3:8">
      <c r="C193" s="164">
        <v>45078</v>
      </c>
      <c r="D193" s="163">
        <v>4567.2</v>
      </c>
      <c r="E193">
        <f t="shared" si="4"/>
        <v>-3.4459430890871424E-2</v>
      </c>
      <c r="F193">
        <v>-5.3790369999346284E-3</v>
      </c>
      <c r="G193">
        <v>181</v>
      </c>
      <c r="H193">
        <f t="shared" ca="1" si="5"/>
        <v>7.4743800533638854E-3</v>
      </c>
    </row>
    <row r="194" spans="3:8">
      <c r="C194" s="164">
        <v>45092</v>
      </c>
      <c r="D194" s="163">
        <v>4730.2</v>
      </c>
      <c r="E194">
        <f t="shared" si="4"/>
        <v>-2.1310932715385252E-2</v>
      </c>
      <c r="F194">
        <v>-5.4247266610597525E-3</v>
      </c>
      <c r="G194">
        <v>182</v>
      </c>
      <c r="H194">
        <f t="shared" ca="1" si="5"/>
        <v>1.4714663982075691E-2</v>
      </c>
    </row>
    <row r="195" spans="3:8">
      <c r="C195" s="164">
        <v>45125</v>
      </c>
      <c r="D195" s="163">
        <v>4833.2</v>
      </c>
      <c r="E195">
        <f t="shared" si="4"/>
        <v>7.4498121429047687E-2</v>
      </c>
      <c r="F195">
        <v>-5.4325458885506103E-3</v>
      </c>
      <c r="G195">
        <v>183</v>
      </c>
      <c r="H195">
        <f t="shared" ca="1" si="5"/>
        <v>-1.1176249546792184E-2</v>
      </c>
    </row>
    <row r="196" spans="3:8">
      <c r="C196" s="164">
        <v>45070</v>
      </c>
      <c r="D196" s="163">
        <v>4498.1000000000004</v>
      </c>
      <c r="E196">
        <f t="shared" si="4"/>
        <v>-0.36231534775581953</v>
      </c>
      <c r="F196">
        <v>-5.5711538036388956E-3</v>
      </c>
      <c r="G196">
        <v>184</v>
      </c>
      <c r="H196">
        <f t="shared" ca="1" si="5"/>
        <v>-1.1122814926432245E-2</v>
      </c>
    </row>
    <row r="197" spans="3:8">
      <c r="C197" s="164">
        <v>45302</v>
      </c>
      <c r="D197" s="163">
        <v>7053.8</v>
      </c>
      <c r="E197">
        <f t="shared" si="4"/>
        <v>0.55424819319584007</v>
      </c>
      <c r="F197">
        <v>-5.652743906736697E-3</v>
      </c>
      <c r="G197">
        <v>185</v>
      </c>
      <c r="H197">
        <f t="shared" ca="1" si="5"/>
        <v>1.92991205822154E-2</v>
      </c>
    </row>
    <row r="198" spans="3:8">
      <c r="C198" s="164">
        <v>45063</v>
      </c>
      <c r="D198" s="163">
        <v>4538.3999999999996</v>
      </c>
      <c r="E198">
        <f t="shared" si="4"/>
        <v>-1.1650950586903026E-2</v>
      </c>
      <c r="F198">
        <v>-5.7398238618938625E-3</v>
      </c>
      <c r="G198">
        <v>186</v>
      </c>
      <c r="H198">
        <f t="shared" ca="1" si="5"/>
        <v>1.9157965618167613E-2</v>
      </c>
    </row>
    <row r="199" spans="3:8">
      <c r="C199" s="164">
        <v>45077</v>
      </c>
      <c r="D199" s="163">
        <v>4591.8999999999996</v>
      </c>
      <c r="E199">
        <f t="shared" si="4"/>
        <v>-0.35281598827376259</v>
      </c>
      <c r="F199">
        <v>-5.7594457074808623E-3</v>
      </c>
      <c r="G199">
        <v>187</v>
      </c>
      <c r="H199">
        <f t="shared" ca="1" si="5"/>
        <v>5.0637463589552102E-3</v>
      </c>
    </row>
    <row r="200" spans="3:8">
      <c r="C200" s="164">
        <v>45314</v>
      </c>
      <c r="D200" s="163">
        <v>7095.2</v>
      </c>
      <c r="E200">
        <f t="shared" si="4"/>
        <v>0.53708838821490468</v>
      </c>
      <c r="F200">
        <v>-5.8010817476109831E-3</v>
      </c>
      <c r="G200">
        <v>188</v>
      </c>
      <c r="H200">
        <f t="shared" ca="1" si="5"/>
        <v>5.3654022082709049E-3</v>
      </c>
    </row>
    <row r="201" spans="3:8">
      <c r="C201" s="164">
        <v>45075</v>
      </c>
      <c r="D201" s="163">
        <v>4616</v>
      </c>
      <c r="E201">
        <f t="shared" si="4"/>
        <v>-0.38851208139041971</v>
      </c>
      <c r="F201">
        <v>-6.029285099052541E-3</v>
      </c>
      <c r="G201">
        <v>189</v>
      </c>
      <c r="H201">
        <f t="shared" ca="1" si="5"/>
        <v>8.8967982696829331E-4</v>
      </c>
    </row>
    <row r="202" spans="3:8">
      <c r="C202" s="164">
        <v>45321</v>
      </c>
      <c r="D202" s="163">
        <v>7548.8</v>
      </c>
      <c r="E202">
        <f t="shared" si="4"/>
        <v>0.62808954837596509</v>
      </c>
      <c r="F202">
        <v>-6.4100032905560801E-3</v>
      </c>
      <c r="G202">
        <v>190</v>
      </c>
      <c r="H202">
        <f t="shared" ca="1" si="5"/>
        <v>1.5715486652071765E-2</v>
      </c>
    </row>
    <row r="203" spans="3:8">
      <c r="C203" s="164">
        <v>45149</v>
      </c>
      <c r="D203" s="163">
        <v>4636.6000000000004</v>
      </c>
      <c r="E203">
        <f t="shared" si="4"/>
        <v>1.3822297092999322E-3</v>
      </c>
      <c r="F203">
        <v>-6.4286632666180942E-3</v>
      </c>
      <c r="G203">
        <v>191</v>
      </c>
      <c r="H203">
        <f t="shared" ca="1" si="5"/>
        <v>2.6899277922499059E-2</v>
      </c>
    </row>
    <row r="204" spans="3:8">
      <c r="C204" s="164">
        <v>45163</v>
      </c>
      <c r="D204" s="163">
        <v>4630.2</v>
      </c>
      <c r="E204">
        <f t="shared" si="4"/>
        <v>-1.5095316139049427E-3</v>
      </c>
      <c r="F204">
        <v>-6.565396498455279E-3</v>
      </c>
      <c r="G204">
        <v>192</v>
      </c>
      <c r="H204">
        <f t="shared" ca="1" si="5"/>
        <v>1.4884940730215807E-2</v>
      </c>
    </row>
    <row r="205" spans="3:8">
      <c r="C205" s="164">
        <v>45174</v>
      </c>
      <c r="D205" s="163">
        <v>4637.2</v>
      </c>
      <c r="E205">
        <f t="shared" ref="E205:E256" si="6">(D205-D206)/D206</f>
        <v>-4.3679109094658733E-2</v>
      </c>
      <c r="F205">
        <v>-6.7045089429153219E-3</v>
      </c>
      <c r="G205">
        <v>193</v>
      </c>
      <c r="H205">
        <f t="shared" ref="H205:H256" ca="1" si="7">NORMINV(RAND(),N$15,N$16)</f>
        <v>-8.6991479740796129E-3</v>
      </c>
    </row>
    <row r="206" spans="3:8">
      <c r="C206" s="164">
        <v>45133</v>
      </c>
      <c r="D206" s="163">
        <v>4849</v>
      </c>
      <c r="E206">
        <f t="shared" si="6"/>
        <v>-3.6558712497516389E-2</v>
      </c>
      <c r="F206">
        <v>-6.922257720979803E-3</v>
      </c>
      <c r="G206">
        <v>194</v>
      </c>
      <c r="H206">
        <f t="shared" ca="1" si="7"/>
        <v>-1.601812655756308E-2</v>
      </c>
    </row>
    <row r="207" spans="3:8">
      <c r="C207" s="164">
        <v>45197</v>
      </c>
      <c r="D207" s="163">
        <v>5033</v>
      </c>
      <c r="E207">
        <f t="shared" si="6"/>
        <v>-0.21592148309705561</v>
      </c>
      <c r="F207">
        <v>-7.1411662589757393E-3</v>
      </c>
      <c r="G207">
        <v>195</v>
      </c>
      <c r="H207">
        <f t="shared" ca="1" si="7"/>
        <v>-1.7814882179260003E-2</v>
      </c>
    </row>
    <row r="208" spans="3:8">
      <c r="C208" s="164">
        <v>45280</v>
      </c>
      <c r="D208" s="163">
        <v>6419</v>
      </c>
      <c r="E208">
        <f t="shared" si="6"/>
        <v>-0.23918454426929003</v>
      </c>
      <c r="F208">
        <v>-7.2227291708554095E-3</v>
      </c>
      <c r="G208">
        <v>196</v>
      </c>
      <c r="H208">
        <f t="shared" ca="1" si="7"/>
        <v>1.4040341922065259E-2</v>
      </c>
    </row>
    <row r="209" spans="3:8">
      <c r="C209" s="164">
        <v>45348</v>
      </c>
      <c r="D209" s="163">
        <v>8437</v>
      </c>
      <c r="E209">
        <f t="shared" si="6"/>
        <v>0.39544499760175972</v>
      </c>
      <c r="F209">
        <v>-7.2365711596164032E-3</v>
      </c>
      <c r="G209">
        <v>197</v>
      </c>
      <c r="H209">
        <f t="shared" ca="1" si="7"/>
        <v>4.144594127179671E-3</v>
      </c>
    </row>
    <row r="210" spans="3:8">
      <c r="C210" s="164">
        <v>45264</v>
      </c>
      <c r="D210" s="163">
        <v>6046.1</v>
      </c>
      <c r="E210">
        <f t="shared" si="6"/>
        <v>-0.26556369422883025</v>
      </c>
      <c r="F210">
        <v>-7.3063409187928939E-3</v>
      </c>
      <c r="G210">
        <v>198</v>
      </c>
      <c r="H210">
        <f t="shared" ca="1" si="7"/>
        <v>-8.2390973424831572E-3</v>
      </c>
    </row>
    <row r="211" spans="3:8">
      <c r="C211" s="164">
        <v>45344</v>
      </c>
      <c r="D211" s="163">
        <v>8232.2999999999993</v>
      </c>
      <c r="E211">
        <f t="shared" si="6"/>
        <v>0.70663598482492684</v>
      </c>
      <c r="F211">
        <v>-7.582698428006733E-3</v>
      </c>
      <c r="G211">
        <v>199</v>
      </c>
      <c r="H211">
        <f t="shared" ca="1" si="7"/>
        <v>-1.5590847834049893E-2</v>
      </c>
    </row>
    <row r="212" spans="3:8">
      <c r="C212" s="164">
        <v>45127</v>
      </c>
      <c r="D212" s="163">
        <v>4823.7</v>
      </c>
      <c r="E212">
        <f t="shared" si="6"/>
        <v>7.5950214132762317E-2</v>
      </c>
      <c r="F212">
        <v>-7.5916553511913227E-3</v>
      </c>
      <c r="G212">
        <v>200</v>
      </c>
      <c r="H212">
        <f t="shared" ca="1" si="7"/>
        <v>-1.2766553908469137E-2</v>
      </c>
    </row>
    <row r="213" spans="3:8">
      <c r="C213" s="164">
        <v>45068</v>
      </c>
      <c r="D213" s="163">
        <v>4483.2</v>
      </c>
      <c r="E213">
        <f t="shared" si="6"/>
        <v>5.3779616397141829E-2</v>
      </c>
      <c r="F213">
        <v>-7.8562418394671034E-3</v>
      </c>
      <c r="G213">
        <v>201</v>
      </c>
      <c r="H213">
        <f t="shared" ca="1" si="7"/>
        <v>-6.9348028983835771E-3</v>
      </c>
    </row>
    <row r="214" spans="3:8">
      <c r="C214" s="164">
        <v>45034</v>
      </c>
      <c r="D214" s="163">
        <v>4254.3999999999996</v>
      </c>
      <c r="E214">
        <f t="shared" si="6"/>
        <v>-0.12792866659833974</v>
      </c>
      <c r="F214">
        <v>-7.9283648913347649E-3</v>
      </c>
      <c r="G214">
        <v>202</v>
      </c>
      <c r="H214">
        <f t="shared" ca="1" si="7"/>
        <v>4.5775855797871943E-3</v>
      </c>
    </row>
    <row r="215" spans="3:8">
      <c r="C215" s="164">
        <v>45120</v>
      </c>
      <c r="D215" s="163">
        <v>4878.5</v>
      </c>
      <c r="E215">
        <f t="shared" si="6"/>
        <v>6.0751016503228811E-2</v>
      </c>
      <c r="F215">
        <v>-7.9712060516094561E-3</v>
      </c>
      <c r="G215">
        <v>203</v>
      </c>
      <c r="H215">
        <f t="shared" ca="1" si="7"/>
        <v>6.0593719701205698E-3</v>
      </c>
    </row>
    <row r="216" spans="3:8">
      <c r="C216" s="164">
        <v>45152</v>
      </c>
      <c r="D216" s="163">
        <v>4599.1000000000004</v>
      </c>
      <c r="E216">
        <f t="shared" si="6"/>
        <v>-2.8186726220160011E-3</v>
      </c>
      <c r="F216">
        <v>-8.0878229737307503E-3</v>
      </c>
      <c r="G216">
        <v>204</v>
      </c>
      <c r="H216">
        <f t="shared" ca="1" si="7"/>
        <v>-5.1294433821060014E-3</v>
      </c>
    </row>
    <row r="217" spans="3:8">
      <c r="C217" s="164">
        <v>45100</v>
      </c>
      <c r="D217" s="163">
        <v>4612.1000000000004</v>
      </c>
      <c r="E217">
        <f t="shared" si="6"/>
        <v>-0.27533977531620701</v>
      </c>
      <c r="F217">
        <v>-8.1931959915701388E-3</v>
      </c>
      <c r="G217">
        <v>205</v>
      </c>
      <c r="H217">
        <f t="shared" ca="1" si="7"/>
        <v>4.7477530873973398E-3</v>
      </c>
    </row>
    <row r="218" spans="3:8">
      <c r="C218" s="164">
        <v>45281</v>
      </c>
      <c r="D218" s="163">
        <v>6364.5</v>
      </c>
      <c r="E218">
        <f t="shared" si="6"/>
        <v>0.36281878332369744</v>
      </c>
      <c r="F218">
        <v>-8.4904190683907158E-3</v>
      </c>
      <c r="G218">
        <v>206</v>
      </c>
      <c r="H218">
        <f t="shared" ca="1" si="7"/>
        <v>2.7382772320868817E-2</v>
      </c>
    </row>
    <row r="219" spans="3:8">
      <c r="C219" s="164">
        <v>45146</v>
      </c>
      <c r="D219" s="163">
        <v>4670.1000000000004</v>
      </c>
      <c r="E219">
        <f t="shared" si="6"/>
        <v>1.1807782303492503E-2</v>
      </c>
      <c r="F219">
        <v>-8.8921901528012815E-3</v>
      </c>
      <c r="G219">
        <v>207</v>
      </c>
      <c r="H219">
        <f t="shared" ca="1" si="7"/>
        <v>-4.9368320979780644E-3</v>
      </c>
    </row>
    <row r="220" spans="3:8">
      <c r="C220" s="164">
        <v>45159</v>
      </c>
      <c r="D220" s="163">
        <v>4615.6000000000004</v>
      </c>
      <c r="E220">
        <f t="shared" si="6"/>
        <v>-0.3332177631388864</v>
      </c>
      <c r="F220">
        <v>-9.0813456707956961E-3</v>
      </c>
      <c r="G220">
        <v>208</v>
      </c>
      <c r="H220">
        <f t="shared" ca="1" si="7"/>
        <v>1.7897784732751266E-2</v>
      </c>
    </row>
    <row r="221" spans="3:8">
      <c r="C221" s="164">
        <v>45296</v>
      </c>
      <c r="D221" s="163">
        <v>6922.2</v>
      </c>
      <c r="E221">
        <f t="shared" si="6"/>
        <v>0.37988637496262329</v>
      </c>
      <c r="F221">
        <v>-9.2034638230874093E-3</v>
      </c>
      <c r="G221">
        <v>209</v>
      </c>
      <c r="H221">
        <f t="shared" ca="1" si="7"/>
        <v>9.4324483621228798E-5</v>
      </c>
    </row>
    <row r="222" spans="3:8">
      <c r="C222" s="164">
        <v>45203</v>
      </c>
      <c r="D222" s="163">
        <v>5016.5</v>
      </c>
      <c r="E222">
        <f t="shared" si="6"/>
        <v>-0.20058324834268229</v>
      </c>
      <c r="F222">
        <v>-9.3212473092797402E-3</v>
      </c>
      <c r="G222">
        <v>210</v>
      </c>
      <c r="H222">
        <f t="shared" ca="1" si="7"/>
        <v>3.4652999438133915E-2</v>
      </c>
    </row>
    <row r="223" spans="3:8">
      <c r="C223" s="164">
        <v>45278</v>
      </c>
      <c r="D223" s="163">
        <v>6275.2</v>
      </c>
      <c r="E223">
        <f t="shared" si="6"/>
        <v>0.36494540392395708</v>
      </c>
      <c r="F223">
        <v>-9.4239845932847909E-3</v>
      </c>
      <c r="G223">
        <v>211</v>
      </c>
      <c r="H223">
        <f t="shared" ca="1" si="7"/>
        <v>1.1986439504355257E-2</v>
      </c>
    </row>
    <row r="224" spans="3:8">
      <c r="C224" s="164">
        <v>45097</v>
      </c>
      <c r="D224" s="163">
        <v>4597.3999999999996</v>
      </c>
      <c r="E224">
        <f t="shared" si="6"/>
        <v>-0.2512499796420255</v>
      </c>
      <c r="F224">
        <v>-9.6079276174063696E-3</v>
      </c>
      <c r="G224">
        <v>212</v>
      </c>
      <c r="H224">
        <f t="shared" ca="1" si="7"/>
        <v>-8.0285457729601523E-3</v>
      </c>
    </row>
    <row r="225" spans="3:8">
      <c r="C225" s="164">
        <v>45266</v>
      </c>
      <c r="D225" s="163">
        <v>6140.1</v>
      </c>
      <c r="E225">
        <f t="shared" si="6"/>
        <v>0.33943413101808423</v>
      </c>
      <c r="F225">
        <v>-9.9327603721559334E-3</v>
      </c>
      <c r="G225">
        <v>213</v>
      </c>
      <c r="H225">
        <f t="shared" ca="1" si="7"/>
        <v>3.1185436911560289E-2</v>
      </c>
    </row>
    <row r="226" spans="3:8">
      <c r="C226" s="164">
        <v>45166</v>
      </c>
      <c r="D226" s="163">
        <v>4584.1000000000004</v>
      </c>
      <c r="E226">
        <f t="shared" si="6"/>
        <v>6.6317748313561381E-2</v>
      </c>
      <c r="F226">
        <v>-9.9563733748001069E-3</v>
      </c>
      <c r="G226">
        <v>214</v>
      </c>
      <c r="H226">
        <f t="shared" ca="1" si="7"/>
        <v>-6.7017047011723374E-3</v>
      </c>
    </row>
    <row r="227" spans="3:8">
      <c r="C227" s="164">
        <v>45043</v>
      </c>
      <c r="D227" s="163">
        <v>4299</v>
      </c>
      <c r="E227">
        <f t="shared" si="6"/>
        <v>-0.43864826397503365</v>
      </c>
      <c r="F227">
        <v>-1.0040068161930723E-2</v>
      </c>
      <c r="G227">
        <v>215</v>
      </c>
      <c r="H227">
        <f t="shared" ca="1" si="7"/>
        <v>1.7466721859920949E-3</v>
      </c>
    </row>
    <row r="228" spans="3:8">
      <c r="C228" s="164">
        <v>45328</v>
      </c>
      <c r="D228" s="163">
        <v>7658.3</v>
      </c>
      <c r="E228">
        <f t="shared" si="6"/>
        <v>0.81937614330173658</v>
      </c>
      <c r="F228">
        <v>-1.0325398671525631E-2</v>
      </c>
      <c r="G228">
        <v>216</v>
      </c>
      <c r="H228">
        <f t="shared" ca="1" si="7"/>
        <v>-1.2515982234844261E-2</v>
      </c>
    </row>
    <row r="229" spans="3:8">
      <c r="C229" s="164">
        <v>45035</v>
      </c>
      <c r="D229" s="163">
        <v>4209.3</v>
      </c>
      <c r="E229">
        <f t="shared" si="6"/>
        <v>-0.16687118992953834</v>
      </c>
      <c r="F229">
        <v>-1.060078977059032E-2</v>
      </c>
      <c r="G229">
        <v>217</v>
      </c>
      <c r="H229">
        <f t="shared" ca="1" si="7"/>
        <v>1.2779994994921946E-2</v>
      </c>
    </row>
    <row r="230" spans="3:8">
      <c r="C230" s="164">
        <v>45215</v>
      </c>
      <c r="D230" s="163">
        <v>5052.3999999999996</v>
      </c>
      <c r="E230">
        <f t="shared" si="6"/>
        <v>-5.5149327698090722E-2</v>
      </c>
      <c r="F230">
        <v>-1.0613715583754499E-2</v>
      </c>
      <c r="G230">
        <v>218</v>
      </c>
      <c r="H230">
        <f t="shared" ca="1" si="7"/>
        <v>7.0967838313377492E-3</v>
      </c>
    </row>
    <row r="231" spans="3:8">
      <c r="C231" s="164">
        <v>45225</v>
      </c>
      <c r="D231" s="163">
        <v>5347.3</v>
      </c>
      <c r="E231">
        <f t="shared" si="6"/>
        <v>0.20220778344836904</v>
      </c>
      <c r="F231">
        <v>-1.0748510748510649E-2</v>
      </c>
      <c r="G231">
        <v>219</v>
      </c>
      <c r="H231">
        <f t="shared" ca="1" si="7"/>
        <v>-1.0672356571888458E-2</v>
      </c>
    </row>
    <row r="232" spans="3:8">
      <c r="C232" s="164">
        <v>45050</v>
      </c>
      <c r="D232" s="163">
        <v>4447.8999999999996</v>
      </c>
      <c r="E232">
        <f t="shared" si="6"/>
        <v>-0.26723228995057668</v>
      </c>
      <c r="F232">
        <v>-1.1138283681636364E-2</v>
      </c>
      <c r="G232">
        <v>220</v>
      </c>
      <c r="H232">
        <f t="shared" ca="1" si="7"/>
        <v>-6.0605550721710109E-4</v>
      </c>
    </row>
    <row r="233" spans="3:8">
      <c r="C233" s="164">
        <v>45267</v>
      </c>
      <c r="D233" s="163">
        <v>6070</v>
      </c>
      <c r="E233">
        <f t="shared" si="6"/>
        <v>-0.14309108362979281</v>
      </c>
      <c r="F233">
        <v>-1.1416752170160154E-2</v>
      </c>
      <c r="G233">
        <v>221</v>
      </c>
      <c r="H233">
        <f t="shared" ca="1" si="7"/>
        <v>-3.839185342492047E-3</v>
      </c>
    </row>
    <row r="234" spans="3:8">
      <c r="C234" s="164">
        <v>45310</v>
      </c>
      <c r="D234" s="163">
        <v>7083.6</v>
      </c>
      <c r="E234">
        <f t="shared" si="6"/>
        <v>0.49335919382721272</v>
      </c>
      <c r="F234">
        <v>-1.149874406921569E-2</v>
      </c>
      <c r="G234">
        <v>222</v>
      </c>
      <c r="H234">
        <f t="shared" ca="1" si="7"/>
        <v>-5.416562939990109E-3</v>
      </c>
    </row>
    <row r="235" spans="3:8">
      <c r="C235" s="164">
        <v>45089</v>
      </c>
      <c r="D235" s="163">
        <v>4743.3999999999996</v>
      </c>
      <c r="E235">
        <f t="shared" si="6"/>
        <v>-0.10651924127408692</v>
      </c>
      <c r="F235">
        <v>-1.1935759368425477E-2</v>
      </c>
      <c r="G235">
        <v>223</v>
      </c>
      <c r="H235">
        <f t="shared" ca="1" si="7"/>
        <v>-1.6569552715074896E-2</v>
      </c>
    </row>
    <row r="236" spans="3:8">
      <c r="C236" s="164">
        <v>45230</v>
      </c>
      <c r="D236" s="163">
        <v>5308.9</v>
      </c>
      <c r="E236">
        <f t="shared" si="6"/>
        <v>0.15065672547574654</v>
      </c>
      <c r="F236">
        <v>-1.2040345392288359E-2</v>
      </c>
      <c r="G236">
        <v>224</v>
      </c>
      <c r="H236">
        <f t="shared" ca="1" si="7"/>
        <v>2.045472466417541E-2</v>
      </c>
    </row>
    <row r="237" spans="3:8">
      <c r="C237" s="164">
        <v>45170</v>
      </c>
      <c r="D237" s="163">
        <v>4613.8</v>
      </c>
      <c r="E237">
        <f t="shared" si="6"/>
        <v>-0.31148617391174582</v>
      </c>
      <c r="F237">
        <v>-1.3090909090909052E-2</v>
      </c>
      <c r="G237">
        <v>225</v>
      </c>
      <c r="H237">
        <f t="shared" ca="1" si="7"/>
        <v>4.8255342353520888E-3</v>
      </c>
    </row>
    <row r="238" spans="3:8">
      <c r="C238" s="164">
        <v>45293</v>
      </c>
      <c r="D238" s="163">
        <v>6701.1</v>
      </c>
      <c r="E238">
        <f t="shared" si="6"/>
        <v>-0.21419609038779508</v>
      </c>
      <c r="F238">
        <v>-1.4152678269312787E-2</v>
      </c>
      <c r="G238">
        <v>226</v>
      </c>
      <c r="H238">
        <f t="shared" ca="1" si="7"/>
        <v>-1.7232776029704553E-2</v>
      </c>
    </row>
    <row r="239" spans="3:8">
      <c r="C239" s="164">
        <v>45364</v>
      </c>
      <c r="D239" s="163">
        <v>8527.7000000000007</v>
      </c>
      <c r="E239">
        <f t="shared" si="6"/>
        <v>0.57762607762607787</v>
      </c>
      <c r="F239">
        <v>-1.5208905928817113E-2</v>
      </c>
      <c r="G239">
        <v>227</v>
      </c>
      <c r="H239">
        <f t="shared" ca="1" si="7"/>
        <v>-2.5326346419575065E-2</v>
      </c>
    </row>
    <row r="240" spans="3:8">
      <c r="C240" s="164">
        <v>45224</v>
      </c>
      <c r="D240" s="163">
        <v>5405.4</v>
      </c>
      <c r="E240">
        <f t="shared" si="6"/>
        <v>2.7759820511845459E-2</v>
      </c>
      <c r="F240">
        <v>-1.528428032718207E-2</v>
      </c>
      <c r="G240">
        <v>228</v>
      </c>
      <c r="H240">
        <f t="shared" ca="1" si="7"/>
        <v>5.9756166762131207E-3</v>
      </c>
    </row>
    <row r="241" spans="3:8">
      <c r="C241" s="164">
        <v>45226</v>
      </c>
      <c r="D241" s="163">
        <v>5259.4</v>
      </c>
      <c r="E241">
        <f t="shared" si="6"/>
        <v>5.1648637299793895E-2</v>
      </c>
      <c r="F241">
        <v>-1.6438202457315008E-2</v>
      </c>
      <c r="G241">
        <v>229</v>
      </c>
      <c r="H241">
        <f t="shared" ca="1" si="7"/>
        <v>-1.5255768249658715E-3</v>
      </c>
    </row>
    <row r="242" spans="3:8">
      <c r="C242" s="164">
        <v>45194</v>
      </c>
      <c r="D242" s="163">
        <v>5001.1000000000004</v>
      </c>
      <c r="E242">
        <f t="shared" si="6"/>
        <v>-0.40355877828000325</v>
      </c>
      <c r="F242">
        <v>-1.6538189255093105E-2</v>
      </c>
      <c r="G242">
        <v>230</v>
      </c>
      <c r="H242">
        <f t="shared" ca="1" si="7"/>
        <v>-7.4681265778135776E-3</v>
      </c>
    </row>
    <row r="243" spans="3:8">
      <c r="C243" s="164">
        <v>45365</v>
      </c>
      <c r="D243" s="163">
        <v>8384.9</v>
      </c>
      <c r="E243">
        <f t="shared" si="6"/>
        <v>0.80631193451098659</v>
      </c>
      <c r="F243">
        <v>-1.6745429600009507E-2</v>
      </c>
      <c r="G243">
        <v>231</v>
      </c>
      <c r="H243">
        <f t="shared" ca="1" si="7"/>
        <v>7.7274025385527158E-3</v>
      </c>
    </row>
    <row r="244" spans="3:8">
      <c r="C244" s="164">
        <v>45096</v>
      </c>
      <c r="D244" s="163">
        <v>4642</v>
      </c>
      <c r="E244">
        <f t="shared" si="6"/>
        <v>-3.9718659495242038E-2</v>
      </c>
      <c r="F244">
        <v>-1.6858691968824203E-2</v>
      </c>
      <c r="G244">
        <v>232</v>
      </c>
      <c r="H244">
        <f t="shared" ca="1" si="7"/>
        <v>-1.2621782684154037E-2</v>
      </c>
    </row>
    <row r="245" spans="3:8">
      <c r="C245" s="164">
        <v>45117</v>
      </c>
      <c r="D245" s="163">
        <v>4834</v>
      </c>
      <c r="E245">
        <f t="shared" si="6"/>
        <v>4.8430823952978978E-2</v>
      </c>
      <c r="F245">
        <v>-1.7020151696931458E-2</v>
      </c>
      <c r="G245">
        <v>233</v>
      </c>
      <c r="H245">
        <f t="shared" ca="1" si="7"/>
        <v>2.2423105054191882E-2</v>
      </c>
    </row>
    <row r="246" spans="3:8">
      <c r="C246" s="164">
        <v>45111</v>
      </c>
      <c r="D246" s="163">
        <v>4610.7</v>
      </c>
      <c r="E246">
        <f t="shared" si="6"/>
        <v>-0.35658665922411392</v>
      </c>
      <c r="F246">
        <v>-1.7243584278284707E-2</v>
      </c>
      <c r="G246">
        <v>234</v>
      </c>
      <c r="H246">
        <f t="shared" ca="1" si="7"/>
        <v>-3.063580012904904E-2</v>
      </c>
    </row>
    <row r="247" spans="3:8">
      <c r="C247" s="164">
        <v>45309</v>
      </c>
      <c r="D247" s="163">
        <v>7166</v>
      </c>
      <c r="E247">
        <f t="shared" si="6"/>
        <v>0.14722079918032793</v>
      </c>
      <c r="F247">
        <v>-1.7548670139840964E-2</v>
      </c>
      <c r="G247">
        <v>235</v>
      </c>
      <c r="H247">
        <f t="shared" ca="1" si="7"/>
        <v>1.4518922121267538E-2</v>
      </c>
    </row>
    <row r="248" spans="3:8">
      <c r="C248" s="164">
        <v>45282</v>
      </c>
      <c r="D248" s="163">
        <v>6246.4</v>
      </c>
      <c r="E248">
        <f t="shared" si="6"/>
        <v>0.29268847912915691</v>
      </c>
      <c r="F248">
        <v>-1.8556053107078384E-2</v>
      </c>
      <c r="G248">
        <v>236</v>
      </c>
      <c r="H248">
        <f t="shared" ca="1" si="7"/>
        <v>5.6948609970535113E-3</v>
      </c>
    </row>
    <row r="249" spans="3:8">
      <c r="C249" s="164">
        <v>45141</v>
      </c>
      <c r="D249" s="163">
        <v>4832.1000000000004</v>
      </c>
      <c r="E249">
        <f t="shared" si="6"/>
        <v>-4.9771887044757226E-2</v>
      </c>
      <c r="F249">
        <v>-1.8663688058488958E-2</v>
      </c>
      <c r="G249">
        <v>237</v>
      </c>
      <c r="H249">
        <f t="shared" ca="1" si="7"/>
        <v>6.6749721299924477E-3</v>
      </c>
    </row>
    <row r="250" spans="3:8">
      <c r="C250" s="164">
        <v>45191</v>
      </c>
      <c r="D250" s="163">
        <v>5085.2</v>
      </c>
      <c r="E250">
        <f t="shared" si="6"/>
        <v>3.3871426828772304E-2</v>
      </c>
      <c r="F250">
        <v>-1.886938066756708E-2</v>
      </c>
      <c r="G250">
        <v>238</v>
      </c>
      <c r="H250">
        <f t="shared" ca="1" si="7"/>
        <v>1.5001425547756422E-2</v>
      </c>
    </row>
    <row r="251" spans="3:8">
      <c r="C251" s="164">
        <v>45204</v>
      </c>
      <c r="D251" s="163">
        <v>4918.6000000000004</v>
      </c>
      <c r="E251">
        <f t="shared" si="6"/>
        <v>4.3845500848896511E-2</v>
      </c>
      <c r="F251">
        <v>-1.9515598524867863E-2</v>
      </c>
      <c r="G251">
        <v>239</v>
      </c>
      <c r="H251">
        <f t="shared" ca="1" si="7"/>
        <v>1.1067152869112242E-3</v>
      </c>
    </row>
    <row r="252" spans="3:8">
      <c r="C252" s="164">
        <v>45145</v>
      </c>
      <c r="D252" s="163">
        <v>4712</v>
      </c>
      <c r="E252">
        <f t="shared" si="6"/>
        <v>-0.45585144467284106</v>
      </c>
      <c r="F252">
        <v>-2.3682738329569273E-2</v>
      </c>
      <c r="G252">
        <v>240</v>
      </c>
      <c r="H252">
        <f t="shared" ca="1" si="7"/>
        <v>3.72815978201227E-3</v>
      </c>
    </row>
    <row r="253" spans="3:8">
      <c r="C253" s="164">
        <v>45363</v>
      </c>
      <c r="D253" s="163">
        <v>8659.4</v>
      </c>
      <c r="E253">
        <f t="shared" si="6"/>
        <v>4.3904908862956754E-2</v>
      </c>
      <c r="F253">
        <v>-2.4743498778029387E-2</v>
      </c>
      <c r="G253">
        <v>241</v>
      </c>
      <c r="H253">
        <f t="shared" ca="1" si="7"/>
        <v>-2.8087445280356581E-2</v>
      </c>
    </row>
    <row r="254" spans="3:8">
      <c r="C254" s="164">
        <v>45343</v>
      </c>
      <c r="D254" s="163">
        <v>8295.2000000000007</v>
      </c>
      <c r="E254">
        <f t="shared" si="6"/>
        <v>1.3005727404838486E-2</v>
      </c>
      <c r="F254">
        <v>-2.5206529019824432E-2</v>
      </c>
      <c r="G254">
        <v>242</v>
      </c>
      <c r="H254">
        <f t="shared" ca="1" si="7"/>
        <v>1.4250795222532325E-3</v>
      </c>
    </row>
    <row r="255" spans="3:8">
      <c r="C255" s="164">
        <v>45351</v>
      </c>
      <c r="D255" s="163">
        <v>8188.7</v>
      </c>
      <c r="E255">
        <f t="shared" si="6"/>
        <v>3.5312413078109617E-2</v>
      </c>
      <c r="F255">
        <v>-3.2468836769657963E-2</v>
      </c>
      <c r="G255">
        <v>243</v>
      </c>
      <c r="H255">
        <f t="shared" ca="1" si="7"/>
        <v>2.1184456904015478E-2</v>
      </c>
    </row>
    <row r="256" spans="3:8">
      <c r="C256" s="164">
        <v>45352</v>
      </c>
      <c r="D256" s="163">
        <v>7909.4</v>
      </c>
      <c r="E256" t="e">
        <f t="shared" si="6"/>
        <v>#DIV/0!</v>
      </c>
      <c r="F256">
        <v>-3.4107978067336717E-2</v>
      </c>
      <c r="G256">
        <v>244</v>
      </c>
      <c r="H256">
        <f t="shared" ca="1" si="7"/>
        <v>3.4494799212712538E-3</v>
      </c>
    </row>
    <row r="257" spans="3:4">
      <c r="C257" s="164"/>
      <c r="D257" s="163"/>
    </row>
  </sheetData>
  <mergeCells count="1">
    <mergeCell ref="J10:N10"/>
  </mergeCells>
  <printOptions horizontalCentered="1"/>
  <pageMargins left="0" right="0" top="0.75" bottom="0.75" header="0.3" footer="0.3"/>
  <pageSetup paperSize="9" scale="65" orientation="landscape" r:id="rId1"/>
  <drawing r:id="rId2"/>
</worksheet>
</file>

<file path=xl/worksheets/sheet13.xml><?xml version="1.0" encoding="utf-8"?>
<worksheet xmlns="http://schemas.openxmlformats.org/spreadsheetml/2006/main" xmlns:r="http://schemas.openxmlformats.org/officeDocument/2006/relationships">
  <dimension ref="A2:L109"/>
  <sheetViews>
    <sheetView showGridLines="0" workbookViewId="0">
      <selection activeCell="V26" sqref="V26"/>
    </sheetView>
  </sheetViews>
  <sheetFormatPr defaultRowHeight="15"/>
  <cols>
    <col min="1" max="1" width="2.28515625" style="1" customWidth="1"/>
    <col min="2" max="2" width="30.5703125" style="1" customWidth="1"/>
    <col min="3" max="3" width="9.140625" style="1"/>
    <col min="4" max="4" width="9.42578125" style="1" customWidth="1"/>
    <col min="5" max="6" width="10.42578125" style="1" bestFit="1" customWidth="1"/>
    <col min="7" max="7" width="10.5703125" style="1" bestFit="1" customWidth="1"/>
    <col min="8" max="8" width="10.140625" style="1" bestFit="1" customWidth="1"/>
    <col min="9" max="12" width="10.5703125" style="1" bestFit="1" customWidth="1"/>
    <col min="13" max="16384" width="9.140625" style="1"/>
  </cols>
  <sheetData>
    <row r="2" spans="2:12">
      <c r="B2" s="3" t="s">
        <v>0</v>
      </c>
      <c r="C2" s="3" t="s">
        <v>0</v>
      </c>
      <c r="D2" s="3" t="s">
        <v>0</v>
      </c>
      <c r="E2" s="3" t="s">
        <v>0</v>
      </c>
      <c r="F2" s="3" t="s">
        <v>0</v>
      </c>
      <c r="G2" s="3" t="s">
        <v>0</v>
      </c>
      <c r="H2" s="3" t="s">
        <v>0</v>
      </c>
      <c r="I2" s="3" t="s">
        <v>0</v>
      </c>
      <c r="J2" s="3" t="s">
        <v>0</v>
      </c>
      <c r="K2" s="3" t="s">
        <v>0</v>
      </c>
      <c r="L2" s="3" t="s">
        <v>0</v>
      </c>
    </row>
    <row r="3" spans="2:12" ht="11.25" customHeight="1" thickBot="1">
      <c r="B3" s="59"/>
      <c r="C3" s="59"/>
      <c r="D3" s="59"/>
      <c r="E3" s="59"/>
      <c r="F3" s="59"/>
      <c r="G3" s="59"/>
      <c r="H3" s="59"/>
      <c r="I3" s="59"/>
      <c r="J3" s="59"/>
    </row>
    <row r="4" spans="2:12" ht="31.5" customHeight="1" thickTop="1">
      <c r="B4" s="63" t="str">
        <f>'[2]Data Sheet'!B1</f>
        <v>BAJAJ AUTO LTD</v>
      </c>
      <c r="K4" s="101"/>
      <c r="L4" s="101"/>
    </row>
    <row r="5" spans="2:12">
      <c r="B5" s="62" t="str">
        <f>CONCATENATE(" ",VLOOKUP(B4,'[2]LIST OF STOCKS'!B5:D5444,3,FALSE)," | ","Bse Code: ",VLOOKUP(B4,'[2]LIST OF STOCKS'!B5:E5444,2,FALSE),)</f>
        <v xml:space="preserve"> BAJAJ-AUTO | Bse Code: 532977</v>
      </c>
      <c r="K5" s="58"/>
      <c r="L5" s="58"/>
    </row>
    <row r="6" spans="2:12" ht="25.5" customHeight="1">
      <c r="B6" s="147" t="str">
        <f>CONCATENATE(" ","INR"," "&amp;'[2]Data Sheet'!B8)</f>
        <v xml:space="preserve"> INR 8860</v>
      </c>
      <c r="K6" s="146"/>
      <c r="L6" s="58"/>
    </row>
    <row r="7" spans="2:12" ht="19.5" customHeight="1">
      <c r="B7" s="25" t="s">
        <v>159</v>
      </c>
      <c r="G7" s="58"/>
      <c r="I7" s="57"/>
      <c r="K7" s="58"/>
      <c r="L7" s="58"/>
    </row>
    <row r="8" spans="2:12" ht="3" customHeight="1" thickBot="1">
      <c r="B8" s="113"/>
      <c r="C8" s="59"/>
      <c r="D8" s="59"/>
      <c r="E8" s="59"/>
      <c r="F8" s="59"/>
      <c r="G8" s="59"/>
      <c r="H8" s="59"/>
      <c r="I8" s="60"/>
      <c r="J8" s="59"/>
      <c r="K8" s="59"/>
      <c r="L8" s="59"/>
    </row>
    <row r="9" spans="2:12" ht="11.25" customHeight="1" thickTop="1">
      <c r="B9" s="25"/>
      <c r="C9" s="58"/>
      <c r="D9" s="58"/>
      <c r="E9" s="58"/>
      <c r="F9" s="58"/>
      <c r="G9" s="58"/>
      <c r="I9" s="57"/>
    </row>
    <row r="10" spans="2:12" ht="15" customHeight="1">
      <c r="B10" s="98"/>
      <c r="C10" s="98"/>
      <c r="D10" s="98"/>
      <c r="E10" s="98"/>
      <c r="F10" s="98"/>
      <c r="G10" s="98"/>
      <c r="H10" s="98"/>
      <c r="I10" s="99"/>
      <c r="J10" s="98"/>
      <c r="K10" s="98"/>
      <c r="L10" s="98"/>
    </row>
    <row r="11" spans="2:12" s="17" customFormat="1" ht="15" customHeight="1">
      <c r="B11" s="144"/>
      <c r="C11" s="144"/>
      <c r="D11" s="144"/>
      <c r="E11" s="144"/>
      <c r="F11" s="144"/>
      <c r="G11" s="144"/>
      <c r="H11" s="144"/>
      <c r="I11" s="145"/>
      <c r="J11" s="144"/>
    </row>
    <row r="12" spans="2:12" ht="18.75">
      <c r="B12" s="143" t="s">
        <v>158</v>
      </c>
      <c r="C12" s="58"/>
      <c r="D12" s="58"/>
      <c r="E12" s="58"/>
      <c r="F12" s="58"/>
      <c r="G12" s="58"/>
      <c r="H12" s="58"/>
      <c r="I12" s="58"/>
      <c r="J12" s="58"/>
    </row>
    <row r="13" spans="2:12" ht="12" customHeight="1">
      <c r="B13" s="142"/>
      <c r="C13" s="58"/>
      <c r="D13" s="58"/>
      <c r="E13" s="58"/>
      <c r="F13" s="58"/>
      <c r="G13" s="58"/>
      <c r="H13" s="58"/>
      <c r="I13" s="58"/>
      <c r="J13" s="58"/>
    </row>
    <row r="14" spans="2:12" ht="15" customHeight="1">
      <c r="B14" s="520" t="s">
        <v>157</v>
      </c>
      <c r="C14" s="520"/>
      <c r="D14" s="520"/>
      <c r="E14" s="520"/>
      <c r="F14" s="520"/>
      <c r="G14" s="520"/>
      <c r="H14" s="520"/>
      <c r="I14" s="520"/>
      <c r="J14" s="520"/>
      <c r="K14" s="520"/>
      <c r="L14" s="520"/>
    </row>
    <row r="15" spans="2:12">
      <c r="B15" s="520"/>
      <c r="C15" s="520"/>
      <c r="D15" s="520"/>
      <c r="E15" s="520"/>
      <c r="F15" s="520"/>
      <c r="G15" s="520"/>
      <c r="H15" s="520"/>
      <c r="I15" s="520"/>
      <c r="J15" s="520"/>
      <c r="K15" s="520"/>
      <c r="L15" s="520"/>
    </row>
    <row r="16" spans="2:12">
      <c r="B16" s="520"/>
      <c r="C16" s="520"/>
      <c r="D16" s="520"/>
      <c r="E16" s="520"/>
      <c r="F16" s="520"/>
      <c r="G16" s="520"/>
      <c r="H16" s="520"/>
      <c r="I16" s="520"/>
      <c r="J16" s="520"/>
      <c r="K16" s="520"/>
      <c r="L16" s="520"/>
    </row>
    <row r="17" spans="2:12">
      <c r="B17" s="520"/>
      <c r="C17" s="520"/>
      <c r="D17" s="520"/>
      <c r="E17" s="520"/>
      <c r="F17" s="520"/>
      <c r="G17" s="520"/>
      <c r="H17" s="520"/>
      <c r="I17" s="520"/>
      <c r="J17" s="520"/>
      <c r="K17" s="520"/>
      <c r="L17" s="520"/>
    </row>
    <row r="18" spans="2:12">
      <c r="B18" s="520"/>
      <c r="C18" s="520"/>
      <c r="D18" s="520"/>
      <c r="E18" s="520"/>
      <c r="F18" s="520"/>
      <c r="G18" s="520"/>
      <c r="H18" s="520"/>
      <c r="I18" s="520"/>
      <c r="J18" s="520"/>
      <c r="K18" s="520"/>
      <c r="L18" s="520"/>
    </row>
    <row r="19" spans="2:12" ht="11.25" customHeight="1">
      <c r="B19" s="141"/>
      <c r="C19" s="141"/>
      <c r="D19" s="141"/>
      <c r="E19" s="141"/>
      <c r="F19" s="141"/>
      <c r="G19" s="141"/>
      <c r="H19" s="141"/>
      <c r="I19" s="141"/>
      <c r="J19" s="141"/>
    </row>
    <row r="20" spans="2:12" ht="18.75">
      <c r="B20" s="127" t="s">
        <v>156</v>
      </c>
    </row>
    <row r="21" spans="2:12">
      <c r="B21" s="25"/>
    </row>
    <row r="22" spans="2:12">
      <c r="B22" s="25"/>
    </row>
    <row r="23" spans="2:12">
      <c r="B23" s="140" t="s">
        <v>155</v>
      </c>
      <c r="E23" s="138" t="s">
        <v>154</v>
      </c>
      <c r="F23" s="139"/>
      <c r="I23" s="137" t="s">
        <v>153</v>
      </c>
      <c r="J23" s="138"/>
    </row>
    <row r="32" spans="2:12" ht="10.5" customHeight="1"/>
    <row r="33" spans="1:12" ht="17.25" customHeight="1">
      <c r="B33" s="521" t="s">
        <v>152</v>
      </c>
      <c r="C33" s="521"/>
      <c r="E33" s="137" t="s">
        <v>151</v>
      </c>
      <c r="I33" s="522" t="s">
        <v>150</v>
      </c>
      <c r="J33" s="522"/>
      <c r="K33" s="522"/>
    </row>
    <row r="34" spans="1:12">
      <c r="B34" s="135"/>
      <c r="C34" s="136"/>
      <c r="E34" s="135"/>
    </row>
    <row r="43" spans="1:12">
      <c r="B43" s="3" t="s">
        <v>0</v>
      </c>
      <c r="C43" s="3" t="s">
        <v>0</v>
      </c>
      <c r="D43" s="3" t="s">
        <v>0</v>
      </c>
      <c r="E43" s="3" t="s">
        <v>0</v>
      </c>
      <c r="F43" s="3" t="s">
        <v>0</v>
      </c>
      <c r="G43" s="3" t="s">
        <v>0</v>
      </c>
      <c r="H43" s="3" t="s">
        <v>0</v>
      </c>
      <c r="I43" s="3" t="s">
        <v>0</v>
      </c>
      <c r="J43" s="3" t="s">
        <v>0</v>
      </c>
      <c r="K43" s="3" t="s">
        <v>0</v>
      </c>
      <c r="L43" s="3" t="s">
        <v>0</v>
      </c>
    </row>
    <row r="44" spans="1:12" ht="15.75" thickBot="1">
      <c r="A44" s="58"/>
      <c r="B44" s="59"/>
      <c r="C44" s="59"/>
      <c r="D44" s="59"/>
      <c r="E44" s="59"/>
      <c r="F44" s="59"/>
      <c r="G44" s="59"/>
      <c r="H44" s="59"/>
      <c r="I44" s="59"/>
      <c r="J44" s="59"/>
    </row>
    <row r="45" spans="1:12" ht="32.25" thickTop="1">
      <c r="A45" s="58"/>
      <c r="B45" s="134" t="s">
        <v>149</v>
      </c>
      <c r="K45" s="101"/>
      <c r="L45" s="101"/>
    </row>
    <row r="46" spans="1:12" ht="5.25" customHeight="1" thickBot="1">
      <c r="B46" s="59"/>
      <c r="C46" s="59"/>
      <c r="D46" s="59"/>
      <c r="E46" s="59"/>
      <c r="F46" s="59"/>
      <c r="G46" s="59"/>
      <c r="H46" s="59"/>
      <c r="I46" s="59"/>
      <c r="J46" s="59"/>
      <c r="K46" s="59"/>
      <c r="L46" s="59"/>
    </row>
    <row r="47" spans="1:12" ht="15.75" thickTop="1"/>
    <row r="48" spans="1:12">
      <c r="B48" s="133" t="s">
        <v>0</v>
      </c>
      <c r="C48" s="64"/>
      <c r="D48" s="64"/>
      <c r="E48" s="64"/>
      <c r="F48" s="64"/>
      <c r="G48" s="64"/>
      <c r="H48" s="64"/>
      <c r="I48" s="64"/>
      <c r="J48" s="64"/>
      <c r="K48" s="64"/>
      <c r="L48" s="64"/>
    </row>
    <row r="49" spans="2:12">
      <c r="D49" s="131">
        <f>'Historical FS'!C9</f>
        <v>42825</v>
      </c>
      <c r="E49" s="131">
        <f>'Historical FS'!D9</f>
        <v>43190</v>
      </c>
      <c r="F49" s="131">
        <f>'Historical FS'!E9</f>
        <v>43555</v>
      </c>
      <c r="G49" s="131">
        <f>'Historical FS'!F9</f>
        <v>43921</v>
      </c>
      <c r="H49" s="131">
        <f>'Historical FS'!G9</f>
        <v>44286</v>
      </c>
      <c r="I49" s="131">
        <f>'Historical FS'!H9</f>
        <v>44651</v>
      </c>
      <c r="J49" s="131">
        <f>'Historical FS'!I9</f>
        <v>45016</v>
      </c>
      <c r="K49" s="131">
        <f>'Historical FS'!J9</f>
        <v>45382</v>
      </c>
      <c r="L49" s="131">
        <f>'Historical FS'!K9</f>
        <v>45747</v>
      </c>
    </row>
    <row r="50" spans="2:12">
      <c r="B50" s="1" t="s">
        <v>80</v>
      </c>
      <c r="D50" s="130">
        <f>'[2]Data Sheet'!C30</f>
        <v>4079.49</v>
      </c>
      <c r="E50" s="130">
        <f>'[2]Data Sheet'!D30</f>
        <v>4218.95</v>
      </c>
      <c r="F50" s="130">
        <f>'[2]Data Sheet'!E30</f>
        <v>4927.6099999999997</v>
      </c>
      <c r="G50" s="130">
        <f>'[2]Data Sheet'!F30</f>
        <v>5211.91</v>
      </c>
      <c r="H50" s="130">
        <f>'[2]Data Sheet'!G30</f>
        <v>4857.0200000000004</v>
      </c>
      <c r="I50" s="130">
        <f>'[2]Data Sheet'!H30</f>
        <v>6165.87</v>
      </c>
      <c r="J50" s="130">
        <f>'[2]Data Sheet'!I30</f>
        <v>6060.21</v>
      </c>
      <c r="K50" s="130">
        <f>'[2]Data Sheet'!J30</f>
        <v>7708.24</v>
      </c>
      <c r="L50" s="130">
        <f>'[2]Data Sheet'!K30</f>
        <v>7324.73</v>
      </c>
    </row>
    <row r="51" spans="2:12">
      <c r="B51" s="1" t="s">
        <v>148</v>
      </c>
      <c r="D51" s="130">
        <f>(('[2]Data Sheet'!C57+'[2]Data Sheet'!C58)+('[2]Data Sheet'!B57+'[2]Data Sheet'!B58))/2</f>
        <v>15938.44</v>
      </c>
      <c r="E51" s="130">
        <f>(('[2]Data Sheet'!D57+'[2]Data Sheet'!D58)+('[2]Data Sheet'!C57+'[2]Data Sheet'!C58))/2</f>
        <v>19140.904999999999</v>
      </c>
      <c r="F51" s="130">
        <f>(('[2]Data Sheet'!E57+'[2]Data Sheet'!E58)+('[2]Data Sheet'!D57+'[2]Data Sheet'!D58))/2</f>
        <v>21829.524999999998</v>
      </c>
      <c r="G51" s="130">
        <f>(('[2]Data Sheet'!F57+'[2]Data Sheet'!F58)+('[2]Data Sheet'!E57+'[2]Data Sheet'!E58))/2</f>
        <v>22447.945</v>
      </c>
      <c r="H51" s="130">
        <f>(('[2]Data Sheet'!G57+'[2]Data Sheet'!G58)+('[2]Data Sheet'!F57+'[2]Data Sheet'!F58))/2</f>
        <v>24467.754999999997</v>
      </c>
      <c r="I51" s="130">
        <f>(('[2]Data Sheet'!H57+'[2]Data Sheet'!H58)+('[2]Data Sheet'!G57+'[2]Data Sheet'!G58))/2</f>
        <v>28566.54</v>
      </c>
      <c r="J51" s="130">
        <f>(('[2]Data Sheet'!I57+'[2]Data Sheet'!I58)+('[2]Data Sheet'!H57+'[2]Data Sheet'!H58))/2</f>
        <v>29610.595000000001</v>
      </c>
      <c r="K51" s="130">
        <f>(('[2]Data Sheet'!J57+'[2]Data Sheet'!J58)+('[2]Data Sheet'!I57+'[2]Data Sheet'!I58))/2</f>
        <v>29161.974999999999</v>
      </c>
      <c r="L51" s="130">
        <f>(('[2]Data Sheet'!K57+'[2]Data Sheet'!K58)+('[2]Data Sheet'!J57+'[2]Data Sheet'!J58))/2</f>
        <v>32075.575000000004</v>
      </c>
    </row>
    <row r="52" spans="2:12">
      <c r="B52" s="23" t="s">
        <v>147</v>
      </c>
      <c r="C52" s="48"/>
      <c r="D52" s="128">
        <f t="shared" ref="D52:L52" si="0">D50/D51</f>
        <v>0.2559529037973603</v>
      </c>
      <c r="E52" s="128">
        <f t="shared" si="0"/>
        <v>0.22041538788265236</v>
      </c>
      <c r="F52" s="128">
        <f t="shared" si="0"/>
        <v>0.22573143483424399</v>
      </c>
      <c r="G52" s="128">
        <f t="shared" si="0"/>
        <v>0.23217760022131201</v>
      </c>
      <c r="H52" s="128">
        <f t="shared" si="0"/>
        <v>0.19850697377017226</v>
      </c>
      <c r="I52" s="128">
        <f t="shared" si="0"/>
        <v>0.21584238063132602</v>
      </c>
      <c r="J52" s="128">
        <f t="shared" si="0"/>
        <v>0.20466356721301951</v>
      </c>
      <c r="K52" s="128">
        <f t="shared" si="0"/>
        <v>0.26432503285528502</v>
      </c>
      <c r="L52" s="128">
        <f t="shared" si="0"/>
        <v>0.22835849396308558</v>
      </c>
    </row>
    <row r="54" spans="2:12">
      <c r="B54" s="133" t="s">
        <v>146</v>
      </c>
      <c r="C54" s="64"/>
      <c r="D54" s="64"/>
      <c r="E54" s="64"/>
      <c r="F54" s="64"/>
      <c r="G54" s="64"/>
      <c r="H54" s="64"/>
      <c r="I54" s="64"/>
      <c r="J54" s="64"/>
      <c r="K54" s="64"/>
      <c r="L54" s="64"/>
    </row>
    <row r="55" spans="2:12">
      <c r="D55" s="131">
        <f t="shared" ref="D55:L55" si="1">D49</f>
        <v>42825</v>
      </c>
      <c r="E55" s="131">
        <f t="shared" si="1"/>
        <v>43190</v>
      </c>
      <c r="F55" s="131">
        <f t="shared" si="1"/>
        <v>43555</v>
      </c>
      <c r="G55" s="131">
        <f t="shared" si="1"/>
        <v>43921</v>
      </c>
      <c r="H55" s="131">
        <f t="shared" si="1"/>
        <v>44286</v>
      </c>
      <c r="I55" s="131">
        <f t="shared" si="1"/>
        <v>44651</v>
      </c>
      <c r="J55" s="131">
        <f t="shared" si="1"/>
        <v>45016</v>
      </c>
      <c r="K55" s="131">
        <f t="shared" si="1"/>
        <v>45382</v>
      </c>
      <c r="L55" s="131">
        <f t="shared" si="1"/>
        <v>45747</v>
      </c>
    </row>
    <row r="56" spans="2:12">
      <c r="B56" s="1" t="s">
        <v>80</v>
      </c>
      <c r="D56" s="130">
        <f t="shared" ref="D56:L56" si="2">D50</f>
        <v>4079.49</v>
      </c>
      <c r="E56" s="130">
        <f t="shared" si="2"/>
        <v>4218.95</v>
      </c>
      <c r="F56" s="130">
        <f t="shared" si="2"/>
        <v>4927.6099999999997</v>
      </c>
      <c r="G56" s="130">
        <f t="shared" si="2"/>
        <v>5211.91</v>
      </c>
      <c r="H56" s="130">
        <f t="shared" si="2"/>
        <v>4857.0200000000004</v>
      </c>
      <c r="I56" s="130">
        <f t="shared" si="2"/>
        <v>6165.87</v>
      </c>
      <c r="J56" s="130">
        <f t="shared" si="2"/>
        <v>6060.21</v>
      </c>
      <c r="K56" s="130">
        <f t="shared" si="2"/>
        <v>7708.24</v>
      </c>
      <c r="L56" s="130">
        <f t="shared" si="2"/>
        <v>7324.73</v>
      </c>
    </row>
    <row r="57" spans="2:12">
      <c r="B57" s="1" t="s">
        <v>139</v>
      </c>
      <c r="D57" s="130">
        <f>'[2]Data Sheet'!C17</f>
        <v>21754.720000000001</v>
      </c>
      <c r="E57" s="130">
        <f>'[2]Data Sheet'!D17</f>
        <v>25209.93</v>
      </c>
      <c r="F57" s="130">
        <f>'[2]Data Sheet'!E17</f>
        <v>30357.63</v>
      </c>
      <c r="G57" s="130">
        <f>'[2]Data Sheet'!F17</f>
        <v>29918.65</v>
      </c>
      <c r="H57" s="130">
        <f>'[2]Data Sheet'!G17</f>
        <v>27741.08</v>
      </c>
      <c r="I57" s="130">
        <f>'[2]Data Sheet'!H17</f>
        <v>33144.71</v>
      </c>
      <c r="J57" s="130">
        <f>'[2]Data Sheet'!I17</f>
        <v>36455.379999999997</v>
      </c>
      <c r="K57" s="130">
        <f>'[2]Data Sheet'!J17</f>
        <v>44870.43</v>
      </c>
      <c r="L57" s="130">
        <f>'[2]Data Sheet'!K17</f>
        <v>50994.55</v>
      </c>
    </row>
    <row r="58" spans="2:12">
      <c r="B58" s="23" t="s">
        <v>140</v>
      </c>
      <c r="C58" s="48"/>
      <c r="D58" s="128">
        <f t="shared" ref="D58:L58" si="3">D56/D57</f>
        <v>0.18752206417733713</v>
      </c>
      <c r="E58" s="128">
        <f t="shared" si="3"/>
        <v>0.16735270585836612</v>
      </c>
      <c r="F58" s="128">
        <f t="shared" si="3"/>
        <v>0.1623186658510562</v>
      </c>
      <c r="G58" s="128">
        <f t="shared" si="3"/>
        <v>0.174202713023482</v>
      </c>
      <c r="H58" s="128">
        <f t="shared" si="3"/>
        <v>0.17508402700976314</v>
      </c>
      <c r="I58" s="128">
        <f t="shared" si="3"/>
        <v>0.18602878106340348</v>
      </c>
      <c r="J58" s="128">
        <f t="shared" si="3"/>
        <v>0.16623636895295016</v>
      </c>
      <c r="K58" s="128">
        <f t="shared" si="3"/>
        <v>0.17178885961199836</v>
      </c>
      <c r="L58" s="128">
        <f t="shared" si="3"/>
        <v>0.14363750636097386</v>
      </c>
    </row>
    <row r="60" spans="2:12">
      <c r="B60" s="1" t="s">
        <v>139</v>
      </c>
      <c r="D60" s="130">
        <f t="shared" ref="D60:L60" si="4">D57</f>
        <v>21754.720000000001</v>
      </c>
      <c r="E60" s="130">
        <f t="shared" si="4"/>
        <v>25209.93</v>
      </c>
      <c r="F60" s="130">
        <f t="shared" si="4"/>
        <v>30357.63</v>
      </c>
      <c r="G60" s="130">
        <f t="shared" si="4"/>
        <v>29918.65</v>
      </c>
      <c r="H60" s="130">
        <f t="shared" si="4"/>
        <v>27741.08</v>
      </c>
      <c r="I60" s="130">
        <f t="shared" si="4"/>
        <v>33144.71</v>
      </c>
      <c r="J60" s="130">
        <f t="shared" si="4"/>
        <v>36455.379999999997</v>
      </c>
      <c r="K60" s="130">
        <f t="shared" si="4"/>
        <v>44870.43</v>
      </c>
      <c r="L60" s="130">
        <f t="shared" si="4"/>
        <v>50994.55</v>
      </c>
    </row>
    <row r="61" spans="2:12">
      <c r="B61" s="1" t="s">
        <v>138</v>
      </c>
      <c r="D61" s="130">
        <f>('[2]Data Sheet'!C66+'[2]Data Sheet'!B66)/2</f>
        <v>19438.994999999999</v>
      </c>
      <c r="E61" s="130">
        <f>('[2]Data Sheet'!D66+'[2]Data Sheet'!C66)/2</f>
        <v>23389.309999999998</v>
      </c>
      <c r="F61" s="130">
        <f>('[2]Data Sheet'!E66+'[2]Data Sheet'!D66)/2</f>
        <v>26987.705000000002</v>
      </c>
      <c r="G61" s="130">
        <f>('[2]Data Sheet'!F66+'[2]Data Sheet'!E66)/2</f>
        <v>27672.215</v>
      </c>
      <c r="H61" s="130">
        <f>('[2]Data Sheet'!G66+'[2]Data Sheet'!F66)/2</f>
        <v>30055.864999999998</v>
      </c>
      <c r="I61" s="130">
        <f>('[2]Data Sheet'!H66+'[2]Data Sheet'!G66)/2</f>
        <v>34356.46</v>
      </c>
      <c r="J61" s="130">
        <f>('[2]Data Sheet'!I66+'[2]Data Sheet'!H66)/2</f>
        <v>35123.83</v>
      </c>
      <c r="K61" s="130">
        <f>('[2]Data Sheet'!J66+'[2]Data Sheet'!I66)/2</f>
        <v>37240.07</v>
      </c>
      <c r="L61" s="130">
        <f>('[2]Data Sheet'!K66+'[2]Data Sheet'!J66)/2</f>
        <v>46726.805</v>
      </c>
    </row>
    <row r="62" spans="2:12">
      <c r="B62" s="23" t="s">
        <v>137</v>
      </c>
      <c r="C62" s="48"/>
      <c r="D62" s="129">
        <f t="shared" ref="D62:L62" si="5">D60/D61</f>
        <v>1.1191278149924933</v>
      </c>
      <c r="E62" s="129">
        <f t="shared" si="5"/>
        <v>1.0778398336676029</v>
      </c>
      <c r="F62" s="129">
        <f t="shared" si="5"/>
        <v>1.1248688986336555</v>
      </c>
      <c r="G62" s="129">
        <f t="shared" si="5"/>
        <v>1.0811801657366424</v>
      </c>
      <c r="H62" s="129">
        <f t="shared" si="5"/>
        <v>0.9229839167829641</v>
      </c>
      <c r="I62" s="129">
        <f t="shared" si="5"/>
        <v>0.96473006823170959</v>
      </c>
      <c r="J62" s="129">
        <f t="shared" si="5"/>
        <v>1.037910159569728</v>
      </c>
      <c r="K62" s="129">
        <f t="shared" si="5"/>
        <v>1.2048964999260205</v>
      </c>
      <c r="L62" s="129">
        <f t="shared" si="5"/>
        <v>1.0913339784305818</v>
      </c>
    </row>
    <row r="64" spans="2:12">
      <c r="B64" s="1" t="str">
        <f>B61</f>
        <v>Average Total Asset</v>
      </c>
      <c r="D64" s="130">
        <f t="shared" ref="D64:L64" si="6">D61</f>
        <v>19438.994999999999</v>
      </c>
      <c r="E64" s="130">
        <f t="shared" si="6"/>
        <v>23389.309999999998</v>
      </c>
      <c r="F64" s="130">
        <f t="shared" si="6"/>
        <v>26987.705000000002</v>
      </c>
      <c r="G64" s="130">
        <f t="shared" si="6"/>
        <v>27672.215</v>
      </c>
      <c r="H64" s="130">
        <f t="shared" si="6"/>
        <v>30055.864999999998</v>
      </c>
      <c r="I64" s="130">
        <f t="shared" si="6"/>
        <v>34356.46</v>
      </c>
      <c r="J64" s="130">
        <f t="shared" si="6"/>
        <v>35123.83</v>
      </c>
      <c r="K64" s="130">
        <f t="shared" si="6"/>
        <v>37240.07</v>
      </c>
      <c r="L64" s="130">
        <f t="shared" si="6"/>
        <v>46726.805</v>
      </c>
    </row>
    <row r="65" spans="2:12">
      <c r="B65" s="1" t="str">
        <f>B51</f>
        <v>Average Shareholder Equity</v>
      </c>
      <c r="D65" s="130">
        <f t="shared" ref="D65:L65" si="7">D51</f>
        <v>15938.44</v>
      </c>
      <c r="E65" s="130">
        <f t="shared" si="7"/>
        <v>19140.904999999999</v>
      </c>
      <c r="F65" s="130">
        <f t="shared" si="7"/>
        <v>21829.524999999998</v>
      </c>
      <c r="G65" s="130">
        <f t="shared" si="7"/>
        <v>22447.945</v>
      </c>
      <c r="H65" s="130">
        <f t="shared" si="7"/>
        <v>24467.754999999997</v>
      </c>
      <c r="I65" s="130">
        <f t="shared" si="7"/>
        <v>28566.54</v>
      </c>
      <c r="J65" s="130">
        <f t="shared" si="7"/>
        <v>29610.595000000001</v>
      </c>
      <c r="K65" s="130">
        <f t="shared" si="7"/>
        <v>29161.974999999999</v>
      </c>
      <c r="L65" s="130">
        <f t="shared" si="7"/>
        <v>32075.575000000004</v>
      </c>
    </row>
    <row r="66" spans="2:12">
      <c r="B66" s="23" t="s">
        <v>145</v>
      </c>
      <c r="C66" s="48"/>
      <c r="D66" s="129">
        <f t="shared" ref="D66:L66" si="8">D64/D65</f>
        <v>1.219629712820075</v>
      </c>
      <c r="E66" s="129">
        <f t="shared" si="8"/>
        <v>1.2219542388408489</v>
      </c>
      <c r="F66" s="129">
        <f t="shared" si="8"/>
        <v>1.2362937352049577</v>
      </c>
      <c r="G66" s="129">
        <f t="shared" si="8"/>
        <v>1.2327282074149772</v>
      </c>
      <c r="H66" s="129">
        <f t="shared" si="8"/>
        <v>1.228386707321534</v>
      </c>
      <c r="I66" s="129">
        <f t="shared" si="8"/>
        <v>1.2026818788694744</v>
      </c>
      <c r="J66" s="129">
        <f t="shared" si="8"/>
        <v>1.1861912940283705</v>
      </c>
      <c r="K66" s="129">
        <f t="shared" si="8"/>
        <v>1.2770078158286604</v>
      </c>
      <c r="L66" s="129">
        <f t="shared" si="8"/>
        <v>1.4567721701013931</v>
      </c>
    </row>
    <row r="68" spans="2:12">
      <c r="B68" s="23" t="s">
        <v>144</v>
      </c>
      <c r="C68" s="48"/>
      <c r="D68" s="128">
        <f t="shared" ref="D68:L68" si="9">D66*D62*D58</f>
        <v>0.2559529037973603</v>
      </c>
      <c r="E68" s="128">
        <f t="shared" si="9"/>
        <v>0.22041538788265236</v>
      </c>
      <c r="F68" s="128">
        <f t="shared" si="9"/>
        <v>0.22573143483424396</v>
      </c>
      <c r="G68" s="128">
        <f t="shared" si="9"/>
        <v>0.23217760022131204</v>
      </c>
      <c r="H68" s="128">
        <f t="shared" si="9"/>
        <v>0.19850697377017223</v>
      </c>
      <c r="I68" s="128">
        <f t="shared" si="9"/>
        <v>0.21584238063132599</v>
      </c>
      <c r="J68" s="128">
        <f t="shared" si="9"/>
        <v>0.20466356721301951</v>
      </c>
      <c r="K68" s="128">
        <f t="shared" si="9"/>
        <v>0.26432503285528497</v>
      </c>
      <c r="L68" s="128">
        <f t="shared" si="9"/>
        <v>0.22835849396308558</v>
      </c>
    </row>
    <row r="71" spans="2:12">
      <c r="B71" s="132" t="s">
        <v>131</v>
      </c>
      <c r="C71" s="64"/>
      <c r="D71" s="64"/>
      <c r="E71" s="64"/>
      <c r="F71" s="64"/>
      <c r="G71" s="64"/>
      <c r="H71" s="64"/>
      <c r="I71" s="64"/>
      <c r="J71" s="64"/>
      <c r="K71" s="64"/>
      <c r="L71" s="64"/>
    </row>
    <row r="72" spans="2:12">
      <c r="D72" s="131">
        <f t="shared" ref="D72:L72" si="10">D49</f>
        <v>42825</v>
      </c>
      <c r="E72" s="131">
        <f t="shared" si="10"/>
        <v>43190</v>
      </c>
      <c r="F72" s="131">
        <f t="shared" si="10"/>
        <v>43555</v>
      </c>
      <c r="G72" s="131">
        <f t="shared" si="10"/>
        <v>43921</v>
      </c>
      <c r="H72" s="131">
        <f t="shared" si="10"/>
        <v>44286</v>
      </c>
      <c r="I72" s="131">
        <f t="shared" si="10"/>
        <v>44651</v>
      </c>
      <c r="J72" s="131">
        <f t="shared" si="10"/>
        <v>45016</v>
      </c>
      <c r="K72" s="131">
        <f t="shared" si="10"/>
        <v>45382</v>
      </c>
      <c r="L72" s="131">
        <f t="shared" si="10"/>
        <v>45747</v>
      </c>
    </row>
    <row r="73" spans="2:12">
      <c r="B73" s="1" t="s">
        <v>80</v>
      </c>
      <c r="D73" s="130">
        <f t="shared" ref="D73:L73" si="11">D56</f>
        <v>4079.49</v>
      </c>
      <c r="E73" s="130">
        <f t="shared" si="11"/>
        <v>4218.95</v>
      </c>
      <c r="F73" s="130">
        <f t="shared" si="11"/>
        <v>4927.6099999999997</v>
      </c>
      <c r="G73" s="130">
        <f t="shared" si="11"/>
        <v>5211.91</v>
      </c>
      <c r="H73" s="130">
        <f t="shared" si="11"/>
        <v>4857.0200000000004</v>
      </c>
      <c r="I73" s="130">
        <f t="shared" si="11"/>
        <v>6165.87</v>
      </c>
      <c r="J73" s="130">
        <f t="shared" si="11"/>
        <v>6060.21</v>
      </c>
      <c r="K73" s="130">
        <f t="shared" si="11"/>
        <v>7708.24</v>
      </c>
      <c r="L73" s="130">
        <f t="shared" si="11"/>
        <v>7324.73</v>
      </c>
    </row>
    <row r="74" spans="2:12">
      <c r="B74" s="1" t="s">
        <v>143</v>
      </c>
      <c r="D74" s="130">
        <f>'Dupont Analysis'!D61</f>
        <v>19438.994999999999</v>
      </c>
      <c r="E74" s="130">
        <f>'Dupont Analysis'!E61</f>
        <v>23389.309999999998</v>
      </c>
      <c r="F74" s="130">
        <f>'Dupont Analysis'!F61</f>
        <v>26987.705000000002</v>
      </c>
      <c r="G74" s="130">
        <f>'Dupont Analysis'!G61</f>
        <v>27672.215</v>
      </c>
      <c r="H74" s="130">
        <f>'Dupont Analysis'!H61</f>
        <v>30055.864999999998</v>
      </c>
      <c r="I74" s="130">
        <f>'Dupont Analysis'!I61</f>
        <v>34356.46</v>
      </c>
      <c r="J74" s="130">
        <f>'Dupont Analysis'!J61</f>
        <v>35123.83</v>
      </c>
      <c r="K74" s="130">
        <f>'Dupont Analysis'!K61</f>
        <v>37240.07</v>
      </c>
      <c r="L74" s="130">
        <f>'Dupont Analysis'!L61</f>
        <v>46726.805</v>
      </c>
    </row>
    <row r="75" spans="2:12">
      <c r="B75" s="23" t="s">
        <v>142</v>
      </c>
      <c r="C75" s="48"/>
      <c r="D75" s="128">
        <f t="shared" ref="D75:L75" si="12">D73/D74</f>
        <v>0.2098611579456654</v>
      </c>
      <c r="E75" s="128">
        <f t="shared" si="12"/>
        <v>0.18037941264620463</v>
      </c>
      <c r="F75" s="128">
        <f t="shared" si="12"/>
        <v>0.18258721888356194</v>
      </c>
      <c r="G75" s="128">
        <f t="shared" si="12"/>
        <v>0.188344518138501</v>
      </c>
      <c r="H75" s="128">
        <f t="shared" si="12"/>
        <v>0.16159974101560545</v>
      </c>
      <c r="I75" s="128">
        <f t="shared" si="12"/>
        <v>0.179467558648359</v>
      </c>
      <c r="J75" s="128">
        <f t="shared" si="12"/>
        <v>0.17253841622624866</v>
      </c>
      <c r="K75" s="128">
        <f t="shared" si="12"/>
        <v>0.20698779567277933</v>
      </c>
      <c r="L75" s="128">
        <f t="shared" si="12"/>
        <v>0.15675649126876959</v>
      </c>
    </row>
    <row r="77" spans="2:12">
      <c r="B77" s="132" t="s">
        <v>141</v>
      </c>
      <c r="C77" s="64"/>
      <c r="D77" s="64"/>
      <c r="E77" s="64"/>
      <c r="F77" s="64"/>
      <c r="G77" s="64"/>
      <c r="H77" s="64"/>
      <c r="I77" s="64"/>
      <c r="J77" s="64"/>
      <c r="K77" s="64"/>
      <c r="L77" s="64"/>
    </row>
    <row r="78" spans="2:12">
      <c r="D78" s="131">
        <f t="shared" ref="D78:L78" si="13">D72</f>
        <v>42825</v>
      </c>
      <c r="E78" s="131">
        <f t="shared" si="13"/>
        <v>43190</v>
      </c>
      <c r="F78" s="131">
        <f t="shared" si="13"/>
        <v>43555</v>
      </c>
      <c r="G78" s="131">
        <f t="shared" si="13"/>
        <v>43921</v>
      </c>
      <c r="H78" s="131">
        <f t="shared" si="13"/>
        <v>44286</v>
      </c>
      <c r="I78" s="131">
        <f t="shared" si="13"/>
        <v>44651</v>
      </c>
      <c r="J78" s="131">
        <f t="shared" si="13"/>
        <v>45016</v>
      </c>
      <c r="K78" s="131">
        <f t="shared" si="13"/>
        <v>45382</v>
      </c>
      <c r="L78" s="131">
        <f t="shared" si="13"/>
        <v>45747</v>
      </c>
    </row>
    <row r="79" spans="2:12">
      <c r="B79" s="1" t="s">
        <v>80</v>
      </c>
      <c r="D79" s="130">
        <f t="shared" ref="D79:L79" si="14">D73</f>
        <v>4079.49</v>
      </c>
      <c r="E79" s="130">
        <f t="shared" si="14"/>
        <v>4218.95</v>
      </c>
      <c r="F79" s="130">
        <f t="shared" si="14"/>
        <v>4927.6099999999997</v>
      </c>
      <c r="G79" s="130">
        <f t="shared" si="14"/>
        <v>5211.91</v>
      </c>
      <c r="H79" s="130">
        <f t="shared" si="14"/>
        <v>4857.0200000000004</v>
      </c>
      <c r="I79" s="130">
        <f t="shared" si="14"/>
        <v>6165.87</v>
      </c>
      <c r="J79" s="130">
        <f t="shared" si="14"/>
        <v>6060.21</v>
      </c>
      <c r="K79" s="130">
        <f t="shared" si="14"/>
        <v>7708.24</v>
      </c>
      <c r="L79" s="130">
        <f t="shared" si="14"/>
        <v>7324.73</v>
      </c>
    </row>
    <row r="80" spans="2:12">
      <c r="B80" s="1" t="s">
        <v>139</v>
      </c>
      <c r="D80" s="130">
        <f t="shared" ref="D80:L80" si="15">D60</f>
        <v>21754.720000000001</v>
      </c>
      <c r="E80" s="130">
        <f t="shared" si="15"/>
        <v>25209.93</v>
      </c>
      <c r="F80" s="130">
        <f t="shared" si="15"/>
        <v>30357.63</v>
      </c>
      <c r="G80" s="130">
        <f t="shared" si="15"/>
        <v>29918.65</v>
      </c>
      <c r="H80" s="130">
        <f t="shared" si="15"/>
        <v>27741.08</v>
      </c>
      <c r="I80" s="130">
        <f t="shared" si="15"/>
        <v>33144.71</v>
      </c>
      <c r="J80" s="130">
        <f t="shared" si="15"/>
        <v>36455.379999999997</v>
      </c>
      <c r="K80" s="130">
        <f t="shared" si="15"/>
        <v>44870.43</v>
      </c>
      <c r="L80" s="130">
        <f t="shared" si="15"/>
        <v>50994.55</v>
      </c>
    </row>
    <row r="81" spans="2:12">
      <c r="B81" s="23" t="s">
        <v>140</v>
      </c>
      <c r="C81" s="48"/>
      <c r="D81" s="128">
        <f t="shared" ref="D81:L81" si="16">D79/D80</f>
        <v>0.18752206417733713</v>
      </c>
      <c r="E81" s="128">
        <f t="shared" si="16"/>
        <v>0.16735270585836612</v>
      </c>
      <c r="F81" s="128">
        <f t="shared" si="16"/>
        <v>0.1623186658510562</v>
      </c>
      <c r="G81" s="128">
        <f t="shared" si="16"/>
        <v>0.174202713023482</v>
      </c>
      <c r="H81" s="128">
        <f t="shared" si="16"/>
        <v>0.17508402700976314</v>
      </c>
      <c r="I81" s="128">
        <f t="shared" si="16"/>
        <v>0.18602878106340348</v>
      </c>
      <c r="J81" s="128">
        <f t="shared" si="16"/>
        <v>0.16623636895295016</v>
      </c>
      <c r="K81" s="128">
        <f t="shared" si="16"/>
        <v>0.17178885961199836</v>
      </c>
      <c r="L81" s="128">
        <f t="shared" si="16"/>
        <v>0.14363750636097386</v>
      </c>
    </row>
    <row r="83" spans="2:12">
      <c r="B83" s="1" t="s">
        <v>139</v>
      </c>
      <c r="D83" s="130">
        <f t="shared" ref="D83:L83" si="17">D80</f>
        <v>21754.720000000001</v>
      </c>
      <c r="E83" s="130">
        <f t="shared" si="17"/>
        <v>25209.93</v>
      </c>
      <c r="F83" s="130">
        <f t="shared" si="17"/>
        <v>30357.63</v>
      </c>
      <c r="G83" s="130">
        <f t="shared" si="17"/>
        <v>29918.65</v>
      </c>
      <c r="H83" s="130">
        <f t="shared" si="17"/>
        <v>27741.08</v>
      </c>
      <c r="I83" s="130">
        <f t="shared" si="17"/>
        <v>33144.71</v>
      </c>
      <c r="J83" s="130">
        <f t="shared" si="17"/>
        <v>36455.379999999997</v>
      </c>
      <c r="K83" s="130">
        <f t="shared" si="17"/>
        <v>44870.43</v>
      </c>
      <c r="L83" s="130">
        <f t="shared" si="17"/>
        <v>50994.55</v>
      </c>
    </row>
    <row r="84" spans="2:12">
      <c r="B84" s="1" t="s">
        <v>138</v>
      </c>
      <c r="D84" s="130">
        <f t="shared" ref="D84:L84" si="18">D61</f>
        <v>19438.994999999999</v>
      </c>
      <c r="E84" s="130">
        <f t="shared" si="18"/>
        <v>23389.309999999998</v>
      </c>
      <c r="F84" s="130">
        <f t="shared" si="18"/>
        <v>26987.705000000002</v>
      </c>
      <c r="G84" s="130">
        <f t="shared" si="18"/>
        <v>27672.215</v>
      </c>
      <c r="H84" s="130">
        <f t="shared" si="18"/>
        <v>30055.864999999998</v>
      </c>
      <c r="I84" s="130">
        <f t="shared" si="18"/>
        <v>34356.46</v>
      </c>
      <c r="J84" s="130">
        <f t="shared" si="18"/>
        <v>35123.83</v>
      </c>
      <c r="K84" s="130">
        <f t="shared" si="18"/>
        <v>37240.07</v>
      </c>
      <c r="L84" s="130">
        <f t="shared" si="18"/>
        <v>46726.805</v>
      </c>
    </row>
    <row r="85" spans="2:12">
      <c r="B85" s="23" t="s">
        <v>137</v>
      </c>
      <c r="C85" s="48"/>
      <c r="D85" s="129">
        <f t="shared" ref="D85:L85" si="19">D83/D84</f>
        <v>1.1191278149924933</v>
      </c>
      <c r="E85" s="129">
        <f t="shared" si="19"/>
        <v>1.0778398336676029</v>
      </c>
      <c r="F85" s="129">
        <f t="shared" si="19"/>
        <v>1.1248688986336555</v>
      </c>
      <c r="G85" s="129">
        <f t="shared" si="19"/>
        <v>1.0811801657366424</v>
      </c>
      <c r="H85" s="129">
        <f t="shared" si="19"/>
        <v>0.9229839167829641</v>
      </c>
      <c r="I85" s="129">
        <f t="shared" si="19"/>
        <v>0.96473006823170959</v>
      </c>
      <c r="J85" s="129">
        <f t="shared" si="19"/>
        <v>1.037910159569728</v>
      </c>
      <c r="K85" s="129">
        <f t="shared" si="19"/>
        <v>1.2048964999260205</v>
      </c>
      <c r="L85" s="129">
        <f t="shared" si="19"/>
        <v>1.0913339784305818</v>
      </c>
    </row>
    <row r="87" spans="2:12">
      <c r="B87" s="23" t="s">
        <v>136</v>
      </c>
      <c r="C87" s="48"/>
      <c r="D87" s="128">
        <f t="shared" ref="D87:L87" si="20">D81*D85</f>
        <v>0.2098611579456654</v>
      </c>
      <c r="E87" s="128">
        <f t="shared" si="20"/>
        <v>0.18037941264620461</v>
      </c>
      <c r="F87" s="128">
        <f t="shared" si="20"/>
        <v>0.18258721888356194</v>
      </c>
      <c r="G87" s="128">
        <f t="shared" si="20"/>
        <v>0.18834451813850103</v>
      </c>
      <c r="H87" s="128">
        <f t="shared" si="20"/>
        <v>0.16159974101560545</v>
      </c>
      <c r="I87" s="128">
        <f t="shared" si="20"/>
        <v>0.179467558648359</v>
      </c>
      <c r="J87" s="128">
        <f t="shared" si="20"/>
        <v>0.17253841622624869</v>
      </c>
      <c r="K87" s="128">
        <f t="shared" si="20"/>
        <v>0.20698779567277933</v>
      </c>
      <c r="L87" s="128">
        <f t="shared" si="20"/>
        <v>0.15675649126876959</v>
      </c>
    </row>
    <row r="89" spans="2:12" ht="18.75">
      <c r="B89" s="127" t="s">
        <v>135</v>
      </c>
    </row>
    <row r="90" spans="2:12" ht="15" customHeight="1">
      <c r="B90" s="523" t="s">
        <v>134</v>
      </c>
      <c r="C90" s="523"/>
      <c r="D90" s="523"/>
      <c r="E90" s="523"/>
      <c r="F90" s="523"/>
      <c r="G90" s="523"/>
      <c r="H90" s="523"/>
      <c r="I90" s="523"/>
      <c r="J90" s="523"/>
      <c r="K90" s="523"/>
      <c r="L90" s="523"/>
    </row>
    <row r="91" spans="2:12">
      <c r="B91" s="523"/>
      <c r="C91" s="523"/>
      <c r="D91" s="523"/>
      <c r="E91" s="523"/>
      <c r="F91" s="523"/>
      <c r="G91" s="523"/>
      <c r="H91" s="523"/>
      <c r="I91" s="523"/>
      <c r="J91" s="523"/>
      <c r="K91" s="523"/>
      <c r="L91" s="523"/>
    </row>
    <row r="92" spans="2:12">
      <c r="B92" s="523"/>
      <c r="C92" s="523"/>
      <c r="D92" s="523"/>
      <c r="E92" s="523"/>
      <c r="F92" s="523"/>
      <c r="G92" s="523"/>
      <c r="H92" s="523"/>
      <c r="I92" s="523"/>
      <c r="J92" s="523"/>
      <c r="K92" s="523"/>
      <c r="L92" s="523"/>
    </row>
    <row r="93" spans="2:12">
      <c r="B93" s="523"/>
      <c r="C93" s="523"/>
      <c r="D93" s="523"/>
      <c r="E93" s="523"/>
      <c r="F93" s="523"/>
      <c r="G93" s="523"/>
      <c r="H93" s="523"/>
      <c r="I93" s="523"/>
      <c r="J93" s="523"/>
      <c r="K93" s="523"/>
      <c r="L93" s="523"/>
    </row>
    <row r="94" spans="2:12">
      <c r="B94" s="523"/>
      <c r="C94" s="523"/>
      <c r="D94" s="523"/>
      <c r="E94" s="523"/>
      <c r="F94" s="523"/>
      <c r="G94" s="523"/>
      <c r="H94" s="523"/>
      <c r="I94" s="523"/>
      <c r="J94" s="523"/>
      <c r="K94" s="523"/>
      <c r="L94" s="523"/>
    </row>
    <row r="95" spans="2:12">
      <c r="B95" s="523"/>
      <c r="C95" s="523"/>
      <c r="D95" s="523"/>
      <c r="E95" s="523"/>
      <c r="F95" s="523"/>
      <c r="G95" s="523"/>
      <c r="H95" s="523"/>
      <c r="I95" s="523"/>
      <c r="J95" s="523"/>
      <c r="K95" s="523"/>
      <c r="L95" s="523"/>
    </row>
    <row r="96" spans="2:12">
      <c r="B96" s="523"/>
      <c r="C96" s="523"/>
      <c r="D96" s="523"/>
      <c r="E96" s="523"/>
      <c r="F96" s="523"/>
      <c r="G96" s="523"/>
      <c r="H96" s="523"/>
      <c r="I96" s="523"/>
      <c r="J96" s="523"/>
      <c r="K96" s="523"/>
      <c r="L96" s="523"/>
    </row>
    <row r="97" spans="2:12">
      <c r="B97" s="523"/>
      <c r="C97" s="523"/>
      <c r="D97" s="523"/>
      <c r="E97" s="523"/>
      <c r="F97" s="523"/>
      <c r="G97" s="523"/>
      <c r="H97" s="523"/>
      <c r="I97" s="523"/>
      <c r="J97" s="523"/>
      <c r="K97" s="523"/>
      <c r="L97" s="523"/>
    </row>
    <row r="98" spans="2:12">
      <c r="B98" s="523"/>
      <c r="C98" s="523"/>
      <c r="D98" s="523"/>
      <c r="E98" s="523"/>
      <c r="F98" s="523"/>
      <c r="G98" s="523"/>
      <c r="H98" s="523"/>
      <c r="I98" s="523"/>
      <c r="J98" s="523"/>
      <c r="K98" s="523"/>
      <c r="L98" s="523"/>
    </row>
    <row r="99" spans="2:12">
      <c r="B99" s="523"/>
      <c r="C99" s="523"/>
      <c r="D99" s="523"/>
      <c r="E99" s="523"/>
      <c r="F99" s="523"/>
      <c r="G99" s="523"/>
      <c r="H99" s="523"/>
      <c r="I99" s="523"/>
      <c r="J99" s="523"/>
      <c r="K99" s="523"/>
      <c r="L99" s="523"/>
    </row>
    <row r="100" spans="2:12">
      <c r="B100" s="523"/>
      <c r="C100" s="523"/>
      <c r="D100" s="523"/>
      <c r="E100" s="523"/>
      <c r="F100" s="523"/>
      <c r="G100" s="523"/>
      <c r="H100" s="523"/>
      <c r="I100" s="523"/>
      <c r="J100" s="523"/>
      <c r="K100" s="523"/>
      <c r="L100" s="523"/>
    </row>
    <row r="101" spans="2:12">
      <c r="B101" s="126"/>
      <c r="C101" s="126"/>
      <c r="D101" s="126"/>
      <c r="E101" s="126"/>
      <c r="F101" s="126"/>
      <c r="G101" s="126"/>
      <c r="H101" s="126"/>
      <c r="I101" s="126"/>
      <c r="J101" s="126"/>
    </row>
    <row r="102" spans="2:12" ht="15.75">
      <c r="B102" s="125" t="s">
        <v>133</v>
      </c>
      <c r="C102" s="124"/>
      <c r="D102" s="124"/>
      <c r="E102" s="124"/>
      <c r="F102" s="124"/>
      <c r="G102" s="124"/>
      <c r="H102" s="124"/>
      <c r="I102" s="124"/>
      <c r="J102" s="124"/>
    </row>
    <row r="103" spans="2:12" ht="15" customHeight="1">
      <c r="B103" s="524" t="s">
        <v>132</v>
      </c>
      <c r="C103" s="524"/>
      <c r="D103" s="524"/>
      <c r="E103" s="524"/>
      <c r="F103" s="524"/>
      <c r="G103" s="524"/>
      <c r="H103" s="524"/>
      <c r="I103" s="524"/>
      <c r="J103" s="524"/>
      <c r="K103" s="524"/>
      <c r="L103" s="524"/>
    </row>
    <row r="104" spans="2:12">
      <c r="B104" s="524"/>
      <c r="C104" s="524"/>
      <c r="D104" s="524"/>
      <c r="E104" s="524"/>
      <c r="F104" s="524"/>
      <c r="G104" s="524"/>
      <c r="H104" s="524"/>
      <c r="I104" s="524"/>
      <c r="J104" s="524"/>
      <c r="K104" s="524"/>
      <c r="L104" s="524"/>
    </row>
    <row r="105" spans="2:12">
      <c r="B105" s="524"/>
      <c r="C105" s="524"/>
      <c r="D105" s="524"/>
      <c r="E105" s="524"/>
      <c r="F105" s="524"/>
      <c r="G105" s="524"/>
      <c r="H105" s="524"/>
      <c r="I105" s="524"/>
      <c r="J105" s="524"/>
      <c r="K105" s="524"/>
      <c r="L105" s="524"/>
    </row>
    <row r="107" spans="2:12">
      <c r="B107" s="3" t="s">
        <v>131</v>
      </c>
      <c r="C107" s="3" t="s">
        <v>131</v>
      </c>
      <c r="D107" s="3" t="s">
        <v>131</v>
      </c>
      <c r="E107" s="3" t="s">
        <v>131</v>
      </c>
      <c r="F107" s="3" t="s">
        <v>131</v>
      </c>
      <c r="G107" s="3" t="s">
        <v>131</v>
      </c>
      <c r="H107" s="3" t="s">
        <v>131</v>
      </c>
      <c r="I107" s="3" t="s">
        <v>131</v>
      </c>
      <c r="J107" s="3" t="s">
        <v>131</v>
      </c>
      <c r="K107" s="3" t="s">
        <v>131</v>
      </c>
      <c r="L107" s="3" t="s">
        <v>131</v>
      </c>
    </row>
    <row r="108" spans="2:12" ht="9.75" customHeight="1" thickBot="1">
      <c r="B108" s="59"/>
      <c r="C108" s="59"/>
      <c r="D108" s="59"/>
      <c r="E108" s="59"/>
      <c r="F108" s="59"/>
      <c r="G108" s="59"/>
      <c r="H108" s="59"/>
      <c r="I108" s="59"/>
      <c r="J108" s="59"/>
      <c r="K108" s="59"/>
      <c r="L108" s="59"/>
    </row>
    <row r="109" spans="2:12" ht="15.75" thickTop="1"/>
  </sheetData>
  <mergeCells count="5">
    <mergeCell ref="B14:L18"/>
    <mergeCell ref="B33:C33"/>
    <mergeCell ref="I33:K33"/>
    <mergeCell ref="B90:L100"/>
    <mergeCell ref="B103:L105"/>
  </mergeCells>
  <printOptions horizontalCentered="1"/>
  <pageMargins left="0.7" right="0.7" top="0.5" bottom="0" header="0.3" footer="0.3"/>
  <pageSetup paperSize="8" scale="96" orientation="portrait" r:id="rId1"/>
  <rowBreaks count="1" manualBreakCount="1">
    <brk id="69" max="16383" man="1"/>
  </rowBreaks>
  <colBreaks count="1" manualBreakCount="1">
    <brk id="12" max="1048575" man="1"/>
  </colBreaks>
  <drawing r:id="rId2"/>
</worksheet>
</file>

<file path=xl/worksheets/sheet14.xml><?xml version="1.0" encoding="utf-8"?>
<worksheet xmlns="http://schemas.openxmlformats.org/spreadsheetml/2006/main" xmlns:r="http://schemas.openxmlformats.org/officeDocument/2006/relationships">
  <dimension ref="A2:M95"/>
  <sheetViews>
    <sheetView showGridLines="0" workbookViewId="0">
      <selection activeCell="P56" sqref="P56"/>
    </sheetView>
  </sheetViews>
  <sheetFormatPr defaultRowHeight="15"/>
  <cols>
    <col min="1" max="1" width="2.28515625" style="1" customWidth="1"/>
    <col min="2" max="2" width="30.5703125" style="1" customWidth="1"/>
    <col min="3" max="3" width="9.140625" style="1"/>
    <col min="4" max="4" width="9.42578125" style="1" customWidth="1"/>
    <col min="5" max="10" width="10.140625" style="1" bestFit="1" customWidth="1"/>
    <col min="11" max="16384" width="9.140625" style="1"/>
  </cols>
  <sheetData>
    <row r="2" spans="2:13">
      <c r="B2" s="3" t="s">
        <v>0</v>
      </c>
      <c r="C2" s="3" t="s">
        <v>0</v>
      </c>
      <c r="D2" s="3" t="s">
        <v>0</v>
      </c>
      <c r="E2" s="3" t="s">
        <v>0</v>
      </c>
      <c r="F2" s="3" t="s">
        <v>0</v>
      </c>
      <c r="G2" s="3" t="s">
        <v>0</v>
      </c>
      <c r="H2" s="3" t="s">
        <v>0</v>
      </c>
      <c r="I2" s="3" t="s">
        <v>0</v>
      </c>
      <c r="J2" s="3" t="s">
        <v>0</v>
      </c>
      <c r="K2" s="3" t="s">
        <v>0</v>
      </c>
      <c r="L2" s="3" t="s">
        <v>0</v>
      </c>
    </row>
    <row r="3" spans="2:13" ht="9.75" customHeight="1" thickBot="1">
      <c r="B3" s="59"/>
      <c r="C3" s="59"/>
      <c r="D3" s="59"/>
      <c r="E3" s="59"/>
      <c r="F3" s="59"/>
      <c r="G3" s="59"/>
      <c r="H3" s="59"/>
      <c r="I3" s="59"/>
      <c r="J3" s="59"/>
    </row>
    <row r="4" spans="2:13" ht="31.5" customHeight="1" thickTop="1">
      <c r="B4" s="63" t="str">
        <f>'[2]Data Sheet'!B1</f>
        <v>BAJAJ AUTO LTD</v>
      </c>
      <c r="K4" s="101"/>
      <c r="L4" s="101"/>
    </row>
    <row r="5" spans="2:13">
      <c r="B5" s="62" t="str">
        <f>CONCATENATE(" ",VLOOKUP(B4,'[2]LIST OF STOCKS'!B5:D5444,3,FALSE)," | ","Bse Code: ",VLOOKUP(B4,'[2]LIST OF STOCKS'!B5:E5444,2,FALSE),)</f>
        <v xml:space="preserve"> BAJAJ-AUTO | Bse Code: 532977</v>
      </c>
      <c r="K5" s="58"/>
      <c r="L5" s="58"/>
    </row>
    <row r="6" spans="2:13" ht="25.5" customHeight="1">
      <c r="B6" s="147" t="str">
        <f>CONCATENATE(" ","INR"," "&amp;'[2]Data Sheet'!B8)</f>
        <v xml:space="preserve"> INR 8860</v>
      </c>
      <c r="K6" s="146"/>
      <c r="L6" s="58"/>
    </row>
    <row r="7" spans="2:13" ht="19.5" customHeight="1">
      <c r="B7" s="25" t="s">
        <v>159</v>
      </c>
      <c r="G7" s="58"/>
      <c r="I7" s="57"/>
      <c r="K7" s="58"/>
      <c r="L7" s="58"/>
    </row>
    <row r="8" spans="2:13" ht="5.25" customHeight="1" thickBot="1">
      <c r="B8" s="113"/>
      <c r="C8" s="59"/>
      <c r="D8" s="59"/>
      <c r="E8" s="59"/>
      <c r="F8" s="59"/>
      <c r="G8" s="59"/>
      <c r="H8" s="59"/>
      <c r="I8" s="60"/>
      <c r="J8" s="59"/>
      <c r="K8" s="59"/>
      <c r="L8" s="59"/>
    </row>
    <row r="9" spans="2:13" ht="9" customHeight="1" thickTop="1">
      <c r="B9" s="25"/>
      <c r="C9" s="58"/>
      <c r="D9" s="58"/>
      <c r="E9" s="58"/>
      <c r="F9" s="58"/>
      <c r="G9" s="58"/>
      <c r="I9" s="57"/>
    </row>
    <row r="10" spans="2:13" ht="15" customHeight="1">
      <c r="B10" s="98"/>
      <c r="C10" s="98"/>
      <c r="D10" s="98"/>
      <c r="E10" s="98"/>
      <c r="F10" s="98"/>
      <c r="G10" s="98"/>
      <c r="H10" s="98"/>
      <c r="I10" s="99"/>
      <c r="J10" s="98"/>
      <c r="K10" s="98"/>
      <c r="L10" s="98"/>
      <c r="M10" s="162"/>
    </row>
    <row r="11" spans="2:13" s="17" customFormat="1" ht="9.75" customHeight="1">
      <c r="B11" s="144"/>
      <c r="C11" s="144"/>
      <c r="D11" s="144"/>
      <c r="E11" s="144"/>
      <c r="F11" s="144"/>
      <c r="G11" s="144"/>
      <c r="H11" s="144"/>
      <c r="I11" s="145"/>
      <c r="J11" s="144"/>
    </row>
    <row r="12" spans="2:13" ht="18" customHeight="1">
      <c r="B12" s="525" t="s">
        <v>185</v>
      </c>
      <c r="C12" s="525"/>
      <c r="D12" s="525"/>
      <c r="E12" s="525"/>
      <c r="F12" s="525"/>
      <c r="G12" s="525"/>
      <c r="H12" s="525"/>
      <c r="I12" s="525"/>
      <c r="J12" s="525"/>
    </row>
    <row r="13" spans="2:13" ht="5.25" customHeight="1">
      <c r="B13" s="161"/>
      <c r="C13" s="161"/>
      <c r="D13" s="161"/>
      <c r="E13" s="161"/>
      <c r="F13" s="161"/>
      <c r="G13" s="161"/>
      <c r="H13" s="161"/>
      <c r="I13" s="161"/>
      <c r="J13" s="161"/>
    </row>
    <row r="14" spans="2:13" ht="15" customHeight="1">
      <c r="B14" s="527" t="s">
        <v>184</v>
      </c>
      <c r="C14" s="527"/>
      <c r="D14" s="527"/>
      <c r="E14" s="527"/>
      <c r="F14" s="527"/>
      <c r="G14" s="527"/>
      <c r="H14" s="527"/>
      <c r="I14" s="527"/>
      <c r="J14" s="527"/>
      <c r="K14" s="527"/>
      <c r="L14" s="527"/>
    </row>
    <row r="15" spans="2:13">
      <c r="B15" s="527"/>
      <c r="C15" s="527"/>
      <c r="D15" s="527"/>
      <c r="E15" s="527"/>
      <c r="F15" s="527"/>
      <c r="G15" s="527"/>
      <c r="H15" s="527"/>
      <c r="I15" s="527"/>
      <c r="J15" s="527"/>
      <c r="K15" s="527"/>
      <c r="L15" s="527"/>
    </row>
    <row r="16" spans="2:13">
      <c r="B16" s="527"/>
      <c r="C16" s="527"/>
      <c r="D16" s="527"/>
      <c r="E16" s="527"/>
      <c r="F16" s="527"/>
      <c r="G16" s="527"/>
      <c r="H16" s="527"/>
      <c r="I16" s="527"/>
      <c r="J16" s="527"/>
      <c r="K16" s="527"/>
      <c r="L16" s="527"/>
    </row>
    <row r="17" spans="2:12">
      <c r="B17" s="527"/>
      <c r="C17" s="527"/>
      <c r="D17" s="527"/>
      <c r="E17" s="527"/>
      <c r="F17" s="527"/>
      <c r="G17" s="527"/>
      <c r="H17" s="527"/>
      <c r="I17" s="527"/>
      <c r="J17" s="527"/>
      <c r="K17" s="527"/>
      <c r="L17" s="527"/>
    </row>
    <row r="18" spans="2:12" ht="19.5" customHeight="1">
      <c r="B18" s="527"/>
      <c r="C18" s="527"/>
      <c r="D18" s="527"/>
      <c r="E18" s="527"/>
      <c r="F18" s="527"/>
      <c r="G18" s="527"/>
      <c r="H18" s="527"/>
      <c r="I18" s="527"/>
      <c r="J18" s="527"/>
      <c r="K18" s="527"/>
      <c r="L18" s="527"/>
    </row>
    <row r="19" spans="2:12" ht="8.25" customHeight="1">
      <c r="B19" s="141"/>
      <c r="C19" s="141"/>
      <c r="D19" s="141"/>
      <c r="E19" s="141"/>
      <c r="F19" s="141"/>
      <c r="G19" s="141"/>
      <c r="H19" s="141"/>
      <c r="I19" s="141"/>
      <c r="J19" s="141"/>
    </row>
    <row r="20" spans="2:12" ht="17.25" customHeight="1">
      <c r="B20" s="160" t="s">
        <v>156</v>
      </c>
      <c r="C20" s="48"/>
      <c r="D20" s="48"/>
      <c r="E20" s="48"/>
      <c r="F20" s="48"/>
      <c r="G20" s="48"/>
      <c r="H20" s="48"/>
      <c r="I20" s="48"/>
      <c r="J20" s="48"/>
      <c r="K20" s="48"/>
      <c r="L20" s="48"/>
    </row>
    <row r="21" spans="2:12" s="17" customFormat="1" ht="17.25" customHeight="1">
      <c r="B21" s="159"/>
    </row>
    <row r="22" spans="2:12" ht="12" customHeight="1">
      <c r="B22" s="25"/>
    </row>
    <row r="23" spans="2:12">
      <c r="B23" s="528" t="s">
        <v>183</v>
      </c>
      <c r="C23" s="528"/>
      <c r="E23" s="528" t="s">
        <v>182</v>
      </c>
      <c r="F23" s="528"/>
      <c r="G23" s="528"/>
      <c r="H23" s="528"/>
      <c r="J23" s="528" t="s">
        <v>181</v>
      </c>
      <c r="K23" s="528"/>
    </row>
    <row r="24" spans="2:12">
      <c r="B24" s="25"/>
      <c r="F24" s="529"/>
      <c r="G24" s="529"/>
    </row>
    <row r="25" spans="2:12">
      <c r="B25" s="158"/>
      <c r="E25" s="158"/>
      <c r="F25" s="139"/>
    </row>
    <row r="36" spans="1:12">
      <c r="B36" s="528" t="s">
        <v>180</v>
      </c>
      <c r="C36" s="528"/>
      <c r="E36" s="530" t="s">
        <v>179</v>
      </c>
      <c r="F36" s="530"/>
      <c r="G36" s="530"/>
      <c r="J36" s="531" t="s">
        <v>178</v>
      </c>
      <c r="K36" s="531"/>
      <c r="L36" s="531"/>
    </row>
    <row r="46" spans="1:12">
      <c r="B46" s="3" t="s">
        <v>0</v>
      </c>
      <c r="C46" s="3" t="s">
        <v>0</v>
      </c>
      <c r="D46" s="3" t="s">
        <v>0</v>
      </c>
      <c r="E46" s="3" t="s">
        <v>0</v>
      </c>
      <c r="F46" s="3" t="s">
        <v>0</v>
      </c>
      <c r="G46" s="3" t="s">
        <v>0</v>
      </c>
      <c r="H46" s="3" t="s">
        <v>0</v>
      </c>
      <c r="I46" s="3" t="s">
        <v>0</v>
      </c>
      <c r="J46" s="3" t="s">
        <v>0</v>
      </c>
      <c r="K46" s="3" t="s">
        <v>0</v>
      </c>
      <c r="L46" s="3" t="s">
        <v>0</v>
      </c>
    </row>
    <row r="47" spans="1:12" ht="15.75" thickBot="1">
      <c r="A47" s="58"/>
      <c r="B47" s="59"/>
      <c r="C47" s="59"/>
      <c r="D47" s="59"/>
      <c r="E47" s="59"/>
      <c r="F47" s="59"/>
      <c r="G47" s="59"/>
      <c r="H47" s="59"/>
      <c r="I47" s="59"/>
      <c r="J47" s="59"/>
    </row>
    <row r="48" spans="1:12" ht="32.25" thickTop="1">
      <c r="A48" s="58"/>
      <c r="B48" s="157" t="s">
        <v>177</v>
      </c>
      <c r="K48" s="101"/>
      <c r="L48" s="101"/>
    </row>
    <row r="49" spans="2:12" ht="5.25" customHeight="1" thickBot="1">
      <c r="B49" s="59"/>
      <c r="C49" s="59"/>
      <c r="D49" s="59"/>
      <c r="E49" s="59"/>
      <c r="F49" s="59"/>
      <c r="G49" s="59"/>
      <c r="H49" s="59"/>
      <c r="I49" s="59"/>
      <c r="J49" s="59"/>
      <c r="K49" s="59"/>
      <c r="L49" s="59"/>
    </row>
    <row r="50" spans="2:12" ht="15.75" thickTop="1"/>
    <row r="51" spans="2:12">
      <c r="B51" s="156" t="s">
        <v>176</v>
      </c>
      <c r="C51" s="64"/>
      <c r="D51" s="64"/>
      <c r="E51" s="64"/>
      <c r="F51" s="64"/>
      <c r="G51" s="64"/>
      <c r="H51" s="64"/>
      <c r="I51" s="64"/>
      <c r="J51" s="64"/>
      <c r="K51" s="64"/>
      <c r="L51" s="64"/>
    </row>
    <row r="52" spans="2:12">
      <c r="D52" s="131">
        <f>'Historical FS'!C9</f>
        <v>42825</v>
      </c>
      <c r="E52" s="131">
        <f>'Historical FS'!D9</f>
        <v>43190</v>
      </c>
      <c r="F52" s="131">
        <f>'Historical FS'!E9</f>
        <v>43555</v>
      </c>
      <c r="G52" s="131">
        <f>'Historical FS'!F9</f>
        <v>43921</v>
      </c>
      <c r="H52" s="131">
        <f>'Historical FS'!G9</f>
        <v>44286</v>
      </c>
      <c r="I52" s="131">
        <f>'Historical FS'!H9</f>
        <v>44651</v>
      </c>
      <c r="J52" s="131">
        <f>'Historical FS'!I9</f>
        <v>45016</v>
      </c>
      <c r="K52" s="131">
        <f>'Historical FS'!J9</f>
        <v>45382</v>
      </c>
      <c r="L52" s="131">
        <f>'Historical FS'!K9</f>
        <v>45747</v>
      </c>
    </row>
    <row r="53" spans="2:12">
      <c r="B53" s="1" t="s">
        <v>175</v>
      </c>
      <c r="D53" s="130">
        <f>'[2]Data Sheet'!C65-'[2]Data Sheet'!C60</f>
        <v>455.4699999999998</v>
      </c>
      <c r="E53" s="130">
        <f>'[2]Data Sheet'!D65-'[2]Data Sheet'!D60</f>
        <v>-283.35999999999967</v>
      </c>
      <c r="F53" s="130">
        <f>'[2]Data Sheet'!E65-'[2]Data Sheet'!E60</f>
        <v>943.52000000000044</v>
      </c>
      <c r="G53" s="130">
        <f>'[2]Data Sheet'!F65-'[2]Data Sheet'!F60</f>
        <v>114.8799999999992</v>
      </c>
      <c r="H53" s="130">
        <f>'[2]Data Sheet'!G65-'[2]Data Sheet'!G60</f>
        <v>1024.71</v>
      </c>
      <c r="I53" s="130">
        <f>'[2]Data Sheet'!H65-'[2]Data Sheet'!H60</f>
        <v>1435.04</v>
      </c>
      <c r="J53" s="130">
        <f>'[2]Data Sheet'!I65-'[2]Data Sheet'!I60</f>
        <v>375.34999999999945</v>
      </c>
      <c r="K53" s="130">
        <f>'[2]Data Sheet'!J65-'[2]Data Sheet'!J60</f>
        <v>-465.00000000000091</v>
      </c>
      <c r="L53" s="130">
        <f>'[2]Data Sheet'!K65-'[2]Data Sheet'!K60</f>
        <v>11901.64</v>
      </c>
    </row>
    <row r="54" spans="2:12">
      <c r="B54" s="1" t="s">
        <v>129</v>
      </c>
      <c r="D54" s="130">
        <f>'[2]Data Sheet'!C66</f>
        <v>21637.62</v>
      </c>
      <c r="E54" s="130">
        <f>'[2]Data Sheet'!D66</f>
        <v>25141</v>
      </c>
      <c r="F54" s="130">
        <f>'[2]Data Sheet'!E66</f>
        <v>28834.41</v>
      </c>
      <c r="G54" s="130">
        <f>'[2]Data Sheet'!F66</f>
        <v>26510.02</v>
      </c>
      <c r="H54" s="130">
        <f>'[2]Data Sheet'!G66</f>
        <v>33601.71</v>
      </c>
      <c r="I54" s="130">
        <f>'[2]Data Sheet'!H66</f>
        <v>35111.21</v>
      </c>
      <c r="J54" s="130">
        <f>'[2]Data Sheet'!I66</f>
        <v>35136.449999999997</v>
      </c>
      <c r="K54" s="130">
        <f>'[2]Data Sheet'!J66</f>
        <v>39343.69</v>
      </c>
      <c r="L54" s="130">
        <f>'[2]Data Sheet'!K66</f>
        <v>54109.919999999998</v>
      </c>
    </row>
    <row r="55" spans="2:12">
      <c r="B55" s="23" t="s">
        <v>174</v>
      </c>
      <c r="C55" s="48"/>
      <c r="D55" s="128">
        <f t="shared" ref="D55:L55" si="0">D53/D54</f>
        <v>2.1049912143757021E-2</v>
      </c>
      <c r="E55" s="128">
        <f t="shared" si="0"/>
        <v>-1.1270832504673627E-2</v>
      </c>
      <c r="F55" s="128">
        <f t="shared" si="0"/>
        <v>3.2722015120129053E-2</v>
      </c>
      <c r="G55" s="128">
        <f t="shared" si="0"/>
        <v>4.3334558027492698E-3</v>
      </c>
      <c r="H55" s="128">
        <f t="shared" si="0"/>
        <v>3.0495769411735298E-2</v>
      </c>
      <c r="I55" s="128">
        <f t="shared" si="0"/>
        <v>4.0871277292921546E-2</v>
      </c>
      <c r="J55" s="128">
        <f t="shared" si="0"/>
        <v>1.0682638684329221E-2</v>
      </c>
      <c r="K55" s="128">
        <f t="shared" si="0"/>
        <v>-1.1818921916068393E-2</v>
      </c>
      <c r="L55" s="128">
        <f t="shared" si="0"/>
        <v>0.21995301416080451</v>
      </c>
    </row>
    <row r="57" spans="2:12">
      <c r="B57" s="156" t="s">
        <v>173</v>
      </c>
      <c r="C57" s="64"/>
      <c r="D57" s="64"/>
      <c r="E57" s="64"/>
      <c r="F57" s="64"/>
      <c r="G57" s="64"/>
      <c r="H57" s="64"/>
      <c r="I57" s="64"/>
      <c r="J57" s="64"/>
      <c r="K57" s="64"/>
      <c r="L57" s="64"/>
    </row>
    <row r="58" spans="2:12">
      <c r="D58" s="131">
        <f t="shared" ref="D58:L58" si="1">D52</f>
        <v>42825</v>
      </c>
      <c r="E58" s="131">
        <f t="shared" si="1"/>
        <v>43190</v>
      </c>
      <c r="F58" s="131">
        <f t="shared" si="1"/>
        <v>43555</v>
      </c>
      <c r="G58" s="131">
        <f t="shared" si="1"/>
        <v>43921</v>
      </c>
      <c r="H58" s="131">
        <f t="shared" si="1"/>
        <v>44286</v>
      </c>
      <c r="I58" s="131">
        <f t="shared" si="1"/>
        <v>44651</v>
      </c>
      <c r="J58" s="131">
        <f t="shared" si="1"/>
        <v>45016</v>
      </c>
      <c r="K58" s="131">
        <f t="shared" si="1"/>
        <v>45382</v>
      </c>
      <c r="L58" s="131">
        <f t="shared" si="1"/>
        <v>45747</v>
      </c>
    </row>
    <row r="59" spans="2:12">
      <c r="B59" s="1" t="s">
        <v>47</v>
      </c>
      <c r="D59" s="130">
        <f>'Historical FS'!C43*'Historical FS'!C45*'Historical FS'!C51</f>
        <v>932.9699356461515</v>
      </c>
      <c r="E59" s="130">
        <f>'Historical FS'!D43*'Historical FS'!D45*'Historical FS'!D51</f>
        <v>1098.3599480363514</v>
      </c>
      <c r="F59" s="130">
        <f>'Historical FS'!E43*'Historical FS'!E45*'Historical FS'!E51</f>
        <v>1050.7098524259025</v>
      </c>
      <c r="G59" s="130">
        <f>'Historical FS'!F43*'Historical FS'!F45*'Historical FS'!F51</f>
        <v>-218.93010561973898</v>
      </c>
      <c r="H59" s="130">
        <f>'Historical FS'!G43*'Historical FS'!G45*'Historical FS'!G51</f>
        <v>-1202.80024007717</v>
      </c>
      <c r="I59" s="130">
        <f>'Historical FS'!H43*'Historical FS'!H45*'Historical FS'!H51</f>
        <v>-180.69026127849529</v>
      </c>
      <c r="J59" s="130">
        <f>'Historical FS'!I43*'Historical FS'!I45*'Historical FS'!I51</f>
        <v>195.40891620934576</v>
      </c>
      <c r="K59" s="130">
        <f>'Historical FS'!J43*'Historical FS'!J45*'Historical FS'!J51</f>
        <v>3621.6286547933719</v>
      </c>
      <c r="L59" s="130">
        <f>'Historical FS'!K43*'Historical FS'!K45*'Historical FS'!K51</f>
        <v>45.022373694840681</v>
      </c>
    </row>
    <row r="60" spans="2:12">
      <c r="B60" s="1" t="s">
        <v>129</v>
      </c>
      <c r="D60" s="130">
        <f t="shared" ref="D60:L60" si="2">D54</f>
        <v>21637.62</v>
      </c>
      <c r="E60" s="130">
        <f t="shared" si="2"/>
        <v>25141</v>
      </c>
      <c r="F60" s="130">
        <f t="shared" si="2"/>
        <v>28834.41</v>
      </c>
      <c r="G60" s="130">
        <f t="shared" si="2"/>
        <v>26510.02</v>
      </c>
      <c r="H60" s="130">
        <f t="shared" si="2"/>
        <v>33601.71</v>
      </c>
      <c r="I60" s="130">
        <f t="shared" si="2"/>
        <v>35111.21</v>
      </c>
      <c r="J60" s="130">
        <f t="shared" si="2"/>
        <v>35136.449999999997</v>
      </c>
      <c r="K60" s="130">
        <f t="shared" si="2"/>
        <v>39343.69</v>
      </c>
      <c r="L60" s="130">
        <f t="shared" si="2"/>
        <v>54109.919999999998</v>
      </c>
    </row>
    <row r="61" spans="2:12">
      <c r="B61" s="23" t="s">
        <v>172</v>
      </c>
      <c r="C61" s="48"/>
      <c r="D61" s="128">
        <f t="shared" ref="D61:L61" si="3">D59/D60</f>
        <v>4.3117955470433046E-2</v>
      </c>
      <c r="E61" s="128">
        <f t="shared" si="3"/>
        <v>4.3687997614905986E-2</v>
      </c>
      <c r="F61" s="128">
        <f t="shared" si="3"/>
        <v>3.6439443443646059E-2</v>
      </c>
      <c r="G61" s="128">
        <f t="shared" si="3"/>
        <v>-8.2583908129733197E-3</v>
      </c>
      <c r="H61" s="128">
        <f t="shared" si="3"/>
        <v>-3.5795804442011137E-2</v>
      </c>
      <c r="I61" s="128">
        <f t="shared" si="3"/>
        <v>-5.1462271245706227E-3</v>
      </c>
      <c r="J61" s="128">
        <f t="shared" si="3"/>
        <v>5.5614302585874718E-3</v>
      </c>
      <c r="K61" s="128">
        <f t="shared" si="3"/>
        <v>9.205106726881418E-2</v>
      </c>
      <c r="L61" s="128">
        <f t="shared" si="3"/>
        <v>8.3205396893657726E-4</v>
      </c>
    </row>
    <row r="62" spans="2:12">
      <c r="B62" s="20"/>
      <c r="C62" s="17"/>
      <c r="D62" s="155"/>
      <c r="E62" s="155"/>
      <c r="F62" s="155"/>
      <c r="G62" s="155"/>
      <c r="H62" s="155"/>
      <c r="I62" s="155"/>
      <c r="J62" s="155"/>
      <c r="K62" s="155"/>
      <c r="L62" s="155"/>
    </row>
    <row r="63" spans="2:12">
      <c r="B63" s="132" t="s">
        <v>171</v>
      </c>
      <c r="C63" s="64"/>
      <c r="D63" s="64"/>
      <c r="E63" s="64"/>
      <c r="F63" s="64"/>
      <c r="G63" s="64"/>
      <c r="H63" s="64"/>
      <c r="I63" s="64"/>
      <c r="J63" s="64"/>
      <c r="K63" s="64"/>
      <c r="L63" s="64"/>
    </row>
    <row r="64" spans="2:12" s="10" customFormat="1">
      <c r="B64" s="78"/>
      <c r="D64" s="131">
        <f t="shared" ref="D64:L64" si="4">D52</f>
        <v>42825</v>
      </c>
      <c r="E64" s="131">
        <f t="shared" si="4"/>
        <v>43190</v>
      </c>
      <c r="F64" s="131">
        <f t="shared" si="4"/>
        <v>43555</v>
      </c>
      <c r="G64" s="131">
        <f t="shared" si="4"/>
        <v>43921</v>
      </c>
      <c r="H64" s="131">
        <f t="shared" si="4"/>
        <v>44286</v>
      </c>
      <c r="I64" s="131">
        <f t="shared" si="4"/>
        <v>44651</v>
      </c>
      <c r="J64" s="131">
        <f t="shared" si="4"/>
        <v>45016</v>
      </c>
      <c r="K64" s="131">
        <f t="shared" si="4"/>
        <v>45382</v>
      </c>
      <c r="L64" s="131">
        <f t="shared" si="4"/>
        <v>45747</v>
      </c>
    </row>
    <row r="65" spans="2:12">
      <c r="B65" s="1" t="s">
        <v>170</v>
      </c>
      <c r="D65" s="130">
        <f>'Historical FS'!C34+'Historical FS'!C28</f>
        <v>4033.9799356461517</v>
      </c>
      <c r="E65" s="130">
        <f>'Historical FS'!D34+'Historical FS'!D28</f>
        <v>4550.3599480363519</v>
      </c>
      <c r="F65" s="130">
        <f>'Historical FS'!E34+'Historical FS'!E28</f>
        <v>4819.3898524259021</v>
      </c>
      <c r="G65" s="130">
        <f>'Historical FS'!F34+'Historical FS'!F28</f>
        <v>4736.8898943802615</v>
      </c>
      <c r="H65" s="130">
        <f>'Historical FS'!G34+'Historical FS'!G28</f>
        <v>4239.4497599228298</v>
      </c>
      <c r="I65" s="130">
        <f>'Historical FS'!H34+'Historical FS'!H28</f>
        <v>5364.9597387215035</v>
      </c>
      <c r="J65" s="130">
        <f>'Historical FS'!I34+'Historical FS'!I28</f>
        <v>5978.1289162093472</v>
      </c>
      <c r="K65" s="130">
        <f>'Historical FS'!J34+'Historical FS'!J28</f>
        <v>8247.2286547933727</v>
      </c>
      <c r="L65" s="130">
        <f>'Historical FS'!K34+'Historical FS'!K28</f>
        <v>9197.1823736948409</v>
      </c>
    </row>
    <row r="66" spans="2:12">
      <c r="B66" s="1" t="s">
        <v>129</v>
      </c>
      <c r="D66" s="130">
        <f t="shared" ref="D66:L66" si="5">D54</f>
        <v>21637.62</v>
      </c>
      <c r="E66" s="130">
        <f t="shared" si="5"/>
        <v>25141</v>
      </c>
      <c r="F66" s="130">
        <f t="shared" si="5"/>
        <v>28834.41</v>
      </c>
      <c r="G66" s="130">
        <f t="shared" si="5"/>
        <v>26510.02</v>
      </c>
      <c r="H66" s="130">
        <f t="shared" si="5"/>
        <v>33601.71</v>
      </c>
      <c r="I66" s="130">
        <f t="shared" si="5"/>
        <v>35111.21</v>
      </c>
      <c r="J66" s="130">
        <f t="shared" si="5"/>
        <v>35136.449999999997</v>
      </c>
      <c r="K66" s="130">
        <f t="shared" si="5"/>
        <v>39343.69</v>
      </c>
      <c r="L66" s="130">
        <f t="shared" si="5"/>
        <v>54109.919999999998</v>
      </c>
    </row>
    <row r="67" spans="2:12">
      <c r="B67" s="23" t="s">
        <v>169</v>
      </c>
      <c r="C67" s="48"/>
      <c r="D67" s="128">
        <f t="shared" ref="D67:L67" si="6">D65/D66</f>
        <v>0.18643362512356498</v>
      </c>
      <c r="E67" s="128">
        <f t="shared" si="6"/>
        <v>0.1809935940510064</v>
      </c>
      <c r="F67" s="128">
        <f t="shared" si="6"/>
        <v>0.1671402276802578</v>
      </c>
      <c r="G67" s="128">
        <f t="shared" si="6"/>
        <v>0.17868299964995354</v>
      </c>
      <c r="H67" s="128">
        <f t="shared" si="6"/>
        <v>0.12616767896404171</v>
      </c>
      <c r="I67" s="128">
        <f t="shared" si="6"/>
        <v>0.15279905587763862</v>
      </c>
      <c r="J67" s="128">
        <f t="shared" si="6"/>
        <v>0.17014037890024028</v>
      </c>
      <c r="K67" s="128">
        <f t="shared" si="6"/>
        <v>0.20962011074185904</v>
      </c>
      <c r="L67" s="128">
        <f t="shared" si="6"/>
        <v>0.16997220424082757</v>
      </c>
    </row>
    <row r="68" spans="2:12" s="17" customFormat="1">
      <c r="B68" s="20"/>
      <c r="D68" s="155"/>
      <c r="E68" s="155"/>
      <c r="F68" s="155"/>
      <c r="G68" s="155"/>
      <c r="H68" s="155"/>
      <c r="I68" s="155"/>
      <c r="J68" s="155"/>
      <c r="K68" s="155"/>
      <c r="L68" s="155"/>
    </row>
    <row r="69" spans="2:12" s="152" customFormat="1">
      <c r="B69" s="154" t="s">
        <v>168</v>
      </c>
      <c r="C69" s="153"/>
      <c r="D69" s="153"/>
      <c r="E69" s="153"/>
      <c r="F69" s="153"/>
      <c r="G69" s="153"/>
      <c r="H69" s="153"/>
      <c r="I69" s="153"/>
      <c r="J69" s="153"/>
      <c r="K69" s="153"/>
      <c r="L69" s="153"/>
    </row>
    <row r="70" spans="2:12" s="10" customFormat="1">
      <c r="B70" s="78"/>
      <c r="C70" s="78"/>
      <c r="D70" s="131">
        <f t="shared" ref="D70:L70" si="7">D58</f>
        <v>42825</v>
      </c>
      <c r="E70" s="131">
        <f t="shared" si="7"/>
        <v>43190</v>
      </c>
      <c r="F70" s="131">
        <f t="shared" si="7"/>
        <v>43555</v>
      </c>
      <c r="G70" s="131">
        <f t="shared" si="7"/>
        <v>43921</v>
      </c>
      <c r="H70" s="131">
        <f t="shared" si="7"/>
        <v>44286</v>
      </c>
      <c r="I70" s="131">
        <f t="shared" si="7"/>
        <v>44651</v>
      </c>
      <c r="J70" s="131">
        <f t="shared" si="7"/>
        <v>45016</v>
      </c>
      <c r="K70" s="131">
        <f t="shared" si="7"/>
        <v>45382</v>
      </c>
      <c r="L70" s="131">
        <f t="shared" si="7"/>
        <v>45747</v>
      </c>
    </row>
    <row r="71" spans="2:12">
      <c r="B71" s="1" t="s">
        <v>167</v>
      </c>
      <c r="D71" s="130">
        <f>('[2]Data Sheet'!C70*'[2]Data Sheet'!C90)/10000000</f>
        <v>81180.470625899994</v>
      </c>
      <c r="E71" s="130">
        <f t="shared" ref="E71:L71" si="8">E66</f>
        <v>25141</v>
      </c>
      <c r="F71" s="130">
        <f t="shared" si="8"/>
        <v>28834.41</v>
      </c>
      <c r="G71" s="130">
        <f t="shared" si="8"/>
        <v>26510.02</v>
      </c>
      <c r="H71" s="130">
        <f t="shared" si="8"/>
        <v>33601.71</v>
      </c>
      <c r="I71" s="130">
        <f t="shared" si="8"/>
        <v>35111.21</v>
      </c>
      <c r="J71" s="130">
        <f t="shared" si="8"/>
        <v>35136.449999999997</v>
      </c>
      <c r="K71" s="130">
        <f t="shared" si="8"/>
        <v>39343.69</v>
      </c>
      <c r="L71" s="130">
        <f t="shared" si="8"/>
        <v>54109.919999999998</v>
      </c>
    </row>
    <row r="72" spans="2:12">
      <c r="B72" s="1" t="s">
        <v>166</v>
      </c>
      <c r="D72" s="130">
        <f>'[2]Data Sheet'!C59</f>
        <v>119.9</v>
      </c>
      <c r="E72" s="130">
        <f>'[2]Data Sheet'!D59</f>
        <v>120.77</v>
      </c>
      <c r="F72" s="130">
        <f>'[2]Data Sheet'!E59</f>
        <v>124.52</v>
      </c>
      <c r="G72" s="130">
        <f>'[2]Data Sheet'!F59</f>
        <v>125.59</v>
      </c>
      <c r="H72" s="130">
        <f>'[2]Data Sheet'!G59</f>
        <v>121.46</v>
      </c>
      <c r="I72" s="130">
        <f>'[2]Data Sheet'!H59</f>
        <v>122.77</v>
      </c>
      <c r="J72" s="130">
        <f>'[2]Data Sheet'!I59</f>
        <v>124.23</v>
      </c>
      <c r="K72" s="130">
        <f>'[2]Data Sheet'!J59</f>
        <v>1911.74</v>
      </c>
      <c r="L72" s="130">
        <f>'[2]Data Sheet'!K59</f>
        <v>9364.16</v>
      </c>
    </row>
    <row r="73" spans="2:12">
      <c r="B73" s="23" t="s">
        <v>165</v>
      </c>
      <c r="C73" s="48"/>
      <c r="D73" s="151">
        <f t="shared" ref="D73:L73" si="9">D71/D72</f>
        <v>677.0681453369474</v>
      </c>
      <c r="E73" s="151">
        <f t="shared" si="9"/>
        <v>208.17255941044962</v>
      </c>
      <c r="F73" s="151">
        <f t="shared" si="9"/>
        <v>231.56448763250884</v>
      </c>
      <c r="G73" s="151">
        <f t="shared" si="9"/>
        <v>211.08384425511585</v>
      </c>
      <c r="H73" s="151">
        <f t="shared" si="9"/>
        <v>276.64836160052693</v>
      </c>
      <c r="I73" s="151">
        <f t="shared" si="9"/>
        <v>285.99177323450357</v>
      </c>
      <c r="J73" s="151">
        <f t="shared" si="9"/>
        <v>282.83385655638733</v>
      </c>
      <c r="K73" s="151">
        <f t="shared" si="9"/>
        <v>20.58004226516158</v>
      </c>
      <c r="L73" s="151">
        <f t="shared" si="9"/>
        <v>5.7784061784506031</v>
      </c>
    </row>
    <row r="75" spans="2:12">
      <c r="B75" s="132" t="s">
        <v>164</v>
      </c>
      <c r="C75" s="64"/>
      <c r="D75" s="64"/>
      <c r="E75" s="64"/>
      <c r="F75" s="64"/>
      <c r="G75" s="64"/>
      <c r="H75" s="64"/>
      <c r="I75" s="64"/>
      <c r="J75" s="64"/>
      <c r="K75" s="64"/>
      <c r="L75" s="64"/>
    </row>
    <row r="76" spans="2:12">
      <c r="D76" s="131">
        <f t="shared" ref="D76:L76" si="10">D52</f>
        <v>42825</v>
      </c>
      <c r="E76" s="131">
        <f t="shared" si="10"/>
        <v>43190</v>
      </c>
      <c r="F76" s="131">
        <f t="shared" si="10"/>
        <v>43555</v>
      </c>
      <c r="G76" s="131">
        <f t="shared" si="10"/>
        <v>43921</v>
      </c>
      <c r="H76" s="131">
        <f t="shared" si="10"/>
        <v>44286</v>
      </c>
      <c r="I76" s="131">
        <f t="shared" si="10"/>
        <v>44651</v>
      </c>
      <c r="J76" s="131">
        <f t="shared" si="10"/>
        <v>45016</v>
      </c>
      <c r="K76" s="131">
        <f t="shared" si="10"/>
        <v>45382</v>
      </c>
      <c r="L76" s="131">
        <f t="shared" si="10"/>
        <v>45747</v>
      </c>
    </row>
    <row r="77" spans="2:12">
      <c r="B77" s="1" t="s">
        <v>73</v>
      </c>
      <c r="D77" s="130">
        <f>'[2]Data Sheet'!C17</f>
        <v>21754.720000000001</v>
      </c>
      <c r="E77" s="130">
        <f>'[2]Data Sheet'!D17</f>
        <v>25209.93</v>
      </c>
      <c r="F77" s="130">
        <f>'[2]Data Sheet'!E17</f>
        <v>30357.63</v>
      </c>
      <c r="G77" s="130">
        <f>'[2]Data Sheet'!F17</f>
        <v>29918.65</v>
      </c>
      <c r="H77" s="130">
        <f>'[2]Data Sheet'!G17</f>
        <v>27741.08</v>
      </c>
      <c r="I77" s="130">
        <f>'[2]Data Sheet'!H17</f>
        <v>33144.71</v>
      </c>
      <c r="J77" s="130">
        <f>'[2]Data Sheet'!I17</f>
        <v>36455.379999999997</v>
      </c>
      <c r="K77" s="130">
        <f>'[2]Data Sheet'!J17</f>
        <v>44870.43</v>
      </c>
      <c r="L77" s="130">
        <f>'[2]Data Sheet'!K17</f>
        <v>50994.55</v>
      </c>
    </row>
    <row r="78" spans="2:12">
      <c r="B78" s="1" t="s">
        <v>129</v>
      </c>
      <c r="D78" s="130">
        <f t="shared" ref="D78:L78" si="11">D60</f>
        <v>21637.62</v>
      </c>
      <c r="E78" s="130">
        <f t="shared" si="11"/>
        <v>25141</v>
      </c>
      <c r="F78" s="130">
        <f t="shared" si="11"/>
        <v>28834.41</v>
      </c>
      <c r="G78" s="130">
        <f t="shared" si="11"/>
        <v>26510.02</v>
      </c>
      <c r="H78" s="130">
        <f t="shared" si="11"/>
        <v>33601.71</v>
      </c>
      <c r="I78" s="130">
        <f t="shared" si="11"/>
        <v>35111.21</v>
      </c>
      <c r="J78" s="130">
        <f t="shared" si="11"/>
        <v>35136.449999999997</v>
      </c>
      <c r="K78" s="130">
        <f t="shared" si="11"/>
        <v>39343.69</v>
      </c>
      <c r="L78" s="130">
        <f t="shared" si="11"/>
        <v>54109.919999999998</v>
      </c>
    </row>
    <row r="79" spans="2:12">
      <c r="B79" s="23" t="s">
        <v>163</v>
      </c>
      <c r="C79" s="48"/>
      <c r="D79" s="128">
        <f t="shared" ref="D79:L79" si="12">D77/D78</f>
        <v>1.0054118706216304</v>
      </c>
      <c r="E79" s="128">
        <f t="shared" si="12"/>
        <v>1.0027417366055447</v>
      </c>
      <c r="F79" s="128">
        <f t="shared" si="12"/>
        <v>1.0528264667111276</v>
      </c>
      <c r="G79" s="128">
        <f t="shared" si="12"/>
        <v>1.12857892977825</v>
      </c>
      <c r="H79" s="128">
        <f t="shared" si="12"/>
        <v>0.82558536455436349</v>
      </c>
      <c r="I79" s="128">
        <f t="shared" si="12"/>
        <v>0.94399224635095169</v>
      </c>
      <c r="J79" s="128">
        <f t="shared" si="12"/>
        <v>1.0375373721591112</v>
      </c>
      <c r="K79" s="128">
        <f t="shared" si="12"/>
        <v>1.1404733516352938</v>
      </c>
      <c r="L79" s="128">
        <f t="shared" si="12"/>
        <v>0.9424251597488964</v>
      </c>
    </row>
    <row r="81" spans="2:12">
      <c r="B81" s="150" t="s">
        <v>162</v>
      </c>
      <c r="C81" s="64"/>
      <c r="D81" s="64"/>
      <c r="E81" s="64"/>
      <c r="F81" s="64"/>
      <c r="G81" s="64"/>
      <c r="H81" s="64"/>
      <c r="I81" s="64"/>
      <c r="J81" s="64"/>
      <c r="K81" s="64"/>
      <c r="L81" s="64"/>
    </row>
    <row r="82" spans="2:12">
      <c r="D82" s="131">
        <f t="shared" ref="D82:L82" si="13">D76</f>
        <v>42825</v>
      </c>
      <c r="E82" s="131">
        <f t="shared" si="13"/>
        <v>43190</v>
      </c>
      <c r="F82" s="131">
        <f t="shared" si="13"/>
        <v>43555</v>
      </c>
      <c r="G82" s="131">
        <f t="shared" si="13"/>
        <v>43921</v>
      </c>
      <c r="H82" s="131">
        <f t="shared" si="13"/>
        <v>44286</v>
      </c>
      <c r="I82" s="131">
        <f t="shared" si="13"/>
        <v>44651</v>
      </c>
      <c r="J82" s="131">
        <f t="shared" si="13"/>
        <v>45016</v>
      </c>
      <c r="K82" s="131">
        <f t="shared" si="13"/>
        <v>45382</v>
      </c>
      <c r="L82" s="131">
        <f t="shared" si="13"/>
        <v>45747</v>
      </c>
    </row>
    <row r="83" spans="2:12">
      <c r="B83" s="23" t="s">
        <v>161</v>
      </c>
      <c r="C83" s="23"/>
      <c r="D83" s="149">
        <f t="shared" ref="D83:L83" si="14">(D55*1.2)+(D61*1.4)+(D67*3.3)+(D73*0.6)+(D79*1)</f>
        <v>407.94715506792892</v>
      </c>
      <c r="E83" s="149">
        <f t="shared" si="14"/>
        <v>126.5511944408989</v>
      </c>
      <c r="F83" s="149">
        <f t="shared" si="14"/>
        <v>140.63336343652654</v>
      </c>
      <c r="G83" s="149">
        <f t="shared" si="14"/>
        <v>128.36217778151774</v>
      </c>
      <c r="H83" s="149">
        <f t="shared" si="14"/>
        <v>167.21743646252713</v>
      </c>
      <c r="I83" s="149">
        <f t="shared" si="14"/>
        <v>173.0851338862264</v>
      </c>
      <c r="J83" s="149">
        <f t="shared" si="14"/>
        <v>171.31991972514552</v>
      </c>
      <c r="K83" s="149">
        <f t="shared" si="14"/>
        <v>14.294933864057434</v>
      </c>
      <c r="L83" s="149">
        <f t="shared" si="14"/>
        <v>5.2354856333634654</v>
      </c>
    </row>
    <row r="84" spans="2:12">
      <c r="D84" s="130"/>
      <c r="E84" s="130"/>
      <c r="F84" s="130"/>
      <c r="G84" s="130"/>
      <c r="H84" s="130"/>
      <c r="I84" s="130"/>
      <c r="J84" s="130"/>
      <c r="K84" s="130"/>
      <c r="L84" s="130"/>
    </row>
    <row r="85" spans="2:12">
      <c r="B85" s="23" t="s">
        <v>160</v>
      </c>
      <c r="C85" s="48"/>
      <c r="D85" s="148" t="str">
        <f t="shared" ref="D85:L85" si="15">IF(D83&lt;1.81,"Distressed",IF(D83&gt;3,"Strong","Grey Zone"))</f>
        <v>Strong</v>
      </c>
      <c r="E85" s="148" t="str">
        <f t="shared" si="15"/>
        <v>Strong</v>
      </c>
      <c r="F85" s="148" t="str">
        <f t="shared" si="15"/>
        <v>Strong</v>
      </c>
      <c r="G85" s="148" t="str">
        <f t="shared" si="15"/>
        <v>Strong</v>
      </c>
      <c r="H85" s="148" t="str">
        <f t="shared" si="15"/>
        <v>Strong</v>
      </c>
      <c r="I85" s="148" t="str">
        <f t="shared" si="15"/>
        <v>Strong</v>
      </c>
      <c r="J85" s="148" t="str">
        <f t="shared" si="15"/>
        <v>Strong</v>
      </c>
      <c r="K85" s="148" t="str">
        <f t="shared" si="15"/>
        <v>Strong</v>
      </c>
      <c r="L85" s="148" t="str">
        <f t="shared" si="15"/>
        <v>Strong</v>
      </c>
    </row>
    <row r="87" spans="2:12" ht="15.75">
      <c r="B87" s="125" t="s">
        <v>133</v>
      </c>
      <c r="C87" s="124"/>
      <c r="D87" s="124"/>
      <c r="E87" s="124"/>
      <c r="F87" s="124"/>
      <c r="G87" s="124"/>
      <c r="H87" s="124"/>
      <c r="I87" s="124"/>
      <c r="J87" s="124"/>
    </row>
    <row r="88" spans="2:12" ht="15" customHeight="1">
      <c r="B88" s="526" t="s">
        <v>132</v>
      </c>
      <c r="C88" s="526"/>
      <c r="D88" s="526"/>
      <c r="E88" s="526"/>
      <c r="F88" s="526"/>
      <c r="G88" s="526"/>
      <c r="H88" s="526"/>
      <c r="I88" s="526"/>
      <c r="J88" s="526"/>
      <c r="K88" s="526"/>
      <c r="L88" s="526"/>
    </row>
    <row r="89" spans="2:12">
      <c r="B89" s="526"/>
      <c r="C89" s="526"/>
      <c r="D89" s="526"/>
      <c r="E89" s="526"/>
      <c r="F89" s="526"/>
      <c r="G89" s="526"/>
      <c r="H89" s="526"/>
      <c r="I89" s="526"/>
      <c r="J89" s="526"/>
      <c r="K89" s="526"/>
      <c r="L89" s="526"/>
    </row>
    <row r="90" spans="2:12">
      <c r="B90" s="526"/>
      <c r="C90" s="526"/>
      <c r="D90" s="526"/>
      <c r="E90" s="526"/>
      <c r="F90" s="526"/>
      <c r="G90" s="526"/>
      <c r="H90" s="526"/>
      <c r="I90" s="526"/>
      <c r="J90" s="526"/>
      <c r="K90" s="526"/>
      <c r="L90" s="526"/>
    </row>
    <row r="92" spans="2:12" ht="15" customHeight="1">
      <c r="B92" s="3" t="s">
        <v>131</v>
      </c>
      <c r="C92" s="3" t="s">
        <v>131</v>
      </c>
      <c r="D92" s="3" t="s">
        <v>131</v>
      </c>
      <c r="E92" s="3" t="s">
        <v>131</v>
      </c>
      <c r="F92" s="3" t="s">
        <v>131</v>
      </c>
      <c r="G92" s="3" t="s">
        <v>131</v>
      </c>
      <c r="H92" s="3" t="s">
        <v>131</v>
      </c>
      <c r="I92" s="3" t="s">
        <v>131</v>
      </c>
      <c r="J92" s="3" t="s">
        <v>131</v>
      </c>
      <c r="K92" s="3" t="s">
        <v>131</v>
      </c>
      <c r="L92" s="3" t="s">
        <v>131</v>
      </c>
    </row>
    <row r="93" spans="2:12" ht="9.75" customHeight="1" thickBot="1">
      <c r="B93" s="59"/>
      <c r="C93" s="59"/>
      <c r="D93" s="59"/>
      <c r="E93" s="59"/>
      <c r="F93" s="59"/>
      <c r="G93" s="59"/>
      <c r="H93" s="59"/>
      <c r="I93" s="59"/>
      <c r="J93" s="59"/>
      <c r="K93" s="59"/>
      <c r="L93" s="59"/>
    </row>
    <row r="94" spans="2:12" ht="15.75" thickTop="1"/>
    <row r="95" spans="2:12" ht="15" customHeight="1"/>
  </sheetData>
  <mergeCells count="10">
    <mergeCell ref="B12:J12"/>
    <mergeCell ref="B88:L90"/>
    <mergeCell ref="B14:L18"/>
    <mergeCell ref="J23:K23"/>
    <mergeCell ref="F24:G24"/>
    <mergeCell ref="E23:H23"/>
    <mergeCell ref="B23:C23"/>
    <mergeCell ref="B36:C36"/>
    <mergeCell ref="E36:G36"/>
    <mergeCell ref="J36:L36"/>
  </mergeCells>
  <printOptions horizontalCentered="1"/>
  <pageMargins left="0" right="0" top="0" bottom="0" header="0.3" footer="0"/>
  <pageSetup paperSize="8" scale="88" orientation="portrait" r:id="rId1"/>
  <drawing r:id="rId2"/>
</worksheet>
</file>

<file path=xl/worksheets/sheet15.xml><?xml version="1.0" encoding="utf-8"?>
<worksheet xmlns="http://schemas.openxmlformats.org/spreadsheetml/2006/main" xmlns:r="http://schemas.openxmlformats.org/officeDocument/2006/relationships">
  <dimension ref="B2:P121"/>
  <sheetViews>
    <sheetView showGridLines="0" workbookViewId="0">
      <selection activeCell="O104" sqref="O104"/>
    </sheetView>
  </sheetViews>
  <sheetFormatPr defaultRowHeight="15"/>
  <cols>
    <col min="1" max="1" width="3" customWidth="1"/>
    <col min="5" max="5" width="12.85546875" customWidth="1"/>
    <col min="10" max="10" width="10.140625" customWidth="1"/>
    <col min="11" max="11" width="11.140625" customWidth="1"/>
    <col min="12" max="12" width="9.5703125" customWidth="1"/>
    <col min="13" max="13" width="10.7109375" customWidth="1"/>
    <col min="14" max="15" width="10.28515625" customWidth="1"/>
  </cols>
  <sheetData>
    <row r="2" spans="2:15" ht="23.25">
      <c r="B2" s="450" t="s">
        <v>477</v>
      </c>
      <c r="F2" s="449"/>
    </row>
    <row r="3" spans="2:15" ht="11.25" customHeight="1"/>
    <row r="4" spans="2:15" ht="12" customHeight="1">
      <c r="B4" s="3" t="s">
        <v>0</v>
      </c>
      <c r="C4" s="3" t="s">
        <v>0</v>
      </c>
      <c r="D4" s="3" t="s">
        <v>0</v>
      </c>
      <c r="E4" s="3" t="s">
        <v>0</v>
      </c>
      <c r="F4" s="3" t="s">
        <v>0</v>
      </c>
      <c r="G4" s="3" t="s">
        <v>0</v>
      </c>
      <c r="H4" s="3" t="s">
        <v>0</v>
      </c>
      <c r="I4" s="3" t="s">
        <v>0</v>
      </c>
      <c r="J4" s="3"/>
      <c r="K4" s="3"/>
      <c r="L4" s="3" t="s">
        <v>0</v>
      </c>
      <c r="M4" s="3" t="s">
        <v>0</v>
      </c>
      <c r="N4" s="3" t="s">
        <v>0</v>
      </c>
      <c r="O4" s="3" t="s">
        <v>0</v>
      </c>
    </row>
    <row r="5" spans="2:15" ht="9.75" customHeight="1" thickBot="1">
      <c r="B5" s="59"/>
      <c r="C5" s="59"/>
      <c r="D5" s="59"/>
      <c r="E5" s="59"/>
      <c r="F5" s="59"/>
      <c r="G5" s="59"/>
      <c r="H5" s="59"/>
      <c r="I5" s="59"/>
      <c r="J5" s="59"/>
      <c r="K5" s="59"/>
      <c r="L5" s="59"/>
    </row>
    <row r="6" spans="2:15" ht="36" thickTop="1">
      <c r="B6" s="63" t="str">
        <f>'[2]Data Sheet'!B1</f>
        <v>BAJAJ AUTO LTD</v>
      </c>
      <c r="C6" s="1"/>
      <c r="D6" s="1"/>
      <c r="E6" s="1"/>
      <c r="F6" s="1"/>
      <c r="G6" s="1"/>
      <c r="H6" s="1"/>
      <c r="I6" s="1"/>
      <c r="J6" s="1"/>
      <c r="K6" s="1"/>
      <c r="L6" s="1"/>
      <c r="M6" s="447"/>
      <c r="N6" s="447"/>
      <c r="O6" s="447"/>
    </row>
    <row r="7" spans="2:15">
      <c r="B7" s="62" t="str">
        <f>CONCATENATE(" ",VLOOKUP(B6,'[2]LIST OF STOCKS'!B5:D5444,3,FALSE)," | ","Bse Code: ",VLOOKUP(B6,'[2]LIST OF STOCKS'!B5:E5444,2,FALSE),)</f>
        <v xml:space="preserve"> BAJAJ-AUTO | Bse Code: 532977</v>
      </c>
      <c r="C7" s="1"/>
      <c r="D7" s="1"/>
      <c r="E7" s="1"/>
      <c r="F7" s="1"/>
      <c r="G7" s="1"/>
      <c r="H7" s="1"/>
      <c r="I7" s="1"/>
      <c r="J7" s="1"/>
      <c r="K7" s="1"/>
      <c r="L7" s="1"/>
      <c r="M7" s="191"/>
      <c r="N7" s="191"/>
      <c r="O7" s="191"/>
    </row>
    <row r="8" spans="2:15" ht="15.75" thickBot="1">
      <c r="B8" s="61" t="s">
        <v>78</v>
      </c>
      <c r="C8" s="59"/>
      <c r="D8" s="59"/>
      <c r="E8" s="59"/>
      <c r="F8" s="59"/>
      <c r="G8" s="59"/>
      <c r="H8" s="59"/>
      <c r="I8" s="60"/>
      <c r="J8" s="60"/>
      <c r="K8" s="60"/>
      <c r="L8" s="59"/>
      <c r="M8" s="448"/>
      <c r="N8" s="448"/>
      <c r="O8" s="448"/>
    </row>
    <row r="9" spans="2:15" ht="7.5" customHeight="1" thickTop="1">
      <c r="B9" s="25"/>
      <c r="C9" s="58"/>
      <c r="D9" s="58"/>
      <c r="E9" s="58"/>
      <c r="F9" s="58"/>
      <c r="G9" s="58"/>
      <c r="H9" s="1"/>
      <c r="I9" s="57"/>
      <c r="J9" s="57"/>
      <c r="K9" s="57"/>
      <c r="L9" s="1"/>
    </row>
    <row r="10" spans="2:15" hidden="1"/>
    <row r="11" spans="2:15" ht="12.75" customHeight="1">
      <c r="B11" s="179" t="s">
        <v>414</v>
      </c>
      <c r="C11" s="311"/>
      <c r="D11" s="311"/>
      <c r="E11" s="311"/>
      <c r="F11" s="311"/>
      <c r="G11" s="311"/>
      <c r="H11" s="311"/>
      <c r="I11" s="311"/>
      <c r="J11" s="311"/>
      <c r="K11" s="311"/>
      <c r="L11" s="311"/>
      <c r="M11" s="311"/>
      <c r="N11" s="311"/>
      <c r="O11" s="311"/>
    </row>
    <row r="12" spans="2:15" ht="9.75" customHeight="1"/>
    <row r="13" spans="2:15">
      <c r="B13" s="179" t="s">
        <v>415</v>
      </c>
      <c r="C13" s="311"/>
      <c r="D13" s="311"/>
      <c r="E13" s="311"/>
      <c r="G13" s="179" t="s">
        <v>369</v>
      </c>
      <c r="H13" s="311"/>
      <c r="I13" s="311"/>
      <c r="J13" s="311"/>
      <c r="L13" s="179" t="s">
        <v>252</v>
      </c>
      <c r="M13" s="179"/>
      <c r="N13" s="412" t="s">
        <v>428</v>
      </c>
      <c r="O13" s="412" t="s">
        <v>429</v>
      </c>
    </row>
    <row r="14" spans="2:15">
      <c r="B14" t="s">
        <v>416</v>
      </c>
      <c r="E14" s="416">
        <f>J19</f>
        <v>9611.4200000000055</v>
      </c>
      <c r="G14" s="390" t="s">
        <v>421</v>
      </c>
      <c r="L14" t="s">
        <v>430</v>
      </c>
      <c r="N14" s="441">
        <v>4</v>
      </c>
      <c r="O14" s="442">
        <v>0.06</v>
      </c>
    </row>
    <row r="15" spans="2:15" ht="15.75" thickBot="1">
      <c r="B15" t="s">
        <v>417</v>
      </c>
      <c r="E15" s="441">
        <v>10</v>
      </c>
      <c r="G15" t="s">
        <v>139</v>
      </c>
      <c r="J15" s="443">
        <f>'Historical FS'!K13</f>
        <v>50994.55</v>
      </c>
      <c r="L15" t="s">
        <v>431</v>
      </c>
      <c r="N15" s="441">
        <v>2</v>
      </c>
      <c r="O15" s="442">
        <v>0.12</v>
      </c>
    </row>
    <row r="16" spans="2:15">
      <c r="B16" s="393" t="s">
        <v>237</v>
      </c>
      <c r="C16" s="394"/>
      <c r="D16" s="394"/>
      <c r="E16" s="415">
        <f>E14*E15</f>
        <v>96114.200000000055</v>
      </c>
      <c r="G16" t="s">
        <v>422</v>
      </c>
      <c r="J16" s="443">
        <f>'Historical FS'!K31</f>
        <v>414.23</v>
      </c>
    </row>
    <row r="17" spans="2:15" ht="15.75" thickBot="1">
      <c r="B17" t="s">
        <v>418</v>
      </c>
      <c r="E17" s="445">
        <v>30000</v>
      </c>
      <c r="G17" t="s">
        <v>423</v>
      </c>
      <c r="J17" s="443">
        <f>'Historical FS'!K89</f>
        <v>-874</v>
      </c>
    </row>
    <row r="18" spans="2:15">
      <c r="B18" s="393" t="s">
        <v>364</v>
      </c>
      <c r="C18" s="394"/>
      <c r="D18" s="394"/>
      <c r="E18" s="415">
        <f>E16-E17</f>
        <v>66114.200000000055</v>
      </c>
      <c r="G18" t="s">
        <v>424</v>
      </c>
      <c r="J18" s="443">
        <f>'Historical FS'!K70-'Historical FS'!K59+'Historical FS'!K56</f>
        <v>-12150.260000000009</v>
      </c>
    </row>
    <row r="19" spans="2:15">
      <c r="G19" t="s">
        <v>96</v>
      </c>
      <c r="J19" s="444">
        <f>'Historical FS'!K25</f>
        <v>9611.4200000000055</v>
      </c>
      <c r="L19" s="179" t="s">
        <v>432</v>
      </c>
      <c r="M19" s="260"/>
      <c r="N19" s="260"/>
      <c r="O19" s="260"/>
    </row>
    <row r="20" spans="2:15">
      <c r="L20" t="s">
        <v>433</v>
      </c>
      <c r="O20" s="395">
        <f>O117</f>
        <v>0.33276501466770703</v>
      </c>
    </row>
    <row r="21" spans="2:15">
      <c r="B21" t="s">
        <v>419</v>
      </c>
      <c r="E21" s="443">
        <v>50</v>
      </c>
    </row>
    <row r="22" spans="2:15" ht="12" customHeight="1">
      <c r="G22" s="390" t="s">
        <v>425</v>
      </c>
    </row>
    <row r="23" spans="2:15" ht="14.25" customHeight="1">
      <c r="B23" s="179" t="s">
        <v>420</v>
      </c>
      <c r="C23" s="311"/>
      <c r="D23" s="311"/>
      <c r="E23" s="311"/>
      <c r="G23" t="s">
        <v>426</v>
      </c>
      <c r="J23" s="442">
        <v>7.0000000000000007E-2</v>
      </c>
    </row>
    <row r="24" spans="2:15">
      <c r="B24" t="s">
        <v>417</v>
      </c>
      <c r="E24" s="396">
        <f>E15</f>
        <v>10</v>
      </c>
      <c r="G24" t="s">
        <v>427</v>
      </c>
      <c r="J24" s="442">
        <v>0.01</v>
      </c>
    </row>
    <row r="25" spans="2:15">
      <c r="G25" t="s">
        <v>302</v>
      </c>
      <c r="J25" s="442">
        <v>0.25</v>
      </c>
    </row>
    <row r="27" spans="2:15">
      <c r="B27" s="179" t="s">
        <v>434</v>
      </c>
      <c r="C27" s="260"/>
      <c r="D27" s="260"/>
      <c r="E27" s="260"/>
      <c r="F27" s="260"/>
      <c r="G27" s="260"/>
      <c r="H27" s="260"/>
      <c r="I27" s="260"/>
      <c r="J27" s="260"/>
      <c r="K27" s="260"/>
      <c r="L27" s="260"/>
      <c r="M27" s="260"/>
      <c r="N27" s="260"/>
      <c r="O27" s="260"/>
    </row>
    <row r="28" spans="2:15" ht="9" customHeight="1"/>
    <row r="29" spans="2:15">
      <c r="B29" s="179" t="s">
        <v>435</v>
      </c>
      <c r="C29" s="311"/>
      <c r="D29" s="311"/>
      <c r="E29" s="392"/>
      <c r="F29" s="392"/>
      <c r="G29" s="392"/>
      <c r="J29" s="179" t="s">
        <v>438</v>
      </c>
      <c r="K29" s="311"/>
      <c r="L29" s="311"/>
      <c r="M29" s="311"/>
      <c r="N29" s="311"/>
      <c r="O29" s="311"/>
    </row>
    <row r="30" spans="2:15">
      <c r="E30" s="391" t="s">
        <v>428</v>
      </c>
      <c r="F30" s="391" t="s">
        <v>436</v>
      </c>
      <c r="G30" s="391" t="s">
        <v>437</v>
      </c>
      <c r="M30" s="391" t="s">
        <v>428</v>
      </c>
      <c r="N30" s="391" t="s">
        <v>436</v>
      </c>
      <c r="O30" s="391" t="s">
        <v>437</v>
      </c>
    </row>
    <row r="31" spans="2:15">
      <c r="B31" t="s">
        <v>430</v>
      </c>
      <c r="E31" s="413">
        <f>F31*$E$14</f>
        <v>38445.680000000022</v>
      </c>
      <c r="F31" s="397">
        <f>N14</f>
        <v>4</v>
      </c>
      <c r="G31" s="400">
        <f>E31/$E$37</f>
        <v>0.39979202239502848</v>
      </c>
      <c r="J31" t="s">
        <v>439</v>
      </c>
      <c r="L31" s="413"/>
      <c r="M31" s="413">
        <f>E17</f>
        <v>30000</v>
      </c>
      <c r="N31" s="397">
        <f>M31/$J$19</f>
        <v>3.1212869690430742</v>
      </c>
      <c r="O31" s="271">
        <f>M31/$M$37</f>
        <v>0.3119664074572448</v>
      </c>
    </row>
    <row r="32" spans="2:15">
      <c r="B32" t="s">
        <v>431</v>
      </c>
      <c r="E32" s="413">
        <f>F32*$E$14</f>
        <v>19222.840000000011</v>
      </c>
      <c r="F32" s="397">
        <f>N15</f>
        <v>2</v>
      </c>
      <c r="G32" s="400">
        <f t="shared" ref="G32:G35" si="0">E32/$E$37</f>
        <v>0.19989601119751424</v>
      </c>
      <c r="J32" t="s">
        <v>440</v>
      </c>
      <c r="L32" s="413"/>
      <c r="M32" s="413">
        <f>E18</f>
        <v>66114.200000000055</v>
      </c>
      <c r="N32" s="397">
        <f>M32/$J$19</f>
        <v>6.8787130309569262</v>
      </c>
      <c r="O32" s="271">
        <f t="shared" ref="O32:O34" si="1">M32/$M$37</f>
        <v>0.68751364853032648</v>
      </c>
    </row>
    <row r="33" spans="2:16">
      <c r="B33" s="398" t="s">
        <v>305</v>
      </c>
      <c r="C33" s="399"/>
      <c r="D33" s="399"/>
      <c r="E33" s="414">
        <f>E31+E32</f>
        <v>57668.520000000033</v>
      </c>
      <c r="F33" s="466">
        <f>E33/E14</f>
        <v>6</v>
      </c>
      <c r="G33" s="467">
        <f t="shared" si="0"/>
        <v>0.59968803359254275</v>
      </c>
      <c r="L33" s="413"/>
      <c r="M33" s="413"/>
      <c r="N33" s="397"/>
      <c r="O33" s="271"/>
    </row>
    <row r="34" spans="2:16">
      <c r="E34" s="413"/>
      <c r="G34" s="400"/>
      <c r="J34" t="s">
        <v>441</v>
      </c>
      <c r="L34" s="413"/>
      <c r="M34" s="413">
        <f>E21</f>
        <v>50</v>
      </c>
      <c r="N34" s="397">
        <f>M34/$J$19</f>
        <v>5.2021449484051232E-3</v>
      </c>
      <c r="O34" s="271">
        <f t="shared" si="1"/>
        <v>5.1994401242874135E-4</v>
      </c>
    </row>
    <row r="35" spans="2:16">
      <c r="B35" t="s">
        <v>442</v>
      </c>
      <c r="E35" s="413">
        <f>E37-E33</f>
        <v>38495.680000000022</v>
      </c>
      <c r="F35" s="397">
        <f>E35/J19</f>
        <v>4.005202144948405</v>
      </c>
      <c r="G35" s="400">
        <f t="shared" si="0"/>
        <v>0.40031196640745725</v>
      </c>
      <c r="L35" s="413"/>
      <c r="M35" s="413"/>
      <c r="O35" s="271"/>
    </row>
    <row r="36" spans="2:16" ht="15.75" thickBot="1">
      <c r="G36" s="400"/>
      <c r="L36" s="413"/>
      <c r="M36" s="413"/>
      <c r="O36" s="271"/>
    </row>
    <row r="37" spans="2:16" ht="15.75" thickBot="1">
      <c r="B37" s="420" t="s">
        <v>443</v>
      </c>
      <c r="C37" s="421"/>
      <c r="D37" s="421"/>
      <c r="E37" s="422">
        <f>M37</f>
        <v>96164.200000000055</v>
      </c>
      <c r="F37" s="465">
        <f>E37/J19</f>
        <v>10.005202144948406</v>
      </c>
      <c r="G37" s="464">
        <f>E37/$E$37</f>
        <v>1</v>
      </c>
      <c r="J37" s="420" t="s">
        <v>444</v>
      </c>
      <c r="K37" s="421"/>
      <c r="L37" s="421"/>
      <c r="M37" s="422">
        <f>M31+M32+M34</f>
        <v>96164.200000000055</v>
      </c>
      <c r="N37" s="465">
        <f>N31+N32+N34</f>
        <v>10.005202144948406</v>
      </c>
      <c r="O37" s="464">
        <f>M37/$M$37</f>
        <v>1</v>
      </c>
    </row>
    <row r="38" spans="2:16">
      <c r="M38" s="246"/>
      <c r="N38" s="246"/>
    </row>
    <row r="39" spans="2:16">
      <c r="B39" s="403" t="s">
        <v>369</v>
      </c>
      <c r="C39" s="402"/>
      <c r="D39" s="402"/>
      <c r="E39" s="402"/>
      <c r="F39" s="402"/>
      <c r="G39" s="402"/>
      <c r="H39" s="402"/>
      <c r="I39" s="402"/>
      <c r="J39" s="402"/>
      <c r="K39" s="402"/>
      <c r="L39" s="402"/>
      <c r="M39" s="403" t="s">
        <v>476</v>
      </c>
      <c r="N39" s="402"/>
      <c r="O39" s="402"/>
    </row>
    <row r="40" spans="2:16" ht="6.75" customHeight="1"/>
    <row r="41" spans="2:16" hidden="1">
      <c r="B41" s="181"/>
      <c r="C41" s="310"/>
      <c r="D41" s="310"/>
      <c r="E41" s="310"/>
      <c r="F41" s="310"/>
      <c r="G41" s="310"/>
      <c r="H41" s="310"/>
      <c r="I41" s="404"/>
      <c r="J41" s="405"/>
      <c r="K41" s="405"/>
      <c r="L41" s="405"/>
      <c r="M41" s="405"/>
      <c r="N41" s="405"/>
      <c r="O41" s="406"/>
      <c r="P41" s="177"/>
    </row>
    <row r="42" spans="2:16">
      <c r="B42" s="403" t="s">
        <v>445</v>
      </c>
      <c r="C42" s="403"/>
      <c r="D42" s="403"/>
      <c r="E42" s="403"/>
      <c r="F42" s="403"/>
      <c r="G42" s="403"/>
      <c r="H42" s="403"/>
      <c r="I42" s="407"/>
      <c r="J42" s="423" t="s">
        <v>446</v>
      </c>
      <c r="K42" s="408" t="s">
        <v>447</v>
      </c>
      <c r="L42" s="408" t="s">
        <v>448</v>
      </c>
      <c r="M42" s="408" t="s">
        <v>449</v>
      </c>
      <c r="N42" s="408" t="s">
        <v>450</v>
      </c>
      <c r="O42" s="408" t="s">
        <v>451</v>
      </c>
    </row>
    <row r="43" spans="2:16">
      <c r="B43" t="s">
        <v>139</v>
      </c>
      <c r="J43" s="424">
        <f>J15</f>
        <v>50994.55</v>
      </c>
      <c r="K43" s="413">
        <f>J43*(1+K44)</f>
        <v>54564.168500000007</v>
      </c>
      <c r="L43" s="413">
        <f t="shared" ref="L43:N43" si="2">K43*(1+L44)</f>
        <v>58383.660295000009</v>
      </c>
      <c r="M43" s="413">
        <f t="shared" si="2"/>
        <v>62470.516515650015</v>
      </c>
      <c r="N43" s="413">
        <f t="shared" si="2"/>
        <v>66843.452671745516</v>
      </c>
      <c r="O43" s="432">
        <f>N43*(1+O44)</f>
        <v>71522.494358767712</v>
      </c>
    </row>
    <row r="44" spans="2:16">
      <c r="B44" s="409" t="s">
        <v>452</v>
      </c>
      <c r="J44" s="452" t="s">
        <v>71</v>
      </c>
      <c r="K44" s="417">
        <f>$J$23</f>
        <v>7.0000000000000007E-2</v>
      </c>
      <c r="L44" s="417">
        <f>$J$23</f>
        <v>7.0000000000000007E-2</v>
      </c>
      <c r="M44" s="417">
        <f>$J$23</f>
        <v>7.0000000000000007E-2</v>
      </c>
      <c r="N44" s="417">
        <f>$J$23</f>
        <v>7.0000000000000007E-2</v>
      </c>
      <c r="O44" s="436">
        <f>$J$23</f>
        <v>7.0000000000000007E-2</v>
      </c>
    </row>
    <row r="45" spans="2:16">
      <c r="J45" s="425"/>
      <c r="O45" s="437"/>
    </row>
    <row r="46" spans="2:16">
      <c r="B46" t="s">
        <v>96</v>
      </c>
      <c r="J46" s="424">
        <f>J19</f>
        <v>9611.4200000000055</v>
      </c>
      <c r="K46" s="413">
        <f>K47*K43</f>
        <v>10829.861085000006</v>
      </c>
      <c r="L46" s="413">
        <f t="shared" ref="L46:O46" si="3">L47*L43</f>
        <v>12171.787963900008</v>
      </c>
      <c r="M46" s="413">
        <f t="shared" si="3"/>
        <v>13648.51828652951</v>
      </c>
      <c r="N46" s="413">
        <f t="shared" si="3"/>
        <v>15272.349093304032</v>
      </c>
      <c r="O46" s="432">
        <f t="shared" si="3"/>
        <v>17056.638473422994</v>
      </c>
    </row>
    <row r="47" spans="2:16">
      <c r="B47" s="409" t="s">
        <v>453</v>
      </c>
      <c r="J47" s="426">
        <f>J46/J43</f>
        <v>0.18847935710776945</v>
      </c>
      <c r="K47" s="419">
        <f>J47+$J$24</f>
        <v>0.19847935710776946</v>
      </c>
      <c r="L47" s="419">
        <f t="shared" ref="L47:M47" si="4">K47+$J$24</f>
        <v>0.20847935710776946</v>
      </c>
      <c r="M47" s="419">
        <f t="shared" si="4"/>
        <v>0.21847935710776947</v>
      </c>
      <c r="N47" s="419">
        <f>M47+$J$24</f>
        <v>0.22847935710776948</v>
      </c>
      <c r="O47" s="438">
        <f>N47+$J$24</f>
        <v>0.23847935710776949</v>
      </c>
    </row>
    <row r="48" spans="2:16">
      <c r="J48" s="425"/>
      <c r="O48" s="437"/>
    </row>
    <row r="49" spans="2:16">
      <c r="B49" t="s">
        <v>170</v>
      </c>
      <c r="J49" s="424">
        <f>J46-J64</f>
        <v>9197.190000000006</v>
      </c>
      <c r="K49" s="413">
        <f>K46-K64</f>
        <v>10386.634985000006</v>
      </c>
      <c r="L49" s="413">
        <f t="shared" ref="L49:O49" si="5">L46-L64</f>
        <v>11697.536036900008</v>
      </c>
      <c r="M49" s="413">
        <f t="shared" si="5"/>
        <v>13141.06872463951</v>
      </c>
      <c r="N49" s="413">
        <f t="shared" si="5"/>
        <v>14729.378062081732</v>
      </c>
      <c r="O49" s="432">
        <f t="shared" si="5"/>
        <v>16475.659470015133</v>
      </c>
      <c r="P49" s="410"/>
    </row>
    <row r="50" spans="2:16">
      <c r="B50" s="409" t="s">
        <v>454</v>
      </c>
      <c r="J50" s="426">
        <f>J49/J43</f>
        <v>0.18035633219628383</v>
      </c>
      <c r="K50" s="418">
        <f>K49/K43</f>
        <v>0.19035633219628381</v>
      </c>
      <c r="L50" s="418">
        <f t="shared" ref="L50:N50" si="6">L49/L43</f>
        <v>0.20035633219628382</v>
      </c>
      <c r="M50" s="418">
        <f t="shared" si="6"/>
        <v>0.21035633219628383</v>
      </c>
      <c r="N50" s="418">
        <f t="shared" si="6"/>
        <v>0.22035633219628387</v>
      </c>
      <c r="O50" s="439">
        <f>O49/O43</f>
        <v>0.23035633219628385</v>
      </c>
    </row>
    <row r="51" spans="2:16">
      <c r="J51" s="425"/>
      <c r="O51" s="437"/>
    </row>
    <row r="52" spans="2:16">
      <c r="B52" t="s">
        <v>62</v>
      </c>
      <c r="J52" s="452" t="s">
        <v>71</v>
      </c>
      <c r="K52" s="413">
        <f>K101</f>
        <v>4613.4816000000028</v>
      </c>
      <c r="L52" s="413">
        <f t="shared" ref="L52:N52" si="7">L101</f>
        <v>4219.9542396750021</v>
      </c>
      <c r="M52" s="413">
        <f t="shared" si="7"/>
        <v>3740.3661187398775</v>
      </c>
      <c r="N52" s="413">
        <f t="shared" si="7"/>
        <v>3164.2207756101934</v>
      </c>
      <c r="O52" s="432">
        <f>O101</f>
        <v>2479.9570110442805</v>
      </c>
    </row>
    <row r="53" spans="2:16">
      <c r="J53" s="452"/>
      <c r="O53" s="437"/>
    </row>
    <row r="54" spans="2:16">
      <c r="B54" t="s">
        <v>455</v>
      </c>
      <c r="J54" s="452" t="s">
        <v>71</v>
      </c>
      <c r="K54" s="413">
        <f>K49-K52</f>
        <v>5773.1533850000033</v>
      </c>
      <c r="L54" s="413">
        <f t="shared" ref="L54:O54" si="8">L49-L52</f>
        <v>7477.5817972250061</v>
      </c>
      <c r="M54" s="413">
        <f t="shared" si="8"/>
        <v>9400.7026058996325</v>
      </c>
      <c r="N54" s="413">
        <f>N49-N52</f>
        <v>11565.157286471538</v>
      </c>
      <c r="O54" s="432">
        <f t="shared" si="8"/>
        <v>13995.702458970853</v>
      </c>
    </row>
    <row r="55" spans="2:16">
      <c r="B55" s="267" t="s">
        <v>456</v>
      </c>
      <c r="J55" s="452" t="s">
        <v>71</v>
      </c>
      <c r="K55" s="418">
        <f>K54/K43</f>
        <v>0.10580484489560218</v>
      </c>
      <c r="L55" s="418">
        <f t="shared" ref="L55:N55" si="9">L54/L43</f>
        <v>0.12807661868821521</v>
      </c>
      <c r="M55" s="418">
        <f t="shared" si="9"/>
        <v>0.15048222954174845</v>
      </c>
      <c r="N55" s="418">
        <f t="shared" si="9"/>
        <v>0.17301855042206832</v>
      </c>
      <c r="O55" s="439">
        <f>O54/O43</f>
        <v>0.19568252735658631</v>
      </c>
    </row>
    <row r="56" spans="2:16">
      <c r="J56" s="452"/>
      <c r="O56" s="437"/>
    </row>
    <row r="57" spans="2:16">
      <c r="B57" t="s">
        <v>457</v>
      </c>
      <c r="J57" s="452" t="s">
        <v>71</v>
      </c>
      <c r="K57" s="413">
        <f>K54*K58</f>
        <v>1443.2883462500008</v>
      </c>
      <c r="L57" s="413">
        <f t="shared" ref="L57:N57" si="10">L54*L58</f>
        <v>1869.3954493062515</v>
      </c>
      <c r="M57" s="413">
        <f t="shared" si="10"/>
        <v>2350.1756514749081</v>
      </c>
      <c r="N57" s="413">
        <f t="shared" si="10"/>
        <v>2891.2893216178845</v>
      </c>
      <c r="O57" s="432">
        <f>O54*O58</f>
        <v>3498.9256147427132</v>
      </c>
    </row>
    <row r="58" spans="2:16">
      <c r="B58" s="409" t="s">
        <v>458</v>
      </c>
      <c r="J58" s="452" t="s">
        <v>71</v>
      </c>
      <c r="K58" s="417">
        <f>$J$25</f>
        <v>0.25</v>
      </c>
      <c r="L58" s="417">
        <f>$J$25</f>
        <v>0.25</v>
      </c>
      <c r="M58" s="417">
        <f>$J$25</f>
        <v>0.25</v>
      </c>
      <c r="N58" s="417">
        <f>$J$25</f>
        <v>0.25</v>
      </c>
      <c r="O58" s="436">
        <f>$J$25</f>
        <v>0.25</v>
      </c>
    </row>
    <row r="59" spans="2:16">
      <c r="J59" s="452"/>
      <c r="O59" s="437"/>
    </row>
    <row r="60" spans="2:16">
      <c r="B60" t="s">
        <v>363</v>
      </c>
      <c r="J60" s="452" t="s">
        <v>71</v>
      </c>
      <c r="K60" s="413">
        <f>K54-K57</f>
        <v>4329.865038750002</v>
      </c>
      <c r="L60" s="413">
        <f t="shared" ref="L60:M60" si="11">L54-L57</f>
        <v>5608.1863479187541</v>
      </c>
      <c r="M60" s="413">
        <f t="shared" si="11"/>
        <v>7050.526954424724</v>
      </c>
      <c r="N60" s="413">
        <f>N54-N57</f>
        <v>8673.8679648536527</v>
      </c>
      <c r="O60" s="432">
        <f>O54-O57</f>
        <v>10496.776844228139</v>
      </c>
    </row>
    <row r="61" spans="2:16">
      <c r="B61" s="409" t="s">
        <v>453</v>
      </c>
      <c r="J61" s="452" t="s">
        <v>71</v>
      </c>
      <c r="K61" s="418">
        <f>K60/K43</f>
        <v>7.9353633671701632E-2</v>
      </c>
      <c r="L61" s="418">
        <f t="shared" ref="L61:M61" si="12">L60/L43</f>
        <v>9.6057464016161401E-2</v>
      </c>
      <c r="M61" s="418">
        <f t="shared" si="12"/>
        <v>0.11286167215631132</v>
      </c>
      <c r="N61" s="418">
        <f>N60/N43</f>
        <v>0.12976391281655122</v>
      </c>
      <c r="O61" s="439">
        <f t="shared" ref="O61" si="13">O60/O43</f>
        <v>0.14676189551743973</v>
      </c>
    </row>
    <row r="62" spans="2:16">
      <c r="J62" s="425"/>
      <c r="O62" s="437"/>
    </row>
    <row r="63" spans="2:16">
      <c r="B63" s="403" t="s">
        <v>459</v>
      </c>
      <c r="C63" s="403"/>
      <c r="D63" s="403"/>
      <c r="E63" s="403"/>
      <c r="F63" s="403"/>
      <c r="G63" s="403"/>
      <c r="H63" s="403"/>
      <c r="I63" s="403"/>
      <c r="J63" s="427" t="str">
        <f>J42</f>
        <v>Year 2025</v>
      </c>
      <c r="K63" s="408" t="str">
        <f t="shared" ref="K63:N63" si="14">K42</f>
        <v>Year 2026</v>
      </c>
      <c r="L63" s="408" t="str">
        <f t="shared" si="14"/>
        <v>Year 2027</v>
      </c>
      <c r="M63" s="408" t="str">
        <f>M42</f>
        <v>Year 2028</v>
      </c>
      <c r="N63" s="408" t="str">
        <f t="shared" si="14"/>
        <v>Year 2029</v>
      </c>
      <c r="O63" s="408" t="str">
        <f>O42</f>
        <v>Year 2030</v>
      </c>
    </row>
    <row r="64" spans="2:16">
      <c r="B64" t="s">
        <v>422</v>
      </c>
      <c r="J64" s="424">
        <f>J16</f>
        <v>414.23</v>
      </c>
      <c r="K64" s="413">
        <f>K65*K43</f>
        <v>443.22610000000003</v>
      </c>
      <c r="L64" s="413">
        <f t="shared" ref="L64:M64" si="15">L65*L43</f>
        <v>474.25192700000002</v>
      </c>
      <c r="M64" s="413">
        <f t="shared" si="15"/>
        <v>507.44956189000004</v>
      </c>
      <c r="N64" s="413">
        <f>N65*N43</f>
        <v>542.9710312223001</v>
      </c>
      <c r="O64" s="432">
        <f>O65*O43</f>
        <v>580.97900340786123</v>
      </c>
    </row>
    <row r="65" spans="2:15">
      <c r="B65" s="409" t="s">
        <v>456</v>
      </c>
      <c r="J65" s="426">
        <f>J64/J43</f>
        <v>8.1230249114856382E-3</v>
      </c>
      <c r="K65" s="418">
        <v>8.1230249114856382E-3</v>
      </c>
      <c r="L65" s="418">
        <v>8.1230249114856382E-3</v>
      </c>
      <c r="M65" s="418">
        <v>8.1230249114856382E-3</v>
      </c>
      <c r="N65" s="418">
        <v>8.1230249114856382E-3</v>
      </c>
      <c r="O65" s="439">
        <v>8.12302491148564E-3</v>
      </c>
    </row>
    <row r="66" spans="2:15">
      <c r="J66" s="425"/>
      <c r="O66" s="437"/>
    </row>
    <row r="67" spans="2:15">
      <c r="B67" t="s">
        <v>460</v>
      </c>
      <c r="J67" s="424">
        <f>J18</f>
        <v>-12150.260000000009</v>
      </c>
      <c r="K67" s="413">
        <f>K68*K43</f>
        <v>-13000.77820000001</v>
      </c>
      <c r="L67" s="413">
        <f t="shared" ref="L67:M67" si="16">L68*L43</f>
        <v>-13910.832674000012</v>
      </c>
      <c r="M67" s="413">
        <f t="shared" si="16"/>
        <v>-14884.590961180014</v>
      </c>
      <c r="N67" s="413">
        <f>N68*N43</f>
        <v>-15926.512328462613</v>
      </c>
      <c r="O67" s="432">
        <f>O68*O43</f>
        <v>-17041.368191455014</v>
      </c>
    </row>
    <row r="68" spans="2:15">
      <c r="B68" s="409" t="s">
        <v>453</v>
      </c>
      <c r="J68" s="426">
        <f>J67/J43</f>
        <v>-0.23826585390007379</v>
      </c>
      <c r="K68" s="418">
        <v>-0.23826585390007379</v>
      </c>
      <c r="L68" s="418">
        <v>-0.23826585390007379</v>
      </c>
      <c r="M68" s="418">
        <v>-0.23826585390007379</v>
      </c>
      <c r="N68" s="418">
        <v>-0.23826585390007379</v>
      </c>
      <c r="O68" s="439">
        <v>-0.23826585390007399</v>
      </c>
    </row>
    <row r="69" spans="2:15">
      <c r="B69" t="s">
        <v>461</v>
      </c>
      <c r="J69" s="452" t="s">
        <v>71</v>
      </c>
      <c r="K69" s="410">
        <f>K67-J67</f>
        <v>-850.51820000000043</v>
      </c>
      <c r="L69" s="410">
        <f t="shared" ref="L69:O69" si="17">L67-K67</f>
        <v>-910.0544740000023</v>
      </c>
      <c r="M69" s="410">
        <f t="shared" si="17"/>
        <v>-973.7582871800023</v>
      </c>
      <c r="N69" s="410">
        <f t="shared" si="17"/>
        <v>-1041.921367282599</v>
      </c>
      <c r="O69" s="440">
        <f t="shared" si="17"/>
        <v>-1114.8558629924009</v>
      </c>
    </row>
    <row r="70" spans="2:15">
      <c r="J70" s="425"/>
      <c r="O70" s="437"/>
    </row>
    <row r="71" spans="2:15">
      <c r="B71" t="s">
        <v>462</v>
      </c>
      <c r="J71" s="424">
        <f>J17</f>
        <v>-874</v>
      </c>
      <c r="K71" s="413">
        <f>K72*K43</f>
        <v>-935.18</v>
      </c>
      <c r="L71" s="413">
        <f>L72*L43</f>
        <v>-1000.6426</v>
      </c>
      <c r="M71" s="413">
        <f>M72*M43</f>
        <v>-1070.687582</v>
      </c>
      <c r="N71" s="413">
        <f>N72*N43</f>
        <v>-1145.6357127400031</v>
      </c>
      <c r="O71" s="432">
        <f>O72*O43</f>
        <v>-1225.8302126318035</v>
      </c>
    </row>
    <row r="72" spans="2:15">
      <c r="B72" s="409" t="s">
        <v>463</v>
      </c>
      <c r="J72" s="426">
        <f>J71/J43</f>
        <v>-1.7139086431785355E-2</v>
      </c>
      <c r="K72" s="418">
        <v>-1.7139086431785355E-2</v>
      </c>
      <c r="L72" s="418">
        <v>-1.7139086431785355E-2</v>
      </c>
      <c r="M72" s="418">
        <v>-1.7139086431785355E-2</v>
      </c>
      <c r="N72" s="418">
        <v>-1.71390864317854E-2</v>
      </c>
      <c r="O72" s="439">
        <v>-1.71390864317854E-2</v>
      </c>
    </row>
    <row r="73" spans="2:15">
      <c r="J73" s="425"/>
      <c r="O73" s="437"/>
    </row>
    <row r="74" spans="2:15">
      <c r="B74" s="403" t="s">
        <v>464</v>
      </c>
      <c r="C74" s="403"/>
      <c r="D74" s="403"/>
      <c r="E74" s="403"/>
      <c r="F74" s="403"/>
      <c r="G74" s="403"/>
      <c r="H74" s="403"/>
      <c r="I74" s="403"/>
      <c r="J74" s="427" t="str">
        <f>J63</f>
        <v>Year 2025</v>
      </c>
      <c r="K74" s="408" t="str">
        <f t="shared" ref="K74:M74" si="18">K63</f>
        <v>Year 2026</v>
      </c>
      <c r="L74" s="408" t="str">
        <f t="shared" si="18"/>
        <v>Year 2027</v>
      </c>
      <c r="M74" s="408" t="str">
        <f t="shared" si="18"/>
        <v>Year 2028</v>
      </c>
      <c r="N74" s="408" t="str">
        <f>N63</f>
        <v>Year 2029</v>
      </c>
      <c r="O74" s="408" t="str">
        <f>O63</f>
        <v>Year 2030</v>
      </c>
    </row>
    <row r="75" spans="2:15">
      <c r="B75" t="s">
        <v>363</v>
      </c>
      <c r="J75" s="452" t="s">
        <v>71</v>
      </c>
      <c r="K75" s="413">
        <f>K60</f>
        <v>4329.865038750002</v>
      </c>
      <c r="L75" s="413">
        <f t="shared" ref="L75:O75" si="19">L60</f>
        <v>5608.1863479187541</v>
      </c>
      <c r="M75" s="413">
        <f t="shared" si="19"/>
        <v>7050.526954424724</v>
      </c>
      <c r="N75" s="413">
        <f t="shared" si="19"/>
        <v>8673.8679648536527</v>
      </c>
      <c r="O75" s="432">
        <f t="shared" si="19"/>
        <v>10496.776844228139</v>
      </c>
    </row>
    <row r="76" spans="2:15">
      <c r="B76" t="s">
        <v>422</v>
      </c>
      <c r="J76" s="452" t="s">
        <v>71</v>
      </c>
      <c r="K76" s="413">
        <f>K64</f>
        <v>443.22610000000003</v>
      </c>
      <c r="L76" s="413">
        <f t="shared" ref="L76:O76" si="20">L64</f>
        <v>474.25192700000002</v>
      </c>
      <c r="M76" s="413">
        <f t="shared" si="20"/>
        <v>507.44956189000004</v>
      </c>
      <c r="N76" s="413">
        <f t="shared" si="20"/>
        <v>542.9710312223001</v>
      </c>
      <c r="O76" s="432">
        <f t="shared" si="20"/>
        <v>580.97900340786123</v>
      </c>
    </row>
    <row r="77" spans="2:15">
      <c r="B77" t="s">
        <v>462</v>
      </c>
      <c r="J77" s="452" t="s">
        <v>71</v>
      </c>
      <c r="K77" s="413">
        <f>K71</f>
        <v>-935.18</v>
      </c>
      <c r="L77" s="413">
        <f t="shared" ref="L77:O77" si="21">L71</f>
        <v>-1000.6426</v>
      </c>
      <c r="M77" s="413">
        <f t="shared" si="21"/>
        <v>-1070.687582</v>
      </c>
      <c r="N77" s="413">
        <f t="shared" si="21"/>
        <v>-1145.6357127400031</v>
      </c>
      <c r="O77" s="432">
        <f t="shared" si="21"/>
        <v>-1225.8302126318035</v>
      </c>
    </row>
    <row r="78" spans="2:15" ht="15.75" thickBot="1">
      <c r="B78" t="s">
        <v>465</v>
      </c>
      <c r="J78" s="452" t="s">
        <v>71</v>
      </c>
      <c r="K78" s="413">
        <f>K69</f>
        <v>-850.51820000000043</v>
      </c>
      <c r="L78" s="413">
        <f t="shared" ref="L78:O78" si="22">L69</f>
        <v>-910.0544740000023</v>
      </c>
      <c r="M78" s="413">
        <f t="shared" si="22"/>
        <v>-973.7582871800023</v>
      </c>
      <c r="N78" s="413">
        <f t="shared" si="22"/>
        <v>-1041.921367282599</v>
      </c>
      <c r="O78" s="432">
        <f t="shared" si="22"/>
        <v>-1114.8558629924009</v>
      </c>
    </row>
    <row r="79" spans="2:15" ht="15.75" thickBot="1">
      <c r="B79" s="420" t="s">
        <v>464</v>
      </c>
      <c r="C79" s="421"/>
      <c r="D79" s="421"/>
      <c r="E79" s="421"/>
      <c r="F79" s="421"/>
      <c r="G79" s="421"/>
      <c r="H79" s="421"/>
      <c r="I79" s="421"/>
      <c r="J79" s="453" t="s">
        <v>71</v>
      </c>
      <c r="K79" s="422">
        <f>K75+K76-K77-K78</f>
        <v>6558.7893387500026</v>
      </c>
      <c r="L79" s="422">
        <f t="shared" ref="L79:M79" si="23">L75+L76-L77-L78</f>
        <v>7993.1353489187568</v>
      </c>
      <c r="M79" s="422">
        <f t="shared" si="23"/>
        <v>9602.4223854947268</v>
      </c>
      <c r="N79" s="422">
        <f>N75+N76-N77-N78</f>
        <v>11404.396076098554</v>
      </c>
      <c r="O79" s="434">
        <f t="shared" ref="O79" si="24">O75+O76-O77-O78</f>
        <v>13418.441923260205</v>
      </c>
    </row>
    <row r="80" spans="2:15">
      <c r="J80" s="425"/>
    </row>
    <row r="81" spans="2:16">
      <c r="B81" s="403" t="s">
        <v>466</v>
      </c>
      <c r="C81" s="403"/>
      <c r="D81" s="401"/>
      <c r="E81" s="401"/>
      <c r="F81" s="401"/>
      <c r="G81" s="401"/>
      <c r="H81" s="401"/>
      <c r="I81" s="401"/>
      <c r="J81" s="429"/>
      <c r="K81" s="401"/>
      <c r="L81" s="401"/>
      <c r="M81" s="401"/>
      <c r="N81" s="401"/>
      <c r="O81" s="401"/>
    </row>
    <row r="82" spans="2:16">
      <c r="J82" s="425"/>
    </row>
    <row r="83" spans="2:16">
      <c r="B83" s="401"/>
      <c r="C83" s="401"/>
      <c r="D83" s="401"/>
      <c r="E83" s="401"/>
      <c r="F83" s="401"/>
      <c r="G83" s="401"/>
      <c r="H83" s="401"/>
      <c r="I83" s="401"/>
      <c r="J83" s="427" t="str">
        <f>J74</f>
        <v>Year 2025</v>
      </c>
      <c r="K83" s="408" t="str">
        <f t="shared" ref="K83:M83" si="25">K74</f>
        <v>Year 2026</v>
      </c>
      <c r="L83" s="408" t="str">
        <f t="shared" si="25"/>
        <v>Year 2027</v>
      </c>
      <c r="M83" s="408" t="str">
        <f t="shared" si="25"/>
        <v>Year 2028</v>
      </c>
      <c r="N83" s="408" t="str">
        <f>N74</f>
        <v>Year 2029</v>
      </c>
      <c r="O83" s="408" t="str">
        <f>O74</f>
        <v>Year 2030</v>
      </c>
    </row>
    <row r="84" spans="2:16">
      <c r="J84" s="425"/>
    </row>
    <row r="85" spans="2:16">
      <c r="B85" s="246" t="s">
        <v>430</v>
      </c>
      <c r="J85" s="425"/>
    </row>
    <row r="86" spans="2:16">
      <c r="B86" t="s">
        <v>467</v>
      </c>
      <c r="J86" s="452" t="s">
        <v>71</v>
      </c>
      <c r="K86" s="413">
        <f>J90</f>
        <v>38445.680000000022</v>
      </c>
      <c r="L86" s="413">
        <f t="shared" ref="L86:M86" si="26">K90</f>
        <v>31886.890661250021</v>
      </c>
      <c r="M86" s="413">
        <f t="shared" si="26"/>
        <v>23893.755312331265</v>
      </c>
      <c r="N86" s="413">
        <f>M90</f>
        <v>14291.332926836538</v>
      </c>
      <c r="O86" s="432">
        <f>N90</f>
        <v>2886.9368507379841</v>
      </c>
      <c r="P86" s="413"/>
    </row>
    <row r="87" spans="2:16">
      <c r="B87" t="s">
        <v>62</v>
      </c>
      <c r="J87" s="452" t="s">
        <v>71</v>
      </c>
      <c r="K87" s="413">
        <f>K86*$O$14</f>
        <v>2306.7408000000014</v>
      </c>
      <c r="L87" s="413">
        <f t="shared" ref="L87:M87" si="27">L86*$O$14</f>
        <v>1913.2134396750012</v>
      </c>
      <c r="M87" s="413">
        <f t="shared" si="27"/>
        <v>1433.6253187398759</v>
      </c>
      <c r="N87" s="413">
        <f>N86*$O$14</f>
        <v>857.47997561019224</v>
      </c>
      <c r="O87" s="432">
        <f>O86*$O$14</f>
        <v>173.21621104427905</v>
      </c>
      <c r="P87" s="413"/>
    </row>
    <row r="88" spans="2:16">
      <c r="B88" t="s">
        <v>468</v>
      </c>
      <c r="J88" s="452" t="s">
        <v>71</v>
      </c>
      <c r="K88" s="413">
        <f>MIN(K79,K86)</f>
        <v>6558.7893387500026</v>
      </c>
      <c r="L88" s="413">
        <f t="shared" ref="L88:O88" si="28">MIN(L79,L86)</f>
        <v>7993.1353489187568</v>
      </c>
      <c r="M88" s="413">
        <f t="shared" si="28"/>
        <v>9602.4223854947268</v>
      </c>
      <c r="N88" s="413">
        <f>MIN(N79,N86)</f>
        <v>11404.396076098554</v>
      </c>
      <c r="O88" s="432">
        <f t="shared" si="28"/>
        <v>2886.9368507379841</v>
      </c>
      <c r="P88" s="413"/>
    </row>
    <row r="89" spans="2:16" ht="15.75" thickBot="1">
      <c r="J89" s="425"/>
      <c r="O89" s="437"/>
    </row>
    <row r="90" spans="2:16" ht="15.75" thickBot="1">
      <c r="B90" s="420" t="s">
        <v>469</v>
      </c>
      <c r="C90" s="421"/>
      <c r="D90" s="421"/>
      <c r="E90" s="421"/>
      <c r="F90" s="421"/>
      <c r="G90" s="421"/>
      <c r="H90" s="421"/>
      <c r="I90" s="421"/>
      <c r="J90" s="428">
        <f>E31</f>
        <v>38445.680000000022</v>
      </c>
      <c r="K90" s="422">
        <f>K86-K88</f>
        <v>31886.890661250021</v>
      </c>
      <c r="L90" s="422">
        <f t="shared" ref="L90:N90" si="29">L86-L88</f>
        <v>23893.755312331265</v>
      </c>
      <c r="M90" s="422">
        <f t="shared" si="29"/>
        <v>14291.332926836538</v>
      </c>
      <c r="N90" s="422">
        <f t="shared" si="29"/>
        <v>2886.9368507379841</v>
      </c>
      <c r="O90" s="434">
        <f>O86-O88</f>
        <v>0</v>
      </c>
    </row>
    <row r="91" spans="2:16">
      <c r="J91" s="430"/>
      <c r="O91" s="437"/>
    </row>
    <row r="92" spans="2:16">
      <c r="B92" s="246" t="s">
        <v>470</v>
      </c>
      <c r="J92" s="425"/>
      <c r="O92" s="437"/>
    </row>
    <row r="93" spans="2:16">
      <c r="B93" t="s">
        <v>467</v>
      </c>
      <c r="J93" s="451" t="s">
        <v>71</v>
      </c>
      <c r="K93" s="413">
        <f>J97</f>
        <v>19222.840000000011</v>
      </c>
      <c r="L93" s="413">
        <f t="shared" ref="L93:N93" si="30">K97</f>
        <v>19222.840000000011</v>
      </c>
      <c r="M93" s="413">
        <f t="shared" si="30"/>
        <v>19222.840000000011</v>
      </c>
      <c r="N93" s="413">
        <f t="shared" si="30"/>
        <v>19222.840000000011</v>
      </c>
      <c r="O93" s="432">
        <f>N97</f>
        <v>19222.840000000011</v>
      </c>
    </row>
    <row r="94" spans="2:16">
      <c r="B94" t="s">
        <v>62</v>
      </c>
      <c r="J94" s="451" t="s">
        <v>71</v>
      </c>
      <c r="K94" s="413">
        <f>K93*$O$15</f>
        <v>2306.7408000000014</v>
      </c>
      <c r="L94" s="413">
        <f>L93*$O$15</f>
        <v>2306.7408000000014</v>
      </c>
      <c r="M94" s="413">
        <f>M93*$O$15</f>
        <v>2306.7408000000014</v>
      </c>
      <c r="N94" s="413">
        <f>N93*$O$15</f>
        <v>2306.7408000000014</v>
      </c>
      <c r="O94" s="432">
        <f>O93*$O$15</f>
        <v>2306.7408000000014</v>
      </c>
    </row>
    <row r="95" spans="2:16">
      <c r="B95" t="s">
        <v>468</v>
      </c>
      <c r="J95" s="451" t="s">
        <v>71</v>
      </c>
      <c r="K95" s="413">
        <f>MIN(K79,K79-K88)</f>
        <v>0</v>
      </c>
      <c r="L95" s="413">
        <f t="shared" ref="L95:N95" si="31">MIN(L79,L79-L88)</f>
        <v>0</v>
      </c>
      <c r="M95" s="413">
        <f t="shared" si="31"/>
        <v>0</v>
      </c>
      <c r="N95" s="413">
        <f t="shared" si="31"/>
        <v>0</v>
      </c>
      <c r="O95" s="432">
        <f>MIN(O79,O79-O88)</f>
        <v>10531.505072522221</v>
      </c>
    </row>
    <row r="96" spans="2:16" ht="15.75" thickBot="1">
      <c r="J96" s="424"/>
      <c r="K96" s="413"/>
      <c r="L96" s="413"/>
      <c r="M96" s="413"/>
      <c r="N96" s="413"/>
      <c r="O96" s="432"/>
    </row>
    <row r="97" spans="2:16" ht="15.75" thickBot="1">
      <c r="B97" s="420" t="s">
        <v>469</v>
      </c>
      <c r="C97" s="421"/>
      <c r="D97" s="421"/>
      <c r="E97" s="421"/>
      <c r="F97" s="421"/>
      <c r="G97" s="421"/>
      <c r="H97" s="421"/>
      <c r="I97" s="421"/>
      <c r="J97" s="428">
        <f>E32</f>
        <v>19222.840000000011</v>
      </c>
      <c r="K97" s="422">
        <f>K93-K95</f>
        <v>19222.840000000011</v>
      </c>
      <c r="L97" s="422">
        <f t="shared" ref="L97:N97" si="32">L93-L95</f>
        <v>19222.840000000011</v>
      </c>
      <c r="M97" s="422">
        <f t="shared" si="32"/>
        <v>19222.840000000011</v>
      </c>
      <c r="N97" s="422">
        <f t="shared" si="32"/>
        <v>19222.840000000011</v>
      </c>
      <c r="O97" s="434">
        <f>O93-O95</f>
        <v>8691.3349274777902</v>
      </c>
    </row>
    <row r="98" spans="2:16">
      <c r="J98" s="424"/>
      <c r="K98" s="413"/>
      <c r="L98" s="413"/>
      <c r="M98" s="413"/>
      <c r="N98" s="413"/>
      <c r="O98" s="432"/>
    </row>
    <row r="99" spans="2:16">
      <c r="B99" s="246" t="s">
        <v>305</v>
      </c>
      <c r="J99" s="424"/>
      <c r="K99" s="413"/>
      <c r="L99" s="413"/>
      <c r="M99" s="413"/>
      <c r="N99" s="413"/>
      <c r="O99" s="432"/>
    </row>
    <row r="100" spans="2:16">
      <c r="B100" t="s">
        <v>467</v>
      </c>
      <c r="J100" s="451" t="s">
        <v>71</v>
      </c>
      <c r="K100" s="413">
        <f>K86+K93</f>
        <v>57668.520000000033</v>
      </c>
      <c r="L100" s="413">
        <f t="shared" ref="L100:O100" si="33">L86+L93</f>
        <v>51109.730661250032</v>
      </c>
      <c r="M100" s="413">
        <f t="shared" si="33"/>
        <v>43116.595312331279</v>
      </c>
      <c r="N100" s="413">
        <f>N86+N93</f>
        <v>33514.172926836545</v>
      </c>
      <c r="O100" s="432">
        <f t="shared" si="33"/>
        <v>22109.776850737995</v>
      </c>
    </row>
    <row r="101" spans="2:16">
      <c r="B101" t="s">
        <v>62</v>
      </c>
      <c r="J101" s="451" t="s">
        <v>71</v>
      </c>
      <c r="K101" s="413">
        <f>K94+K87</f>
        <v>4613.4816000000028</v>
      </c>
      <c r="L101" s="413">
        <f t="shared" ref="L101:O101" si="34">L94+L87</f>
        <v>4219.9542396750021</v>
      </c>
      <c r="M101" s="413">
        <f t="shared" si="34"/>
        <v>3740.3661187398775</v>
      </c>
      <c r="N101" s="413">
        <f>N94+N87</f>
        <v>3164.2207756101934</v>
      </c>
      <c r="O101" s="432">
        <f t="shared" si="34"/>
        <v>2479.9570110442805</v>
      </c>
      <c r="P101" s="410"/>
    </row>
    <row r="102" spans="2:16">
      <c r="B102" t="s">
        <v>468</v>
      </c>
      <c r="J102" s="451" t="s">
        <v>71</v>
      </c>
      <c r="K102" s="413">
        <f>K94+K88</f>
        <v>8865.530138750004</v>
      </c>
      <c r="L102" s="413">
        <f t="shared" ref="L102:O102" si="35">L94+L88</f>
        <v>10299.876148918758</v>
      </c>
      <c r="M102" s="413">
        <f t="shared" si="35"/>
        <v>11909.163185494728</v>
      </c>
      <c r="N102" s="413">
        <f>N94+N88</f>
        <v>13711.136876098555</v>
      </c>
      <c r="O102" s="432">
        <f t="shared" si="35"/>
        <v>5193.6776507379855</v>
      </c>
    </row>
    <row r="103" spans="2:16" ht="15.75" thickBot="1">
      <c r="J103" s="424"/>
      <c r="K103" s="413"/>
      <c r="L103" s="413"/>
      <c r="M103" s="413"/>
      <c r="N103" s="413"/>
      <c r="O103" s="432"/>
    </row>
    <row r="104" spans="2:16" ht="15.75" thickBot="1">
      <c r="B104" s="420" t="s">
        <v>469</v>
      </c>
      <c r="C104" s="421"/>
      <c r="D104" s="421"/>
      <c r="E104" s="421"/>
      <c r="F104" s="421"/>
      <c r="G104" s="421"/>
      <c r="H104" s="421"/>
      <c r="I104" s="421"/>
      <c r="J104" s="428">
        <f>J90+J97</f>
        <v>57668.520000000033</v>
      </c>
      <c r="K104" s="422">
        <f>K90+K97</f>
        <v>51109.730661250032</v>
      </c>
      <c r="L104" s="422">
        <f t="shared" ref="L104:O104" si="36">L90+L97</f>
        <v>43116.595312331279</v>
      </c>
      <c r="M104" s="422">
        <f t="shared" si="36"/>
        <v>33514.172926836545</v>
      </c>
      <c r="N104" s="422">
        <f t="shared" si="36"/>
        <v>22109.776850737995</v>
      </c>
      <c r="O104" s="434">
        <f t="shared" si="36"/>
        <v>8691.3349274777902</v>
      </c>
    </row>
    <row r="105" spans="2:16">
      <c r="J105" s="424"/>
      <c r="K105" s="413"/>
      <c r="L105" s="413"/>
      <c r="M105" s="413"/>
      <c r="N105" s="413"/>
      <c r="O105" s="413"/>
    </row>
    <row r="106" spans="2:16">
      <c r="B106" s="403" t="s">
        <v>433</v>
      </c>
      <c r="C106" s="411"/>
      <c r="D106" s="411"/>
      <c r="E106" s="411"/>
      <c r="F106" s="411"/>
      <c r="G106" s="411"/>
      <c r="H106" s="411"/>
      <c r="I106" s="411"/>
      <c r="J106" s="431"/>
      <c r="K106" s="411"/>
      <c r="L106" s="411"/>
      <c r="M106" s="411"/>
      <c r="N106" s="411"/>
      <c r="O106" s="411"/>
    </row>
    <row r="108" spans="2:16">
      <c r="B108" t="s">
        <v>471</v>
      </c>
      <c r="O108" s="432">
        <f>O46</f>
        <v>17056.638473422994</v>
      </c>
    </row>
    <row r="109" spans="2:16">
      <c r="B109" t="s">
        <v>472</v>
      </c>
      <c r="O109" s="433">
        <f>E24</f>
        <v>10</v>
      </c>
    </row>
    <row r="110" spans="2:16">
      <c r="B110" t="s">
        <v>237</v>
      </c>
      <c r="O110" s="432">
        <f>O108*O109</f>
        <v>170566.38473422994</v>
      </c>
    </row>
    <row r="111" spans="2:16" ht="15.75" thickBot="1">
      <c r="B111" t="s">
        <v>338</v>
      </c>
      <c r="O111" s="432">
        <f>O104</f>
        <v>8691.3349274777902</v>
      </c>
    </row>
    <row r="112" spans="2:16" ht="15.75" thickBot="1">
      <c r="B112" s="420" t="s">
        <v>473</v>
      </c>
      <c r="C112" s="421"/>
      <c r="D112" s="421"/>
      <c r="E112" s="421"/>
      <c r="F112" s="421"/>
      <c r="G112" s="421"/>
      <c r="H112" s="421"/>
      <c r="I112" s="421"/>
      <c r="J112" s="422"/>
      <c r="K112" s="422"/>
      <c r="L112" s="422"/>
      <c r="M112" s="422"/>
      <c r="N112" s="422"/>
      <c r="O112" s="434">
        <f>O110-O111</f>
        <v>161875.04980675215</v>
      </c>
    </row>
    <row r="113" spans="2:15">
      <c r="O113" s="413"/>
    </row>
    <row r="114" spans="2:15">
      <c r="B114" t="s">
        <v>474</v>
      </c>
      <c r="O114" s="432">
        <f>E35</f>
        <v>38495.680000000022</v>
      </c>
    </row>
    <row r="115" spans="2:15">
      <c r="O115" s="432"/>
    </row>
    <row r="116" spans="2:15" ht="15.75" thickBot="1">
      <c r="B116" t="s">
        <v>475</v>
      </c>
      <c r="O116" s="435">
        <f>O112/O114</f>
        <v>4.2050185840788386</v>
      </c>
    </row>
    <row r="117" spans="2:15" ht="15.75" thickBot="1">
      <c r="B117" s="420" t="s">
        <v>433</v>
      </c>
      <c r="C117" s="421"/>
      <c r="D117" s="421"/>
      <c r="E117" s="421"/>
      <c r="F117" s="421"/>
      <c r="G117" s="421"/>
      <c r="H117" s="421"/>
      <c r="I117" s="421"/>
      <c r="J117" s="422"/>
      <c r="K117" s="422"/>
      <c r="L117" s="422"/>
      <c r="M117" s="422"/>
      <c r="N117" s="422"/>
      <c r="O117" s="446">
        <f>O116^(1/5)-1</f>
        <v>0.33276501466770703</v>
      </c>
    </row>
    <row r="119" spans="2:15" ht="12.75" customHeight="1">
      <c r="B119" s="3"/>
      <c r="C119" s="3"/>
      <c r="D119" s="3"/>
      <c r="E119" s="3"/>
      <c r="F119" s="3"/>
      <c r="G119" s="3"/>
      <c r="H119" s="3"/>
      <c r="I119" s="3"/>
      <c r="J119" s="3"/>
      <c r="K119" s="3"/>
      <c r="L119" s="3"/>
      <c r="M119" s="3"/>
      <c r="N119" s="3"/>
      <c r="O119" s="3"/>
    </row>
    <row r="120" spans="2:15" ht="12" customHeight="1" thickBot="1">
      <c r="B120" s="193"/>
      <c r="C120" s="193"/>
      <c r="D120" s="193"/>
      <c r="E120" s="193"/>
      <c r="F120" s="193"/>
      <c r="G120" s="193"/>
      <c r="H120" s="193"/>
      <c r="I120" s="193"/>
      <c r="J120" s="193"/>
      <c r="K120" s="193"/>
      <c r="L120" s="193"/>
      <c r="M120" s="193"/>
      <c r="N120" s="193"/>
      <c r="O120" s="193"/>
    </row>
    <row r="121" spans="2:15" ht="15.75" thickTop="1"/>
  </sheetData>
  <pageMargins left="0.5" right="0" top="0.75" bottom="0.75" header="0.3" footer="0.3"/>
  <pageSetup paperSize="9" scale="65" orientation="portrait" r:id="rId1"/>
  <colBreaks count="1" manualBreakCount="1">
    <brk id="15" max="1048575" man="1"/>
  </colBreaks>
  <drawing r:id="rId2"/>
</worksheet>
</file>

<file path=xl/worksheets/sheet16.xml><?xml version="1.0" encoding="utf-8"?>
<worksheet xmlns="http://schemas.openxmlformats.org/spreadsheetml/2006/main" xmlns:r="http://schemas.openxmlformats.org/officeDocument/2006/relationships">
  <dimension ref="B1:N68"/>
  <sheetViews>
    <sheetView showGridLines="0" tabSelected="1" workbookViewId="0">
      <selection activeCell="R11" sqref="R11"/>
    </sheetView>
  </sheetViews>
  <sheetFormatPr defaultRowHeight="15"/>
  <cols>
    <col min="1" max="1" width="3.28515625" customWidth="1"/>
    <col min="6" max="6" width="11.7109375" bestFit="1" customWidth="1"/>
    <col min="7" max="7" width="10.5703125" bestFit="1" customWidth="1"/>
    <col min="12" max="12" width="12.140625" customWidth="1"/>
    <col min="13" max="13" width="14.85546875" customWidth="1"/>
    <col min="14" max="14" width="12.42578125" customWidth="1"/>
  </cols>
  <sheetData>
    <row r="1" spans="2:14" ht="16.5" customHeight="1"/>
    <row r="2" spans="2:14" ht="11.25" customHeight="1">
      <c r="B2" s="3"/>
      <c r="C2" s="3"/>
      <c r="D2" s="3"/>
      <c r="E2" s="3"/>
      <c r="F2" s="3"/>
      <c r="G2" s="3"/>
      <c r="H2" s="3"/>
      <c r="I2" s="3"/>
      <c r="J2" s="3"/>
      <c r="K2" s="3"/>
      <c r="L2" s="3"/>
      <c r="M2" s="3"/>
      <c r="N2" s="3"/>
    </row>
    <row r="3" spans="2:14" ht="8.25" customHeight="1" thickBot="1">
      <c r="B3" s="59"/>
      <c r="C3" s="59"/>
      <c r="D3" s="59"/>
      <c r="E3" s="59"/>
      <c r="F3" s="59"/>
      <c r="G3" s="59"/>
      <c r="H3" s="59"/>
      <c r="I3" s="59"/>
      <c r="J3" s="59"/>
      <c r="K3" s="59"/>
      <c r="L3" s="59"/>
    </row>
    <row r="4" spans="2:14" ht="9.75" customHeight="1" thickTop="1">
      <c r="B4" s="63"/>
      <c r="C4" s="1"/>
      <c r="D4" s="1"/>
      <c r="E4" s="1"/>
      <c r="F4" s="1"/>
      <c r="G4" s="1"/>
      <c r="H4" s="1"/>
      <c r="I4" s="1"/>
      <c r="J4" s="1"/>
      <c r="K4" s="1"/>
      <c r="L4" s="1"/>
      <c r="M4" s="196"/>
      <c r="N4" s="196"/>
    </row>
    <row r="5" spans="2:14" hidden="1">
      <c r="B5" s="62"/>
      <c r="C5" s="1"/>
      <c r="D5" s="1"/>
      <c r="E5" s="1"/>
      <c r="F5" s="1"/>
      <c r="G5" s="1"/>
      <c r="H5" s="1"/>
      <c r="I5" s="1"/>
      <c r="J5" s="1"/>
      <c r="K5" s="1"/>
      <c r="L5" s="1"/>
      <c r="M5" s="191"/>
      <c r="N5" s="191"/>
    </row>
    <row r="6" spans="2:14" ht="12.75" hidden="1" customHeight="1" thickBot="1">
      <c r="B6" s="61"/>
      <c r="C6" s="59"/>
      <c r="D6" s="59"/>
      <c r="E6" s="59"/>
      <c r="F6" s="59"/>
      <c r="G6" s="59"/>
      <c r="H6" s="59"/>
      <c r="I6" s="60"/>
      <c r="J6" s="60"/>
      <c r="K6" s="60"/>
      <c r="L6" s="59"/>
      <c r="M6" s="193"/>
      <c r="N6" s="193"/>
    </row>
    <row r="7" spans="2:14" ht="0.75" customHeight="1">
      <c r="B7" s="25"/>
      <c r="C7" s="58"/>
      <c r="D7" s="58"/>
      <c r="E7" s="58"/>
      <c r="F7" s="58"/>
      <c r="G7" s="58"/>
      <c r="H7" s="1"/>
      <c r="I7" s="57"/>
      <c r="J7" s="57"/>
      <c r="K7" s="57"/>
      <c r="L7" s="1"/>
    </row>
    <row r="8" spans="2:14" ht="23.25" customHeight="1">
      <c r="B8" s="179"/>
      <c r="C8" s="179"/>
      <c r="D8" s="179"/>
      <c r="E8" s="179"/>
      <c r="F8" s="179"/>
      <c r="G8" s="463" t="s">
        <v>478</v>
      </c>
      <c r="H8" s="463"/>
      <c r="I8" s="463"/>
      <c r="J8" s="179"/>
      <c r="K8" s="179"/>
      <c r="L8" s="179"/>
      <c r="M8" s="179"/>
      <c r="N8" s="179"/>
    </row>
    <row r="9" spans="2:14" ht="10.5" customHeight="1"/>
    <row r="10" spans="2:14">
      <c r="B10" s="179" t="s">
        <v>414</v>
      </c>
      <c r="C10" s="179"/>
      <c r="D10" s="179"/>
      <c r="E10" s="179"/>
      <c r="F10" s="179"/>
      <c r="G10" s="179"/>
      <c r="H10" s="179"/>
      <c r="I10" s="179"/>
      <c r="J10" s="179"/>
      <c r="K10" s="179"/>
      <c r="L10" s="179"/>
      <c r="M10" s="179"/>
      <c r="N10" s="179"/>
    </row>
    <row r="11" spans="2:14" ht="11.25" customHeight="1"/>
    <row r="12" spans="2:14">
      <c r="B12" s="179" t="s">
        <v>479</v>
      </c>
      <c r="C12" s="179"/>
      <c r="D12" s="179"/>
      <c r="E12" s="179"/>
      <c r="F12" s="179"/>
      <c r="G12" s="179"/>
      <c r="I12" s="179" t="s">
        <v>307</v>
      </c>
      <c r="J12" s="179"/>
      <c r="K12" s="179"/>
      <c r="L12" s="179"/>
      <c r="M12" s="179"/>
      <c r="N12" s="179"/>
    </row>
    <row r="13" spans="2:14">
      <c r="B13" t="s">
        <v>365</v>
      </c>
      <c r="G13" s="163">
        <v>16300</v>
      </c>
      <c r="I13" t="s">
        <v>365</v>
      </c>
      <c r="N13" s="468">
        <v>9110</v>
      </c>
    </row>
    <row r="14" spans="2:14">
      <c r="B14" t="s">
        <v>480</v>
      </c>
      <c r="G14" s="163">
        <v>314</v>
      </c>
      <c r="I14" t="s">
        <v>483</v>
      </c>
      <c r="N14" s="282">
        <v>0.25</v>
      </c>
    </row>
    <row r="15" spans="2:14">
      <c r="B15" t="s">
        <v>481</v>
      </c>
      <c r="G15" s="163">
        <v>443</v>
      </c>
      <c r="I15" s="350" t="s">
        <v>484</v>
      </c>
      <c r="J15" s="350"/>
      <c r="K15" s="350"/>
      <c r="L15" s="350"/>
      <c r="M15" s="350"/>
      <c r="N15" s="476">
        <f>N13*(1+N14)</f>
        <v>11387.5</v>
      </c>
    </row>
    <row r="16" spans="2:14">
      <c r="B16" t="s">
        <v>482</v>
      </c>
      <c r="G16" s="163">
        <f>N18/G13*G22</f>
        <v>64.906654141104298</v>
      </c>
      <c r="I16" t="s">
        <v>485</v>
      </c>
      <c r="N16" s="468">
        <v>279</v>
      </c>
    </row>
    <row r="18" spans="2:14">
      <c r="B18" s="179" t="s">
        <v>529</v>
      </c>
      <c r="C18" s="179"/>
      <c r="D18" s="179"/>
      <c r="E18" s="179"/>
      <c r="F18" s="179"/>
      <c r="G18" s="462"/>
      <c r="I18" s="246" t="s">
        <v>486</v>
      </c>
      <c r="N18" s="494">
        <f>N15*N16</f>
        <v>3177112.5</v>
      </c>
    </row>
    <row r="19" spans="2:14">
      <c r="B19" s="437" t="s">
        <v>528</v>
      </c>
      <c r="C19" s="437"/>
      <c r="D19" s="437"/>
      <c r="E19" s="437"/>
      <c r="F19" s="437"/>
      <c r="G19" s="493">
        <f>N64</f>
        <v>0.48669604357208823</v>
      </c>
      <c r="I19" t="s">
        <v>487</v>
      </c>
      <c r="N19" s="163">
        <f>'Historical FS'!K45</f>
        <v>211.58189665932119</v>
      </c>
    </row>
    <row r="21" spans="2:14">
      <c r="B21" s="179" t="s">
        <v>494</v>
      </c>
      <c r="C21" s="179"/>
      <c r="D21" s="179"/>
      <c r="E21" s="179"/>
      <c r="F21" s="179"/>
      <c r="G21" s="179"/>
      <c r="I21" s="179" t="s">
        <v>369</v>
      </c>
      <c r="J21" s="260"/>
      <c r="K21" s="260"/>
      <c r="L21" s="260"/>
      <c r="M21" s="260"/>
      <c r="N21" s="260"/>
    </row>
    <row r="22" spans="2:14">
      <c r="B22" t="s">
        <v>497</v>
      </c>
      <c r="G22" s="458">
        <v>0.33300000000000002</v>
      </c>
      <c r="I22" t="s">
        <v>302</v>
      </c>
      <c r="N22" s="282">
        <v>0.25</v>
      </c>
    </row>
    <row r="23" spans="2:14">
      <c r="B23" t="s">
        <v>495</v>
      </c>
      <c r="G23" s="458">
        <v>0.33300000000000002</v>
      </c>
      <c r="I23" s="178" t="s">
        <v>488</v>
      </c>
      <c r="J23" s="178"/>
      <c r="K23" s="178"/>
      <c r="L23" s="178"/>
      <c r="M23" s="178"/>
      <c r="N23" s="477">
        <v>7500</v>
      </c>
    </row>
    <row r="24" spans="2:14">
      <c r="B24" t="s">
        <v>496</v>
      </c>
      <c r="G24" s="458">
        <f>1-SUM(G22:G23)</f>
        <v>0.33399999999999996</v>
      </c>
      <c r="I24" t="s">
        <v>489</v>
      </c>
      <c r="N24" s="271">
        <v>1.4999999999999999E-2</v>
      </c>
    </row>
    <row r="26" spans="2:14">
      <c r="B26" s="179" t="s">
        <v>295</v>
      </c>
      <c r="C26" s="179"/>
      <c r="D26" s="179"/>
      <c r="E26" s="179"/>
      <c r="F26" s="179"/>
      <c r="G26" s="179"/>
      <c r="I26" s="179" t="s">
        <v>490</v>
      </c>
      <c r="J26" s="179"/>
      <c r="K26" s="179"/>
      <c r="L26" s="179"/>
      <c r="M26" s="179"/>
      <c r="N26" s="179"/>
    </row>
    <row r="27" spans="2:14">
      <c r="B27" s="481" t="s">
        <v>498</v>
      </c>
      <c r="C27" s="481"/>
      <c r="D27" s="481"/>
      <c r="E27" s="481"/>
      <c r="F27" s="481"/>
      <c r="G27" s="490" t="s">
        <v>508</v>
      </c>
      <c r="I27" s="486" t="s">
        <v>491</v>
      </c>
      <c r="J27" s="486"/>
      <c r="K27" s="486"/>
      <c r="L27" s="486"/>
      <c r="M27" s="486"/>
      <c r="N27" s="487">
        <v>1224</v>
      </c>
    </row>
    <row r="28" spans="2:14">
      <c r="B28" s="481" t="s">
        <v>499</v>
      </c>
      <c r="C28" s="481"/>
      <c r="D28" s="481"/>
      <c r="E28" s="481"/>
      <c r="F28" s="481"/>
      <c r="G28" s="491">
        <v>7.0000000000000007E-2</v>
      </c>
      <c r="I28" s="486" t="s">
        <v>501</v>
      </c>
      <c r="J28" s="486"/>
      <c r="K28" s="486"/>
      <c r="L28" s="486"/>
      <c r="M28" s="486"/>
      <c r="N28" s="488">
        <f>N13</f>
        <v>9110</v>
      </c>
    </row>
    <row r="29" spans="2:14">
      <c r="B29" s="481" t="s">
        <v>500</v>
      </c>
      <c r="C29" s="481"/>
      <c r="D29" s="481"/>
      <c r="E29" s="481"/>
      <c r="F29" s="481"/>
      <c r="G29" s="492">
        <f>M39/5</f>
        <v>20000</v>
      </c>
      <c r="I29" s="486" t="s">
        <v>490</v>
      </c>
      <c r="J29" s="486"/>
      <c r="K29" s="486"/>
      <c r="L29" s="486"/>
      <c r="M29" s="486"/>
      <c r="N29" s="488">
        <f>N28-N27</f>
        <v>7886</v>
      </c>
    </row>
    <row r="30" spans="2:14">
      <c r="I30" s="486" t="s">
        <v>492</v>
      </c>
      <c r="J30" s="486"/>
      <c r="K30" s="486"/>
      <c r="L30" s="486"/>
      <c r="M30" s="486"/>
      <c r="N30" s="489" t="s">
        <v>509</v>
      </c>
    </row>
    <row r="31" spans="2:14">
      <c r="I31" s="486" t="s">
        <v>493</v>
      </c>
      <c r="J31" s="486"/>
      <c r="K31" s="486"/>
      <c r="L31" s="486"/>
      <c r="M31" s="486"/>
      <c r="N31" s="488">
        <f>N29/15</f>
        <v>525.73333333333335</v>
      </c>
    </row>
    <row r="34" spans="2:14">
      <c r="B34" s="179" t="s">
        <v>502</v>
      </c>
      <c r="C34" s="179"/>
      <c r="D34" s="179"/>
      <c r="E34" s="179"/>
      <c r="F34" s="179"/>
      <c r="G34" s="179"/>
      <c r="H34" s="179"/>
      <c r="I34" s="179"/>
      <c r="J34" s="179"/>
      <c r="K34" s="179"/>
      <c r="L34" s="179"/>
      <c r="M34" s="179"/>
      <c r="N34" s="179"/>
    </row>
    <row r="36" spans="2:14">
      <c r="B36" s="179" t="s">
        <v>435</v>
      </c>
      <c r="C36" s="179"/>
      <c r="D36" s="179"/>
      <c r="E36" s="179"/>
      <c r="F36" s="179"/>
      <c r="G36" s="179"/>
      <c r="I36" s="179" t="s">
        <v>438</v>
      </c>
      <c r="J36" s="179"/>
      <c r="K36" s="179"/>
      <c r="L36" s="179"/>
      <c r="M36" s="179"/>
      <c r="N36" s="179"/>
    </row>
    <row r="37" spans="2:14">
      <c r="F37" s="391" t="s">
        <v>428</v>
      </c>
      <c r="G37" s="391" t="s">
        <v>503</v>
      </c>
      <c r="H37" s="391"/>
      <c r="I37" s="391"/>
      <c r="J37" s="391"/>
      <c r="K37" s="391"/>
      <c r="L37" s="391"/>
      <c r="M37" s="391" t="str">
        <f>F37</f>
        <v>Amount</v>
      </c>
      <c r="N37" s="391" t="str">
        <f>G37</f>
        <v>Capital %</v>
      </c>
    </row>
    <row r="38" spans="2:14">
      <c r="B38" t="s">
        <v>504</v>
      </c>
      <c r="F38" s="469">
        <f>G16*G13</f>
        <v>1057978.4625000001</v>
      </c>
      <c r="G38" s="473">
        <f>F38/$F$41</f>
        <v>0.31798698195507369</v>
      </c>
      <c r="I38" t="s">
        <v>486</v>
      </c>
      <c r="M38" s="469">
        <f>N18</f>
        <v>3177112.5</v>
      </c>
      <c r="N38" s="473">
        <f>M38/$M$41</f>
        <v>0.95491586172694787</v>
      </c>
    </row>
    <row r="39" spans="2:14">
      <c r="B39" t="s">
        <v>338</v>
      </c>
      <c r="F39" s="469">
        <f>G23*N18</f>
        <v>1057978.4625000001</v>
      </c>
      <c r="G39" s="473">
        <f t="shared" ref="G39:G41" si="0">F39/$F$41</f>
        <v>0.31798698195507369</v>
      </c>
      <c r="I39" t="s">
        <v>506</v>
      </c>
      <c r="M39" s="496">
        <v>100000</v>
      </c>
      <c r="N39" s="473">
        <f t="shared" ref="N39:N41" si="1">M39/$M$41</f>
        <v>3.0056092182034724E-2</v>
      </c>
    </row>
    <row r="40" spans="2:14" ht="15.75" thickBot="1">
      <c r="B40" t="s">
        <v>505</v>
      </c>
      <c r="F40" s="469">
        <f>F41-(F38+F39)</f>
        <v>1211155.5749999997</v>
      </c>
      <c r="G40" s="473">
        <f t="shared" si="0"/>
        <v>0.36402603608985262</v>
      </c>
      <c r="I40" t="s">
        <v>507</v>
      </c>
      <c r="M40" s="469">
        <v>50000</v>
      </c>
      <c r="N40" s="473">
        <f t="shared" si="1"/>
        <v>1.5028046091017362E-2</v>
      </c>
    </row>
    <row r="41" spans="2:14" ht="15.75" thickBot="1">
      <c r="B41" s="454" t="s">
        <v>266</v>
      </c>
      <c r="C41" s="455"/>
      <c r="D41" s="455"/>
      <c r="E41" s="455"/>
      <c r="F41" s="474">
        <f>M41</f>
        <v>3327112.5</v>
      </c>
      <c r="G41" s="475">
        <f t="shared" si="0"/>
        <v>1</v>
      </c>
      <c r="H41" s="246"/>
      <c r="I41" s="456" t="s">
        <v>266</v>
      </c>
      <c r="J41" s="457"/>
      <c r="K41" s="457"/>
      <c r="L41" s="457"/>
      <c r="M41" s="495">
        <f>M38+M39+M40</f>
        <v>3327112.5</v>
      </c>
      <c r="N41" s="475">
        <f t="shared" si="1"/>
        <v>1</v>
      </c>
    </row>
    <row r="43" spans="2:14">
      <c r="B43" s="179" t="s">
        <v>527</v>
      </c>
      <c r="C43" s="179"/>
      <c r="D43" s="179"/>
      <c r="E43" s="179"/>
      <c r="F43" s="179"/>
      <c r="G43" s="179"/>
      <c r="H43" s="179"/>
      <c r="I43" s="179"/>
      <c r="J43" s="179"/>
      <c r="K43" s="179"/>
      <c r="L43" s="412" t="s">
        <v>479</v>
      </c>
      <c r="M43" s="412" t="s">
        <v>307</v>
      </c>
      <c r="N43" s="412" t="s">
        <v>510</v>
      </c>
    </row>
    <row r="45" spans="2:14">
      <c r="B45" s="390" t="s">
        <v>511</v>
      </c>
    </row>
    <row r="46" spans="2:14">
      <c r="B46" t="s">
        <v>512</v>
      </c>
      <c r="L46" s="163">
        <f>G15*G14</f>
        <v>139102</v>
      </c>
      <c r="M46" s="163">
        <f>N16*N19</f>
        <v>59031.349167950611</v>
      </c>
      <c r="N46" s="163">
        <f>L46+M46</f>
        <v>198133.34916795063</v>
      </c>
    </row>
    <row r="47" spans="2:14">
      <c r="B47" t="s">
        <v>513</v>
      </c>
      <c r="L47" s="163">
        <f>L46/(1-N22)</f>
        <v>185469.33333333334</v>
      </c>
      <c r="M47" s="163">
        <f>M46/(1-N22)</f>
        <v>78708.465557267482</v>
      </c>
      <c r="N47" s="163">
        <f>L47+M47</f>
        <v>264177.7988906008</v>
      </c>
    </row>
    <row r="48" spans="2:14">
      <c r="L48" s="163"/>
      <c r="M48" s="163"/>
      <c r="N48" s="163"/>
    </row>
    <row r="49" spans="2:14">
      <c r="B49" s="481" t="s">
        <v>514</v>
      </c>
      <c r="C49" s="481"/>
      <c r="D49" s="481"/>
      <c r="E49" s="481"/>
      <c r="F49" s="481"/>
      <c r="G49" s="481"/>
      <c r="H49" s="481"/>
      <c r="I49" s="481"/>
      <c r="J49" s="481"/>
      <c r="K49" s="481"/>
      <c r="L49" s="482"/>
      <c r="M49" s="482"/>
      <c r="N49" s="482"/>
    </row>
    <row r="50" spans="2:14">
      <c r="B50" s="481" t="s">
        <v>530</v>
      </c>
      <c r="C50" s="481"/>
      <c r="D50" s="481"/>
      <c r="E50" s="481"/>
      <c r="F50" s="481"/>
      <c r="G50" s="481"/>
      <c r="H50" s="481"/>
      <c r="I50" s="481"/>
      <c r="J50" s="481"/>
      <c r="K50" s="481"/>
      <c r="L50" s="482"/>
      <c r="M50" s="482"/>
      <c r="N50" s="483">
        <f>F39*G28</f>
        <v>74058.492375000016</v>
      </c>
    </row>
    <row r="51" spans="2:14">
      <c r="B51" s="481" t="s">
        <v>515</v>
      </c>
      <c r="C51" s="481"/>
      <c r="D51" s="481"/>
      <c r="E51" s="481"/>
      <c r="F51" s="481"/>
      <c r="G51" s="481"/>
      <c r="H51" s="481"/>
      <c r="I51" s="481"/>
      <c r="J51" s="481"/>
      <c r="K51" s="481"/>
      <c r="L51" s="482"/>
      <c r="M51" s="482"/>
      <c r="N51" s="483">
        <f>F40*N24</f>
        <v>18167.333624999996</v>
      </c>
    </row>
    <row r="52" spans="2:14">
      <c r="B52" s="481" t="s">
        <v>516</v>
      </c>
      <c r="C52" s="481"/>
      <c r="D52" s="481"/>
      <c r="E52" s="481"/>
      <c r="F52" s="481"/>
      <c r="G52" s="481"/>
      <c r="H52" s="481"/>
      <c r="I52" s="481"/>
      <c r="J52" s="481"/>
      <c r="K52" s="481"/>
      <c r="L52" s="482"/>
      <c r="M52" s="482"/>
      <c r="N52" s="483">
        <f>N31</f>
        <v>525.73333333333335</v>
      </c>
    </row>
    <row r="53" spans="2:14">
      <c r="B53" s="481" t="s">
        <v>526</v>
      </c>
      <c r="C53" s="481"/>
      <c r="D53" s="481"/>
      <c r="E53" s="481"/>
      <c r="F53" s="481"/>
      <c r="G53" s="481"/>
      <c r="H53" s="481"/>
      <c r="I53" s="481"/>
      <c r="J53" s="481"/>
      <c r="K53" s="481"/>
      <c r="L53" s="482"/>
      <c r="M53" s="482"/>
      <c r="N53" s="483">
        <f>M40</f>
        <v>50000</v>
      </c>
    </row>
    <row r="54" spans="2:14">
      <c r="B54" s="481" t="s">
        <v>517</v>
      </c>
      <c r="C54" s="481"/>
      <c r="D54" s="481"/>
      <c r="E54" s="481"/>
      <c r="F54" s="481"/>
      <c r="G54" s="481"/>
      <c r="H54" s="481"/>
      <c r="I54" s="481"/>
      <c r="J54" s="481"/>
      <c r="K54" s="481"/>
      <c r="L54" s="482"/>
      <c r="M54" s="482"/>
      <c r="N54" s="483">
        <f>G29</f>
        <v>20000</v>
      </c>
    </row>
    <row r="55" spans="2:14" ht="15.75" thickBot="1">
      <c r="B55" s="479" t="s">
        <v>518</v>
      </c>
      <c r="C55" s="479"/>
      <c r="D55" s="479"/>
      <c r="E55" s="479"/>
      <c r="F55" s="479"/>
      <c r="G55" s="479"/>
      <c r="H55" s="479"/>
      <c r="I55" s="479"/>
      <c r="J55" s="479"/>
      <c r="K55" s="479"/>
      <c r="L55" s="484"/>
      <c r="M55" s="484"/>
      <c r="N55" s="485">
        <f>N23</f>
        <v>7500</v>
      </c>
    </row>
    <row r="56" spans="2:14" ht="15.75" thickBot="1">
      <c r="B56" s="456" t="s">
        <v>519</v>
      </c>
      <c r="C56" s="276"/>
      <c r="D56" s="276"/>
      <c r="E56" s="276"/>
      <c r="F56" s="276"/>
      <c r="G56" s="276"/>
      <c r="H56" s="276"/>
      <c r="I56" s="276"/>
      <c r="J56" s="276"/>
      <c r="K56" s="276"/>
      <c r="L56" s="276"/>
      <c r="M56" s="276"/>
      <c r="N56" s="470">
        <f>(N47+N55)-SUM(N50:N54)</f>
        <v>108926.23955726746</v>
      </c>
    </row>
    <row r="57" spans="2:14">
      <c r="N57" s="178"/>
    </row>
    <row r="58" spans="2:14">
      <c r="B58" t="s">
        <v>520</v>
      </c>
      <c r="N58" s="469">
        <f>N56*(1-N22)</f>
        <v>81694.679667950593</v>
      </c>
    </row>
    <row r="59" spans="2:14">
      <c r="B59" t="s">
        <v>521</v>
      </c>
      <c r="N59" s="469">
        <f>G14+G16</f>
        <v>378.9066541411043</v>
      </c>
    </row>
    <row r="60" spans="2:14" ht="15.75" thickBot="1">
      <c r="N60" s="178"/>
    </row>
    <row r="61" spans="2:14">
      <c r="B61" s="459" t="s">
        <v>522</v>
      </c>
      <c r="C61" s="460"/>
      <c r="D61" s="460"/>
      <c r="E61" s="460"/>
      <c r="F61" s="460"/>
      <c r="G61" s="460"/>
      <c r="H61" s="460"/>
      <c r="I61" s="460"/>
      <c r="J61" s="460"/>
      <c r="K61" s="460"/>
      <c r="L61" s="460"/>
      <c r="M61" s="460"/>
      <c r="N61" s="471">
        <f>N58/N59</f>
        <v>215.6063473024351</v>
      </c>
    </row>
    <row r="62" spans="2:14">
      <c r="B62" s="461" t="s">
        <v>523</v>
      </c>
      <c r="C62" s="191"/>
      <c r="D62" s="191"/>
      <c r="E62" s="191"/>
      <c r="F62" s="191"/>
      <c r="G62" s="191"/>
      <c r="H62" s="191"/>
      <c r="I62" s="191"/>
      <c r="J62" s="191"/>
      <c r="K62" s="191"/>
      <c r="L62" s="191"/>
      <c r="M62" s="191"/>
      <c r="N62" s="472">
        <f>G15</f>
        <v>443</v>
      </c>
    </row>
    <row r="63" spans="2:14">
      <c r="B63" s="461" t="s">
        <v>524</v>
      </c>
      <c r="C63" s="191"/>
      <c r="D63" s="191"/>
      <c r="E63" s="191"/>
      <c r="F63" s="191"/>
      <c r="G63" s="191"/>
      <c r="H63" s="191"/>
      <c r="I63" s="191"/>
      <c r="J63" s="191"/>
      <c r="K63" s="191"/>
      <c r="L63" s="191"/>
      <c r="M63" s="191"/>
      <c r="N63" s="472">
        <f>N61-N62</f>
        <v>-227.3936526975649</v>
      </c>
    </row>
    <row r="64" spans="2:14" ht="15.75" thickBot="1">
      <c r="B64" s="478" t="s">
        <v>525</v>
      </c>
      <c r="C64" s="479"/>
      <c r="D64" s="479"/>
      <c r="E64" s="479"/>
      <c r="F64" s="479"/>
      <c r="G64" s="479"/>
      <c r="H64" s="479"/>
      <c r="I64" s="479"/>
      <c r="J64" s="479"/>
      <c r="K64" s="479"/>
      <c r="L64" s="479"/>
      <c r="M64" s="479"/>
      <c r="N64" s="480">
        <f>N61/N62</f>
        <v>0.48669604357208823</v>
      </c>
    </row>
    <row r="66" spans="2:14" ht="10.5" customHeight="1">
      <c r="B66" s="3" t="s">
        <v>0</v>
      </c>
      <c r="C66" s="3" t="s">
        <v>0</v>
      </c>
      <c r="D66" s="3" t="s">
        <v>0</v>
      </c>
      <c r="E66" s="3" t="s">
        <v>0</v>
      </c>
      <c r="F66" s="3" t="s">
        <v>0</v>
      </c>
      <c r="G66" s="3" t="s">
        <v>0</v>
      </c>
      <c r="H66" s="3" t="s">
        <v>0</v>
      </c>
      <c r="I66" s="3" t="s">
        <v>0</v>
      </c>
      <c r="J66" s="3" t="s">
        <v>0</v>
      </c>
      <c r="K66" s="3" t="s">
        <v>0</v>
      </c>
      <c r="L66" s="3" t="s">
        <v>0</v>
      </c>
      <c r="M66" s="3" t="s">
        <v>0</v>
      </c>
      <c r="N66" s="3" t="s">
        <v>0</v>
      </c>
    </row>
    <row r="67" spans="2:14" ht="9.75" customHeight="1" thickBot="1">
      <c r="B67" s="193"/>
      <c r="C67" s="193"/>
      <c r="D67" s="193"/>
      <c r="E67" s="193"/>
      <c r="F67" s="193"/>
      <c r="G67" s="193"/>
      <c r="H67" s="193"/>
      <c r="I67" s="193"/>
      <c r="J67" s="193"/>
      <c r="K67" s="193"/>
      <c r="L67" s="193"/>
      <c r="M67" s="193"/>
      <c r="N67" s="193"/>
    </row>
    <row r="68" spans="2:14" ht="15.75" thickTop="1"/>
  </sheetData>
  <pageMargins left="0" right="0" top="0.75" bottom="0" header="0" footer="0.3"/>
  <pageSetup paperSize="9" scale="75" orientation="portrait" r:id="rId1"/>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Intro</vt:lpstr>
      <vt:lpstr>Table of Contents</vt:lpstr>
      <vt:lpstr>one page profile</vt:lpstr>
      <vt:lpstr>Historical FS</vt:lpstr>
      <vt:lpstr>Forcasting</vt:lpstr>
      <vt:lpstr>Ratio Analysis</vt:lpstr>
      <vt:lpstr>Common Size Statement</vt:lpstr>
      <vt:lpstr>Beta Calculation</vt:lpstr>
      <vt:lpstr>WACC</vt:lpstr>
      <vt:lpstr>Relative Valuation</vt:lpstr>
      <vt:lpstr>DCF</vt:lpstr>
      <vt:lpstr>Var</vt:lpstr>
      <vt:lpstr>Dupont Analysis</vt:lpstr>
      <vt:lpstr>Altman's Z score</vt:lpstr>
      <vt:lpstr>LBO</vt:lpstr>
      <vt:lpstr>M&amp;A</vt:lpstr>
      <vt:lpstr>'Altman''s Z score'!Print_Area</vt:lpstr>
      <vt:lpstr>'Beta Calculation'!Print_Area</vt:lpstr>
      <vt:lpstr>'Common Size Statement'!Print_Area</vt:lpstr>
      <vt:lpstr>DCF!Print_Area</vt:lpstr>
      <vt:lpstr>'Dupont Analysis'!Print_Area</vt:lpstr>
      <vt:lpstr>Forcasting!Print_Area</vt:lpstr>
      <vt:lpstr>'Historical FS'!Print_Area</vt:lpstr>
      <vt:lpstr>Intro!Print_Area</vt:lpstr>
      <vt:lpstr>LBO!Print_Area</vt:lpstr>
      <vt:lpstr>'M&amp;A'!Print_Area</vt:lpstr>
      <vt:lpstr>'one page profile'!Print_Area</vt:lpstr>
      <vt:lpstr>'Ratio Analysis'!Print_Area</vt:lpstr>
      <vt:lpstr>'Relative Valuation'!Print_Area</vt:lpstr>
      <vt:lpstr>Var!Print_Area</vt:lpstr>
      <vt:lpstr>WACC!Print_Area</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Shivalika Singh</dc:creator>
  <cp:lastModifiedBy>Shivalika Singh</cp:lastModifiedBy>
  <cp:lastPrinted>2025-12-08T16:23:57Z</cp:lastPrinted>
  <dcterms:created xsi:type="dcterms:W3CDTF">2025-11-28T12:42:24Z</dcterms:created>
  <dcterms:modified xsi:type="dcterms:W3CDTF">2025-12-09T05:51:13Z</dcterms:modified>
</cp:coreProperties>
</file>